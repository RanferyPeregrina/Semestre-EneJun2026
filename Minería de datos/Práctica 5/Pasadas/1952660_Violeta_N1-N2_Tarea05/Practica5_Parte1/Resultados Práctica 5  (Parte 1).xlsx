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A:\Repositorios\Semestre-EneJun2026\Minería de datos\Práctica 5\"/>
    </mc:Choice>
  </mc:AlternateContent>
  <xr:revisionPtr revIDLastSave="0" documentId="13_ncr:1_{7C072A28-88D4-43B3-8EF1-33BB45A956D1}" xr6:coauthVersionLast="47" xr6:coauthVersionMax="47" xr10:uidLastSave="{00000000-0000-0000-0000-000000000000}"/>
  <bookViews>
    <workbookView xWindow="-108" yWindow="-108" windowWidth="20376" windowHeight="12216" activeTab="1" xr2:uid="{00000000-000D-0000-FFFF-FFFF00000000}"/>
  </bookViews>
  <sheets>
    <sheet name="Clustering" sheetId="1" r:id="rId1"/>
    <sheet name="Medoides" sheetId="2" r:id="rId2"/>
  </sheets>
  <calcPr calcId="191029"/>
</workbook>
</file>

<file path=xl/calcChain.xml><?xml version="1.0" encoding="utf-8"?>
<calcChain xmlns="http://schemas.openxmlformats.org/spreadsheetml/2006/main">
  <c r="D62" i="2" l="1"/>
  <c r="B3" i="1"/>
  <c r="B2" i="1"/>
  <c r="E63" i="2"/>
  <c r="F63" i="2"/>
  <c r="G63" i="2"/>
  <c r="H63" i="2"/>
  <c r="I63" i="2"/>
  <c r="J63" i="2"/>
  <c r="K63" i="2"/>
  <c r="L63" i="2"/>
  <c r="M63" i="2"/>
  <c r="N63" i="2"/>
  <c r="O63" i="2"/>
  <c r="D63" i="2"/>
  <c r="E62" i="2"/>
  <c r="F62" i="2"/>
  <c r="G62" i="2"/>
  <c r="H62" i="2"/>
  <c r="I62" i="2"/>
  <c r="J62" i="2"/>
  <c r="K62" i="2"/>
  <c r="L62" i="2"/>
  <c r="M62" i="2"/>
  <c r="N62" i="2"/>
  <c r="O62" i="2"/>
  <c r="Q56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7" i="2"/>
  <c r="R58" i="2"/>
  <c r="R59" i="2"/>
  <c r="R60" i="2"/>
  <c r="R10" i="2"/>
  <c r="Q11" i="2"/>
  <c r="S11" i="2" s="1"/>
  <c r="T11" i="2" s="1"/>
  <c r="Q12" i="2"/>
  <c r="S12" i="2" s="1"/>
  <c r="U12" i="2" s="1"/>
  <c r="Q13" i="2"/>
  <c r="S13" i="2" s="1"/>
  <c r="U13" i="2" s="1"/>
  <c r="Q14" i="2"/>
  <c r="S14" i="2" s="1"/>
  <c r="U14" i="2" s="1"/>
  <c r="Q15" i="2"/>
  <c r="Q16" i="2"/>
  <c r="Q17" i="2"/>
  <c r="S17" i="2" s="1"/>
  <c r="U17" i="2" s="1"/>
  <c r="Q18" i="2"/>
  <c r="S18" i="2" s="1"/>
  <c r="T18" i="2" s="1"/>
  <c r="Q19" i="2"/>
  <c r="S19" i="2" s="1"/>
  <c r="T19" i="2" s="1"/>
  <c r="Q20" i="2"/>
  <c r="S20" i="2" s="1"/>
  <c r="U20" i="2" s="1"/>
  <c r="Q21" i="2"/>
  <c r="S21" i="2" s="1"/>
  <c r="U21" i="2" s="1"/>
  <c r="Q22" i="2"/>
  <c r="Q23" i="2"/>
  <c r="Q24" i="2"/>
  <c r="Q25" i="2"/>
  <c r="S25" i="2" s="1"/>
  <c r="U25" i="2" s="1"/>
  <c r="Q26" i="2"/>
  <c r="S26" i="2" s="1"/>
  <c r="U26" i="2" s="1"/>
  <c r="Q27" i="2"/>
  <c r="S27" i="2" s="1"/>
  <c r="U27" i="2" s="1"/>
  <c r="Q28" i="2"/>
  <c r="Q29" i="2"/>
  <c r="S29" i="2" s="1"/>
  <c r="U29" i="2" s="1"/>
  <c r="Q30" i="2"/>
  <c r="S30" i="2" s="1"/>
  <c r="T30" i="2" s="1"/>
  <c r="Q31" i="2"/>
  <c r="Q32" i="2"/>
  <c r="Q33" i="2"/>
  <c r="S33" i="2" s="1"/>
  <c r="U33" i="2" s="1"/>
  <c r="Q34" i="2"/>
  <c r="Q35" i="2"/>
  <c r="S35" i="2" s="1"/>
  <c r="U35" i="2" s="1"/>
  <c r="Q36" i="2"/>
  <c r="S36" i="2" s="1"/>
  <c r="U36" i="2" s="1"/>
  <c r="Q37" i="2"/>
  <c r="S37" i="2" s="1"/>
  <c r="U37" i="2" s="1"/>
  <c r="Q38" i="2"/>
  <c r="S38" i="2" s="1"/>
  <c r="U38" i="2" s="1"/>
  <c r="Q39" i="2"/>
  <c r="Q40" i="2"/>
  <c r="Q41" i="2"/>
  <c r="S41" i="2" s="1"/>
  <c r="U41" i="2" s="1"/>
  <c r="Q42" i="2"/>
  <c r="S42" i="2" s="1"/>
  <c r="T42" i="2" s="1"/>
  <c r="Q43" i="2"/>
  <c r="S43" i="2" s="1"/>
  <c r="U43" i="2" s="1"/>
  <c r="Q44" i="2"/>
  <c r="S44" i="2" s="1"/>
  <c r="U44" i="2" s="1"/>
  <c r="Q45" i="2"/>
  <c r="Q46" i="2"/>
  <c r="Q47" i="2"/>
  <c r="Q48" i="2"/>
  <c r="Q49" i="2"/>
  <c r="S49" i="2" s="1"/>
  <c r="U49" i="2" s="1"/>
  <c r="Q50" i="2"/>
  <c r="S50" i="2" s="1"/>
  <c r="U50" i="2" s="1"/>
  <c r="Q51" i="2"/>
  <c r="S51" i="2" s="1"/>
  <c r="U51" i="2" s="1"/>
  <c r="Q52" i="2"/>
  <c r="Q53" i="2"/>
  <c r="S53" i="2" s="1"/>
  <c r="U53" i="2" s="1"/>
  <c r="Q54" i="2"/>
  <c r="S54" i="2" s="1"/>
  <c r="T54" i="2" s="1"/>
  <c r="Q55" i="2"/>
  <c r="Q57" i="2"/>
  <c r="Q58" i="2"/>
  <c r="Q59" i="2"/>
  <c r="S59" i="2" s="1"/>
  <c r="U59" i="2" s="1"/>
  <c r="Q60" i="2"/>
  <c r="S60" i="2" s="1"/>
  <c r="U60" i="2" s="1"/>
  <c r="Q10" i="2"/>
  <c r="S10" i="2" s="1"/>
  <c r="S27" i="1"/>
  <c r="L3" i="1"/>
  <c r="M3" i="1"/>
  <c r="C3" i="1"/>
  <c r="D3" i="1"/>
  <c r="E3" i="1"/>
  <c r="F3" i="1"/>
  <c r="G3" i="1"/>
  <c r="H3" i="1"/>
  <c r="I3" i="1"/>
  <c r="J3" i="1"/>
  <c r="K3" i="1"/>
  <c r="C2" i="1"/>
  <c r="D2" i="1"/>
  <c r="E2" i="1"/>
  <c r="F2" i="1"/>
  <c r="G2" i="1"/>
  <c r="H2" i="1"/>
  <c r="I2" i="1"/>
  <c r="J2" i="1"/>
  <c r="K2" i="1"/>
  <c r="L2" i="1"/>
  <c r="M2" i="1"/>
  <c r="S28" i="2" l="1"/>
  <c r="U28" i="2" s="1"/>
  <c r="S26" i="1"/>
  <c r="S48" i="2"/>
  <c r="U48" i="2" s="1"/>
  <c r="S32" i="2"/>
  <c r="U32" i="2" s="1"/>
  <c r="S24" i="2"/>
  <c r="U24" i="2" s="1"/>
  <c r="S55" i="2"/>
  <c r="U55" i="2" s="1"/>
  <c r="S47" i="2"/>
  <c r="U47" i="2" s="1"/>
  <c r="S39" i="2"/>
  <c r="U39" i="2" s="1"/>
  <c r="S31" i="2"/>
  <c r="U31" i="2" s="1"/>
  <c r="S23" i="2"/>
  <c r="U23" i="2" s="1"/>
  <c r="S15" i="2"/>
  <c r="U15" i="2" s="1"/>
  <c r="S52" i="2"/>
  <c r="U52" i="2" s="1"/>
  <c r="S40" i="2"/>
  <c r="U40" i="2" s="1"/>
  <c r="S16" i="2"/>
  <c r="U16" i="2" s="1"/>
  <c r="U10" i="2"/>
  <c r="S46" i="2"/>
  <c r="S34" i="2"/>
  <c r="U34" i="2" s="1"/>
  <c r="S22" i="2"/>
  <c r="T22" i="2" s="1"/>
  <c r="S58" i="2"/>
  <c r="T58" i="2" s="1"/>
  <c r="S45" i="2"/>
  <c r="U45" i="2" s="1"/>
  <c r="S57" i="2"/>
  <c r="U57" i="2" s="1"/>
  <c r="R56" i="2"/>
  <c r="S56" i="2" s="1"/>
  <c r="T10" i="2"/>
  <c r="T59" i="2"/>
  <c r="T29" i="2"/>
  <c r="T23" i="2"/>
  <c r="T46" i="2"/>
  <c r="U46" i="2"/>
  <c r="T20" i="2"/>
  <c r="T17" i="2"/>
  <c r="T53" i="2"/>
  <c r="T44" i="2"/>
  <c r="T43" i="2"/>
  <c r="T41" i="2"/>
  <c r="T35" i="2"/>
  <c r="T32" i="2"/>
  <c r="T31" i="2"/>
  <c r="T40" i="2"/>
  <c r="T28" i="2"/>
  <c r="T16" i="2"/>
  <c r="U54" i="2"/>
  <c r="U42" i="2"/>
  <c r="U30" i="2"/>
  <c r="U18" i="2"/>
  <c r="U19" i="2"/>
  <c r="T51" i="2"/>
  <c r="T27" i="2"/>
  <c r="T15" i="2"/>
  <c r="T50" i="2"/>
  <c r="T38" i="2"/>
  <c r="T26" i="2"/>
  <c r="T14" i="2"/>
  <c r="T49" i="2"/>
  <c r="T37" i="2"/>
  <c r="T25" i="2"/>
  <c r="T13" i="2"/>
  <c r="T60" i="2"/>
  <c r="T48" i="2"/>
  <c r="T36" i="2"/>
  <c r="T24" i="2"/>
  <c r="T12" i="2"/>
  <c r="T33" i="2"/>
  <c r="T21" i="2"/>
  <c r="U11" i="2"/>
  <c r="S48" i="1"/>
  <c r="S36" i="1"/>
  <c r="S47" i="1"/>
  <c r="S35" i="1"/>
  <c r="S46" i="1"/>
  <c r="S34" i="1"/>
  <c r="S45" i="1"/>
  <c r="S33" i="1"/>
  <c r="S56" i="1"/>
  <c r="S44" i="1"/>
  <c r="S32" i="1"/>
  <c r="S55" i="1"/>
  <c r="S43" i="1"/>
  <c r="S31" i="1"/>
  <c r="S54" i="1"/>
  <c r="S42" i="1"/>
  <c r="S30" i="1"/>
  <c r="S53" i="1"/>
  <c r="S41" i="1"/>
  <c r="S29" i="1"/>
  <c r="S37" i="1"/>
  <c r="S52" i="1"/>
  <c r="S40" i="1"/>
  <c r="S28" i="1"/>
  <c r="S49" i="1"/>
  <c r="S51" i="1"/>
  <c r="S39" i="1"/>
  <c r="S50" i="1"/>
  <c r="S38" i="1"/>
  <c r="Y21" i="1"/>
  <c r="U7" i="1"/>
  <c r="W8" i="1"/>
  <c r="S8" i="1"/>
  <c r="Q39" i="1"/>
  <c r="R54" i="1"/>
  <c r="X32" i="1"/>
  <c r="V12" i="1"/>
  <c r="Z36" i="1"/>
  <c r="Q17" i="1"/>
  <c r="P7" i="1"/>
  <c r="R42" i="1"/>
  <c r="Q55" i="1"/>
  <c r="R30" i="1"/>
  <c r="Q53" i="1"/>
  <c r="Y47" i="1"/>
  <c r="W9" i="1"/>
  <c r="Q43" i="1"/>
  <c r="Y45" i="1"/>
  <c r="Z9" i="1"/>
  <c r="S18" i="1"/>
  <c r="Q29" i="1"/>
  <c r="Y19" i="1"/>
  <c r="Q28" i="1"/>
  <c r="Y7" i="1"/>
  <c r="X17" i="1"/>
  <c r="Q27" i="1"/>
  <c r="Z49" i="1"/>
  <c r="X41" i="1"/>
  <c r="X16" i="1"/>
  <c r="W43" i="1"/>
  <c r="W27" i="1"/>
  <c r="W11" i="1"/>
  <c r="V43" i="1"/>
  <c r="V27" i="1"/>
  <c r="V11" i="1"/>
  <c r="P54" i="1"/>
  <c r="P46" i="1"/>
  <c r="P38" i="1"/>
  <c r="P30" i="1"/>
  <c r="P22" i="1"/>
  <c r="P14" i="1"/>
  <c r="R40" i="1"/>
  <c r="Z47" i="1"/>
  <c r="Y46" i="1"/>
  <c r="Y9" i="1"/>
  <c r="X33" i="1"/>
  <c r="X8" i="1"/>
  <c r="W42" i="1"/>
  <c r="W26" i="1"/>
  <c r="W7" i="1"/>
  <c r="V41" i="1"/>
  <c r="V25" i="1"/>
  <c r="P53" i="1"/>
  <c r="P45" i="1"/>
  <c r="P37" i="1"/>
  <c r="P29" i="1"/>
  <c r="P21" i="1"/>
  <c r="P13" i="1"/>
  <c r="X7" i="1"/>
  <c r="W25" i="1"/>
  <c r="V23" i="1"/>
  <c r="P52" i="1"/>
  <c r="P28" i="1"/>
  <c r="R28" i="1"/>
  <c r="Z35" i="1"/>
  <c r="Y35" i="1"/>
  <c r="X56" i="1"/>
  <c r="X31" i="1"/>
  <c r="W55" i="1"/>
  <c r="W39" i="1"/>
  <c r="W19" i="1"/>
  <c r="V53" i="1"/>
  <c r="V37" i="1"/>
  <c r="V19" i="1"/>
  <c r="P51" i="1"/>
  <c r="P43" i="1"/>
  <c r="P35" i="1"/>
  <c r="P27" i="1"/>
  <c r="P19" i="1"/>
  <c r="P11" i="1"/>
  <c r="V55" i="1"/>
  <c r="P20" i="1"/>
  <c r="Q52" i="1"/>
  <c r="Q15" i="1"/>
  <c r="R16" i="1"/>
  <c r="Z23" i="1"/>
  <c r="Y33" i="1"/>
  <c r="X55" i="1"/>
  <c r="X29" i="1"/>
  <c r="W53" i="1"/>
  <c r="W37" i="1"/>
  <c r="W18" i="1"/>
  <c r="V52" i="1"/>
  <c r="V36" i="1"/>
  <c r="V17" i="1"/>
  <c r="P50" i="1"/>
  <c r="P42" i="1"/>
  <c r="P34" i="1"/>
  <c r="P26" i="1"/>
  <c r="P18" i="1"/>
  <c r="P10" i="1"/>
  <c r="W41" i="1"/>
  <c r="Q13" i="1"/>
  <c r="R15" i="1"/>
  <c r="Z21" i="1"/>
  <c r="Y31" i="1"/>
  <c r="X47" i="1"/>
  <c r="X21" i="1"/>
  <c r="W51" i="1"/>
  <c r="W33" i="1"/>
  <c r="W17" i="1"/>
  <c r="V51" i="1"/>
  <c r="V31" i="1"/>
  <c r="V15" i="1"/>
  <c r="P6" i="1"/>
  <c r="P49" i="1"/>
  <c r="P41" i="1"/>
  <c r="P33" i="1"/>
  <c r="P25" i="1"/>
  <c r="P17" i="1"/>
  <c r="P9" i="1"/>
  <c r="P44" i="1"/>
  <c r="P36" i="1"/>
  <c r="U15" i="1"/>
  <c r="AA8" i="1"/>
  <c r="Q41" i="1"/>
  <c r="R55" i="1"/>
  <c r="W6" i="1"/>
  <c r="Z11" i="1"/>
  <c r="Y22" i="1"/>
  <c r="X45" i="1"/>
  <c r="X19" i="1"/>
  <c r="W50" i="1"/>
  <c r="W31" i="1"/>
  <c r="W15" i="1"/>
  <c r="V49" i="1"/>
  <c r="V29" i="1"/>
  <c r="V13" i="1"/>
  <c r="P56" i="1"/>
  <c r="P48" i="1"/>
  <c r="P40" i="1"/>
  <c r="P32" i="1"/>
  <c r="P24" i="1"/>
  <c r="P16" i="1"/>
  <c r="P8" i="1"/>
  <c r="V39" i="1"/>
  <c r="P12" i="1"/>
  <c r="Y6" i="1"/>
  <c r="X43" i="1"/>
  <c r="W45" i="1"/>
  <c r="W29" i="1"/>
  <c r="W13" i="1"/>
  <c r="V44" i="1"/>
  <c r="V28" i="1"/>
  <c r="P55" i="1"/>
  <c r="P47" i="1"/>
  <c r="P39" i="1"/>
  <c r="P31" i="1"/>
  <c r="P23" i="1"/>
  <c r="P15" i="1"/>
  <c r="AA50" i="1"/>
  <c r="AA11" i="1"/>
  <c r="AA47" i="1"/>
  <c r="AA34" i="1"/>
  <c r="AA21" i="1"/>
  <c r="AA9" i="1"/>
  <c r="AA45" i="1"/>
  <c r="AA33" i="1"/>
  <c r="AA19" i="1"/>
  <c r="AA7" i="1"/>
  <c r="AA25" i="1"/>
  <c r="AA49" i="1"/>
  <c r="AA35" i="1"/>
  <c r="AA23" i="1"/>
  <c r="AA10" i="1"/>
  <c r="AA6" i="1"/>
  <c r="AA43" i="1"/>
  <c r="AA31" i="1"/>
  <c r="AA18" i="1"/>
  <c r="AA37" i="1"/>
  <c r="AA55" i="1"/>
  <c r="AA42" i="1"/>
  <c r="AA29" i="1"/>
  <c r="AA17" i="1"/>
  <c r="AA53" i="1"/>
  <c r="AA41" i="1"/>
  <c r="AA27" i="1"/>
  <c r="AA15" i="1"/>
  <c r="AA51" i="1"/>
  <c r="AA39" i="1"/>
  <c r="AA26" i="1"/>
  <c r="AA13" i="1"/>
  <c r="T14" i="1"/>
  <c r="T22" i="1"/>
  <c r="T30" i="1"/>
  <c r="T38" i="1"/>
  <c r="T46" i="1"/>
  <c r="T54" i="1"/>
  <c r="T6" i="1"/>
  <c r="T7" i="1"/>
  <c r="T15" i="1"/>
  <c r="T23" i="1"/>
  <c r="T10" i="1"/>
  <c r="T18" i="1"/>
  <c r="T26" i="1"/>
  <c r="T34" i="1"/>
  <c r="T42" i="1"/>
  <c r="T50" i="1"/>
  <c r="T11" i="1"/>
  <c r="T19" i="1"/>
  <c r="T27" i="1"/>
  <c r="T35" i="1"/>
  <c r="T12" i="1"/>
  <c r="T20" i="1"/>
  <c r="T28" i="1"/>
  <c r="T36" i="1"/>
  <c r="T44" i="1"/>
  <c r="T52" i="1"/>
  <c r="U43" i="1"/>
  <c r="U17" i="1"/>
  <c r="T41" i="1"/>
  <c r="U54" i="1"/>
  <c r="U29" i="1"/>
  <c r="T53" i="1"/>
  <c r="T24" i="1"/>
  <c r="Z10" i="1"/>
  <c r="Z18" i="1"/>
  <c r="Z26" i="1"/>
  <c r="Z34" i="1"/>
  <c r="Z42" i="1"/>
  <c r="Z50" i="1"/>
  <c r="Z14" i="1"/>
  <c r="Z22" i="1"/>
  <c r="Z30" i="1"/>
  <c r="Z38" i="1"/>
  <c r="Z46" i="1"/>
  <c r="Z54" i="1"/>
  <c r="Z8" i="1"/>
  <c r="Z16" i="1"/>
  <c r="Z24" i="1"/>
  <c r="Z32" i="1"/>
  <c r="Z40" i="1"/>
  <c r="Z48" i="1"/>
  <c r="Z56" i="1"/>
  <c r="R13" i="1"/>
  <c r="R21" i="1"/>
  <c r="R29" i="1"/>
  <c r="R37" i="1"/>
  <c r="R45" i="1"/>
  <c r="R53" i="1"/>
  <c r="R9" i="1"/>
  <c r="R17" i="1"/>
  <c r="R25" i="1"/>
  <c r="R33" i="1"/>
  <c r="R41" i="1"/>
  <c r="R49" i="1"/>
  <c r="R6" i="1"/>
  <c r="R11" i="1"/>
  <c r="R19" i="1"/>
  <c r="R27" i="1"/>
  <c r="R35" i="1"/>
  <c r="R43" i="1"/>
  <c r="R51" i="1"/>
  <c r="R39" i="1"/>
  <c r="Z45" i="1"/>
  <c r="Z20" i="1"/>
  <c r="Z7" i="1"/>
  <c r="U53" i="1"/>
  <c r="U39" i="1"/>
  <c r="U27" i="1"/>
  <c r="U14" i="1"/>
  <c r="T51" i="1"/>
  <c r="T39" i="1"/>
  <c r="T21" i="1"/>
  <c r="Y12" i="1"/>
  <c r="Y20" i="1"/>
  <c r="Y28" i="1"/>
  <c r="Y36" i="1"/>
  <c r="Y44" i="1"/>
  <c r="Y52" i="1"/>
  <c r="Y8" i="1"/>
  <c r="Y16" i="1"/>
  <c r="Y24" i="1"/>
  <c r="Y32" i="1"/>
  <c r="Y40" i="1"/>
  <c r="Y48" i="1"/>
  <c r="Y56" i="1"/>
  <c r="Y10" i="1"/>
  <c r="Y18" i="1"/>
  <c r="Y26" i="1"/>
  <c r="Y34" i="1"/>
  <c r="Y42" i="1"/>
  <c r="Y50" i="1"/>
  <c r="Q10" i="1"/>
  <c r="Q18" i="1"/>
  <c r="Q26" i="1"/>
  <c r="Q34" i="1"/>
  <c r="Q42" i="1"/>
  <c r="Q50" i="1"/>
  <c r="Q14" i="1"/>
  <c r="Q22" i="1"/>
  <c r="Q30" i="1"/>
  <c r="Q38" i="1"/>
  <c r="Q46" i="1"/>
  <c r="Q54" i="1"/>
  <c r="Q8" i="1"/>
  <c r="Q16" i="1"/>
  <c r="Q24" i="1"/>
  <c r="Q32" i="1"/>
  <c r="Q40" i="1"/>
  <c r="Q48" i="1"/>
  <c r="Q56" i="1"/>
  <c r="Q51" i="1"/>
  <c r="Q37" i="1"/>
  <c r="Q25" i="1"/>
  <c r="Q12" i="1"/>
  <c r="R50" i="1"/>
  <c r="R38" i="1"/>
  <c r="R24" i="1"/>
  <c r="R12" i="1"/>
  <c r="Z6" i="1"/>
  <c r="Z44" i="1"/>
  <c r="Z31" i="1"/>
  <c r="Z19" i="1"/>
  <c r="Y55" i="1"/>
  <c r="Y43" i="1"/>
  <c r="Y30" i="1"/>
  <c r="Y17" i="1"/>
  <c r="U51" i="1"/>
  <c r="U38" i="1"/>
  <c r="U25" i="1"/>
  <c r="U13" i="1"/>
  <c r="T49" i="1"/>
  <c r="T37" i="1"/>
  <c r="T17" i="1"/>
  <c r="X14" i="1"/>
  <c r="X22" i="1"/>
  <c r="X30" i="1"/>
  <c r="X38" i="1"/>
  <c r="X46" i="1"/>
  <c r="X54" i="1"/>
  <c r="X10" i="1"/>
  <c r="X18" i="1"/>
  <c r="X26" i="1"/>
  <c r="X34" i="1"/>
  <c r="X42" i="1"/>
  <c r="X50" i="1"/>
  <c r="X6" i="1"/>
  <c r="X12" i="1"/>
  <c r="X20" i="1"/>
  <c r="X28" i="1"/>
  <c r="X36" i="1"/>
  <c r="X44" i="1"/>
  <c r="X52" i="1"/>
  <c r="Q49" i="1"/>
  <c r="Q36" i="1"/>
  <c r="Q23" i="1"/>
  <c r="Q11" i="1"/>
  <c r="R48" i="1"/>
  <c r="R36" i="1"/>
  <c r="R23" i="1"/>
  <c r="R10" i="1"/>
  <c r="Z55" i="1"/>
  <c r="Z43" i="1"/>
  <c r="Z29" i="1"/>
  <c r="Z17" i="1"/>
  <c r="Y54" i="1"/>
  <c r="Y41" i="1"/>
  <c r="Y29" i="1"/>
  <c r="Y15" i="1"/>
  <c r="X53" i="1"/>
  <c r="X40" i="1"/>
  <c r="X27" i="1"/>
  <c r="X15" i="1"/>
  <c r="U49" i="1"/>
  <c r="U37" i="1"/>
  <c r="U23" i="1"/>
  <c r="U11" i="1"/>
  <c r="T48" i="1"/>
  <c r="T33" i="1"/>
  <c r="T16" i="1"/>
  <c r="S23" i="1"/>
  <c r="Q47" i="1"/>
  <c r="Q35" i="1"/>
  <c r="Q21" i="1"/>
  <c r="Q9" i="1"/>
  <c r="R47" i="1"/>
  <c r="R34" i="1"/>
  <c r="R22" i="1"/>
  <c r="R8" i="1"/>
  <c r="Z53" i="1"/>
  <c r="Z28" i="1"/>
  <c r="Y53" i="1"/>
  <c r="Y27" i="1"/>
  <c r="X51" i="1"/>
  <c r="X39" i="1"/>
  <c r="X13" i="1"/>
  <c r="U47" i="1"/>
  <c r="U35" i="1"/>
  <c r="U22" i="1"/>
  <c r="U9" i="1"/>
  <c r="T47" i="1"/>
  <c r="T32" i="1"/>
  <c r="T13" i="1"/>
  <c r="S19" i="1"/>
  <c r="V10" i="1"/>
  <c r="V18" i="1"/>
  <c r="V26" i="1"/>
  <c r="V34" i="1"/>
  <c r="V42" i="1"/>
  <c r="V50" i="1"/>
  <c r="V14" i="1"/>
  <c r="V22" i="1"/>
  <c r="V30" i="1"/>
  <c r="V38" i="1"/>
  <c r="V46" i="1"/>
  <c r="V54" i="1"/>
  <c r="V8" i="1"/>
  <c r="V16" i="1"/>
  <c r="V24" i="1"/>
  <c r="V32" i="1"/>
  <c r="V40" i="1"/>
  <c r="V48" i="1"/>
  <c r="V56" i="1"/>
  <c r="V6" i="1"/>
  <c r="Q45" i="1"/>
  <c r="Q33" i="1"/>
  <c r="Q20" i="1"/>
  <c r="Q7" i="1"/>
  <c r="R46" i="1"/>
  <c r="R32" i="1"/>
  <c r="R20" i="1"/>
  <c r="R7" i="1"/>
  <c r="Z52" i="1"/>
  <c r="Z39" i="1"/>
  <c r="Z27" i="1"/>
  <c r="Z13" i="1"/>
  <c r="Y51" i="1"/>
  <c r="Y38" i="1"/>
  <c r="Y25" i="1"/>
  <c r="Y13" i="1"/>
  <c r="X49" i="1"/>
  <c r="X37" i="1"/>
  <c r="X24" i="1"/>
  <c r="X11" i="1"/>
  <c r="W49" i="1"/>
  <c r="W35" i="1"/>
  <c r="W23" i="1"/>
  <c r="W10" i="1"/>
  <c r="V47" i="1"/>
  <c r="V35" i="1"/>
  <c r="V21" i="1"/>
  <c r="V9" i="1"/>
  <c r="U46" i="1"/>
  <c r="U33" i="1"/>
  <c r="U21" i="1"/>
  <c r="T45" i="1"/>
  <c r="T31" i="1"/>
  <c r="T9" i="1"/>
  <c r="U6" i="1"/>
  <c r="U55" i="1"/>
  <c r="U30" i="1"/>
  <c r="T55" i="1"/>
  <c r="T25" i="1"/>
  <c r="U41" i="1"/>
  <c r="T40" i="1"/>
  <c r="S7" i="1"/>
  <c r="S17" i="1"/>
  <c r="S25" i="1"/>
  <c r="S9" i="1"/>
  <c r="S10" i="1"/>
  <c r="S11" i="1"/>
  <c r="S21" i="1"/>
  <c r="S13" i="1"/>
  <c r="R52" i="1"/>
  <c r="R26" i="1"/>
  <c r="R14" i="1"/>
  <c r="Z33" i="1"/>
  <c r="Z41" i="1"/>
  <c r="Z15" i="1"/>
  <c r="Y39" i="1"/>
  <c r="Y14" i="1"/>
  <c r="X25" i="1"/>
  <c r="U12" i="1"/>
  <c r="U20" i="1"/>
  <c r="U28" i="1"/>
  <c r="U36" i="1"/>
  <c r="U44" i="1"/>
  <c r="U52" i="1"/>
  <c r="U8" i="1"/>
  <c r="U16" i="1"/>
  <c r="U24" i="1"/>
  <c r="U32" i="1"/>
  <c r="U40" i="1"/>
  <c r="U48" i="1"/>
  <c r="U56" i="1"/>
  <c r="U10" i="1"/>
  <c r="U18" i="1"/>
  <c r="U26" i="1"/>
  <c r="U34" i="1"/>
  <c r="U42" i="1"/>
  <c r="U50" i="1"/>
  <c r="Q6" i="1"/>
  <c r="Q44" i="1"/>
  <c r="Q31" i="1"/>
  <c r="Q19" i="1"/>
  <c r="R56" i="1"/>
  <c r="R44" i="1"/>
  <c r="R31" i="1"/>
  <c r="R18" i="1"/>
  <c r="S6" i="1"/>
  <c r="Z51" i="1"/>
  <c r="Z37" i="1"/>
  <c r="Z25" i="1"/>
  <c r="Z12" i="1"/>
  <c r="Y49" i="1"/>
  <c r="Y37" i="1"/>
  <c r="Y23" i="1"/>
  <c r="Y11" i="1"/>
  <c r="X48" i="1"/>
  <c r="X35" i="1"/>
  <c r="X23" i="1"/>
  <c r="X9" i="1"/>
  <c r="W47" i="1"/>
  <c r="W34" i="1"/>
  <c r="W21" i="1"/>
  <c r="V45" i="1"/>
  <c r="V33" i="1"/>
  <c r="V20" i="1"/>
  <c r="V7" i="1"/>
  <c r="U45" i="1"/>
  <c r="U31" i="1"/>
  <c r="U19" i="1"/>
  <c r="T56" i="1"/>
  <c r="T43" i="1"/>
  <c r="T29" i="1"/>
  <c r="T8" i="1"/>
  <c r="S15" i="1"/>
  <c r="AA54" i="1"/>
  <c r="AA46" i="1"/>
  <c r="AA38" i="1"/>
  <c r="AA30" i="1"/>
  <c r="AA22" i="1"/>
  <c r="AA14" i="1"/>
  <c r="W54" i="1"/>
  <c r="W46" i="1"/>
  <c r="W38" i="1"/>
  <c r="W30" i="1"/>
  <c r="W22" i="1"/>
  <c r="W14" i="1"/>
  <c r="S22" i="1"/>
  <c r="S14" i="1"/>
  <c r="AA52" i="1"/>
  <c r="AA44" i="1"/>
  <c r="AA36" i="1"/>
  <c r="AA28" i="1"/>
  <c r="AA20" i="1"/>
  <c r="AA12" i="1"/>
  <c r="W52" i="1"/>
  <c r="W44" i="1"/>
  <c r="W36" i="1"/>
  <c r="W28" i="1"/>
  <c r="W20" i="1"/>
  <c r="W12" i="1"/>
  <c r="S20" i="1"/>
  <c r="S12" i="1"/>
  <c r="AA56" i="1"/>
  <c r="AA48" i="1"/>
  <c r="AA40" i="1"/>
  <c r="AA32" i="1"/>
  <c r="AA24" i="1"/>
  <c r="AA16" i="1"/>
  <c r="W56" i="1"/>
  <c r="W48" i="1"/>
  <c r="W40" i="1"/>
  <c r="W32" i="1"/>
  <c r="W24" i="1"/>
  <c r="W16" i="1"/>
  <c r="S24" i="1"/>
  <c r="S16" i="1"/>
  <c r="T55" i="2" l="1"/>
  <c r="T34" i="2"/>
  <c r="U22" i="2"/>
  <c r="T52" i="2"/>
  <c r="T39" i="2"/>
  <c r="T47" i="2"/>
  <c r="U58" i="2"/>
  <c r="S61" i="2"/>
  <c r="T45" i="2"/>
  <c r="T57" i="2"/>
  <c r="T56" i="2"/>
  <c r="U56" i="2"/>
  <c r="S2" i="1"/>
  <c r="W2" i="1"/>
  <c r="Y2" i="1"/>
  <c r="P2" i="1"/>
  <c r="P3" i="1"/>
  <c r="R2" i="1"/>
  <c r="R3" i="1"/>
  <c r="X2" i="1"/>
  <c r="X3" i="1"/>
  <c r="W3" i="1"/>
  <c r="T3" i="1"/>
  <c r="T2" i="1"/>
  <c r="Y3" i="1"/>
  <c r="V2" i="1"/>
  <c r="V3" i="1"/>
  <c r="Z2" i="1"/>
  <c r="Z3" i="1"/>
  <c r="U3" i="1"/>
  <c r="U2" i="1"/>
  <c r="S3" i="1"/>
  <c r="Q2" i="1"/>
  <c r="Q3" i="1"/>
  <c r="AA2" i="1"/>
  <c r="AA3" i="1"/>
  <c r="U61" i="2" l="1"/>
  <c r="T61" i="2"/>
  <c r="AC7" i="1"/>
  <c r="AD35" i="1"/>
  <c r="AC39" i="1"/>
  <c r="AD15" i="1"/>
  <c r="AC44" i="1"/>
  <c r="AD26" i="1"/>
  <c r="AD25" i="1"/>
  <c r="AD31" i="1"/>
  <c r="AD18" i="1"/>
  <c r="AC48" i="1"/>
  <c r="AD42" i="1"/>
  <c r="AD17" i="1"/>
  <c r="AD16" i="1"/>
  <c r="AD10" i="1"/>
  <c r="AD21" i="1"/>
  <c r="AD7" i="1"/>
  <c r="AD9" i="1"/>
  <c r="AD54" i="1"/>
  <c r="AC23" i="1"/>
  <c r="AD36" i="1"/>
  <c r="AD11" i="1"/>
  <c r="AD56" i="1"/>
  <c r="AD12" i="1"/>
  <c r="AD22" i="1"/>
  <c r="AC11" i="1"/>
  <c r="AC42" i="1"/>
  <c r="AD37" i="1"/>
  <c r="AD52" i="1"/>
  <c r="AC50" i="1"/>
  <c r="AC14" i="1"/>
  <c r="AD13" i="1"/>
  <c r="AD50" i="1"/>
  <c r="AD20" i="1"/>
  <c r="AD48" i="1"/>
  <c r="AD29" i="1"/>
  <c r="AD14" i="1"/>
  <c r="AD53" i="1"/>
  <c r="AC6" i="1"/>
  <c r="AC13" i="1"/>
  <c r="AD6" i="1"/>
  <c r="AD40" i="1"/>
  <c r="AD43" i="1"/>
  <c r="AC51" i="1"/>
  <c r="AC35" i="1"/>
  <c r="AD44" i="1"/>
  <c r="AC41" i="1"/>
  <c r="AD49" i="1"/>
  <c r="AD32" i="1"/>
  <c r="AD41" i="1"/>
  <c r="AD27" i="1"/>
  <c r="AD19" i="1"/>
  <c r="AC38" i="1"/>
  <c r="AC56" i="1"/>
  <c r="AD28" i="1"/>
  <c r="AD34" i="1"/>
  <c r="AC55" i="1"/>
  <c r="AD51" i="1"/>
  <c r="AD33" i="1"/>
  <c r="AD24" i="1"/>
  <c r="AC18" i="1"/>
  <c r="AC47" i="1"/>
  <c r="AC54" i="1"/>
  <c r="AC9" i="1"/>
  <c r="AC20" i="1"/>
  <c r="AC25" i="1"/>
  <c r="AC31" i="1"/>
  <c r="AC22" i="1"/>
  <c r="AC8" i="1"/>
  <c r="AC43" i="1"/>
  <c r="AC15" i="1"/>
  <c r="AC53" i="1"/>
  <c r="AC32" i="1"/>
  <c r="AE32" i="1" s="1"/>
  <c r="AC27" i="1"/>
  <c r="AC24" i="1"/>
  <c r="AC12" i="1"/>
  <c r="AC45" i="1"/>
  <c r="AC30" i="1"/>
  <c r="AC40" i="1"/>
  <c r="AC33" i="1"/>
  <c r="AC21" i="1"/>
  <c r="AC52" i="1"/>
  <c r="AC49" i="1"/>
  <c r="AC37" i="1"/>
  <c r="AC34" i="1"/>
  <c r="AC36" i="1"/>
  <c r="AC19" i="1"/>
  <c r="AD8" i="1"/>
  <c r="AD55" i="1"/>
  <c r="AD46" i="1"/>
  <c r="AC16" i="1"/>
  <c r="AC29" i="1"/>
  <c r="AC17" i="1"/>
  <c r="AC28" i="1"/>
  <c r="AC10" i="1"/>
  <c r="AE10" i="1" s="1"/>
  <c r="AD45" i="1"/>
  <c r="AD47" i="1"/>
  <c r="AD38" i="1"/>
  <c r="AD39" i="1"/>
  <c r="AE39" i="1" s="1"/>
  <c r="AD30" i="1"/>
  <c r="AC26" i="1"/>
  <c r="AC46" i="1"/>
  <c r="AD23" i="1"/>
  <c r="W36" i="2" l="1"/>
  <c r="W50" i="2"/>
  <c r="W56" i="2"/>
  <c r="W23" i="2"/>
  <c r="W26" i="2"/>
  <c r="W18" i="2"/>
  <c r="AE13" i="1"/>
  <c r="AF13" i="1" s="1"/>
  <c r="AE44" i="1"/>
  <c r="AG44" i="1" s="1"/>
  <c r="AE36" i="1"/>
  <c r="AF36" i="1" s="1"/>
  <c r="AE15" i="1"/>
  <c r="AG15" i="1" s="1"/>
  <c r="AE53" i="1"/>
  <c r="AF53" i="1" s="1"/>
  <c r="AE48" i="1"/>
  <c r="AG48" i="1" s="1"/>
  <c r="AE27" i="1"/>
  <c r="AG27" i="1" s="1"/>
  <c r="AE33" i="1"/>
  <c r="AG33" i="1" s="1"/>
  <c r="AE23" i="1"/>
  <c r="AG23" i="1" s="1"/>
  <c r="AE19" i="1"/>
  <c r="AG19" i="1" s="1"/>
  <c r="AE54" i="1"/>
  <c r="AG54" i="1" s="1"/>
  <c r="AE17" i="1"/>
  <c r="AF17" i="1" s="1"/>
  <c r="AE43" i="1"/>
  <c r="AG43" i="1" s="1"/>
  <c r="AE29" i="1"/>
  <c r="AG29" i="1" s="1"/>
  <c r="AE37" i="1"/>
  <c r="AF37" i="1" s="1"/>
  <c r="AE35" i="1"/>
  <c r="AF35" i="1" s="1"/>
  <c r="AE24" i="1"/>
  <c r="AG24" i="1" s="1"/>
  <c r="AE42" i="1"/>
  <c r="AG42" i="1" s="1"/>
  <c r="AE16" i="1"/>
  <c r="AF16" i="1" s="1"/>
  <c r="AE7" i="1"/>
  <c r="AF7" i="1" s="1"/>
  <c r="AE34" i="1"/>
  <c r="AF34" i="1" s="1"/>
  <c r="AE20" i="1"/>
  <c r="AF20" i="1" s="1"/>
  <c r="AE18" i="1"/>
  <c r="AF18" i="1" s="1"/>
  <c r="AE26" i="1"/>
  <c r="AG26" i="1" s="1"/>
  <c r="AE51" i="1"/>
  <c r="AG51" i="1" s="1"/>
  <c r="AE30" i="1"/>
  <c r="AG30" i="1" s="1"/>
  <c r="AE49" i="1"/>
  <c r="AG49" i="1" s="1"/>
  <c r="AE12" i="1"/>
  <c r="AF12" i="1" s="1"/>
  <c r="AE22" i="1"/>
  <c r="AG22" i="1" s="1"/>
  <c r="AE14" i="1"/>
  <c r="AF14" i="1" s="1"/>
  <c r="AE9" i="1"/>
  <c r="AG9" i="1" s="1"/>
  <c r="AE40" i="1"/>
  <c r="AG40" i="1" s="1"/>
  <c r="AE41" i="1"/>
  <c r="AG41" i="1" s="1"/>
  <c r="AE55" i="1"/>
  <c r="AF55" i="1" s="1"/>
  <c r="AE31" i="1"/>
  <c r="AG31" i="1" s="1"/>
  <c r="AE6" i="1"/>
  <c r="AG6" i="1" s="1"/>
  <c r="AE45" i="1"/>
  <c r="AF45" i="1" s="1"/>
  <c r="AE8" i="1"/>
  <c r="AG8" i="1" s="1"/>
  <c r="AE21" i="1"/>
  <c r="AF21" i="1" s="1"/>
  <c r="AE25" i="1"/>
  <c r="AF25" i="1" s="1"/>
  <c r="AG39" i="1"/>
  <c r="AF39" i="1"/>
  <c r="AE56" i="1"/>
  <c r="AE47" i="1"/>
  <c r="AF10" i="1"/>
  <c r="AG10" i="1"/>
  <c r="AG32" i="1"/>
  <c r="AF32" i="1"/>
  <c r="AE28" i="1"/>
  <c r="AE38" i="1"/>
  <c r="AE46" i="1"/>
  <c r="AE52" i="1"/>
  <c r="AE11" i="1"/>
  <c r="AE50" i="1"/>
  <c r="W51" i="2" l="1"/>
  <c r="W13" i="2"/>
  <c r="W46" i="2"/>
  <c r="W10" i="2"/>
  <c r="W39" i="2"/>
  <c r="W12" i="2"/>
  <c r="Y12" i="2" s="1"/>
  <c r="AA12" i="2" s="1"/>
  <c r="W22" i="2"/>
  <c r="Y22" i="2" s="1"/>
  <c r="Z22" i="2" s="1"/>
  <c r="W60" i="2"/>
  <c r="W53" i="2"/>
  <c r="W42" i="2"/>
  <c r="W15" i="2"/>
  <c r="W54" i="2"/>
  <c r="W57" i="2"/>
  <c r="W11" i="2"/>
  <c r="W19" i="2"/>
  <c r="W27" i="2"/>
  <c r="Y27" i="2" s="1"/>
  <c r="Z27" i="2" s="1"/>
  <c r="W31" i="2"/>
  <c r="AF44" i="1"/>
  <c r="W41" i="2"/>
  <c r="Y41" i="2" s="1"/>
  <c r="W43" i="2"/>
  <c r="W47" i="2"/>
  <c r="Y47" i="2" s="1"/>
  <c r="Z47" i="2" s="1"/>
  <c r="W45" i="2"/>
  <c r="W25" i="2"/>
  <c r="Y25" i="2" s="1"/>
  <c r="Z25" i="2" s="1"/>
  <c r="AG36" i="1"/>
  <c r="W52" i="2"/>
  <c r="W38" i="2"/>
  <c r="W35" i="2"/>
  <c r="W21" i="2"/>
  <c r="X60" i="2"/>
  <c r="W33" i="2"/>
  <c r="W59" i="2"/>
  <c r="W49" i="2"/>
  <c r="W40" i="2"/>
  <c r="W14" i="2"/>
  <c r="W29" i="2"/>
  <c r="W28" i="2"/>
  <c r="W48" i="2"/>
  <c r="W55" i="2"/>
  <c r="W16" i="2"/>
  <c r="Y16" i="2" s="1"/>
  <c r="Z16" i="2" s="1"/>
  <c r="W37" i="2"/>
  <c r="W58" i="2"/>
  <c r="X53" i="2"/>
  <c r="X36" i="2"/>
  <c r="X29" i="2"/>
  <c r="X16" i="2"/>
  <c r="X23" i="2"/>
  <c r="Y23" i="2" s="1"/>
  <c r="X50" i="2"/>
  <c r="Y50" i="2" s="1"/>
  <c r="X24" i="2"/>
  <c r="X51" i="2"/>
  <c r="Y51" i="2" s="1"/>
  <c r="X37" i="2"/>
  <c r="X38" i="2"/>
  <c r="Y38" i="2" s="1"/>
  <c r="X12" i="2"/>
  <c r="X58" i="2"/>
  <c r="X56" i="2"/>
  <c r="Y56" i="2" s="1"/>
  <c r="AA56" i="2" s="1"/>
  <c r="X31" i="2"/>
  <c r="Y31" i="2" s="1"/>
  <c r="Z31" i="2" s="1"/>
  <c r="X26" i="2"/>
  <c r="Y26" i="2" s="1"/>
  <c r="X41" i="2"/>
  <c r="X46" i="2"/>
  <c r="X44" i="2"/>
  <c r="X45" i="2"/>
  <c r="X14" i="2"/>
  <c r="X39" i="2"/>
  <c r="Y39" i="2" s="1"/>
  <c r="Z39" i="2" s="1"/>
  <c r="X34" i="2"/>
  <c r="X32" i="2"/>
  <c r="X30" i="2"/>
  <c r="X49" i="2"/>
  <c r="X22" i="2"/>
  <c r="X20" i="2"/>
  <c r="X40" i="2"/>
  <c r="X59" i="2"/>
  <c r="X28" i="2"/>
  <c r="Y28" i="2" s="1"/>
  <c r="X52" i="2"/>
  <c r="Y52" i="2" s="1"/>
  <c r="X13" i="2"/>
  <c r="X47" i="2"/>
  <c r="X25" i="2"/>
  <c r="X55" i="2"/>
  <c r="X27" i="2"/>
  <c r="X21" i="2"/>
  <c r="Y21" i="2" s="1"/>
  <c r="X19" i="2"/>
  <c r="X17" i="2"/>
  <c r="X35" i="2"/>
  <c r="X57" i="2"/>
  <c r="X43" i="2"/>
  <c r="X18" i="2"/>
  <c r="Y18" i="2" s="1"/>
  <c r="X54" i="2"/>
  <c r="Y54" i="2" s="1"/>
  <c r="X10" i="2"/>
  <c r="X11" i="2"/>
  <c r="Y11" i="2" s="1"/>
  <c r="AA11" i="2" s="1"/>
  <c r="X33" i="2"/>
  <c r="Y33" i="2" s="1"/>
  <c r="X15" i="2"/>
  <c r="X48" i="2"/>
  <c r="X42" i="2"/>
  <c r="Y42" i="2" s="1"/>
  <c r="Y36" i="2"/>
  <c r="AA36" i="2" s="1"/>
  <c r="Y58" i="2"/>
  <c r="AA58" i="2" s="1"/>
  <c r="W44" i="2"/>
  <c r="Y44" i="2" s="1"/>
  <c r="AA44" i="2" s="1"/>
  <c r="Y46" i="2"/>
  <c r="AA46" i="2" s="1"/>
  <c r="W32" i="2"/>
  <c r="W34" i="2"/>
  <c r="W20" i="2"/>
  <c r="Y53" i="2"/>
  <c r="AA53" i="2" s="1"/>
  <c r="W24" i="2"/>
  <c r="W30" i="2"/>
  <c r="Y30" i="2" s="1"/>
  <c r="AA30" i="2" s="1"/>
  <c r="W17" i="2"/>
  <c r="AG13" i="1"/>
  <c r="AF15" i="1"/>
  <c r="AG53" i="1"/>
  <c r="AF23" i="1"/>
  <c r="AF33" i="1"/>
  <c r="AG7" i="1"/>
  <c r="AF42" i="1"/>
  <c r="AF24" i="1"/>
  <c r="AF6" i="1"/>
  <c r="AG37" i="1"/>
  <c r="AF29" i="1"/>
  <c r="AF27" i="1"/>
  <c r="AG16" i="1"/>
  <c r="AF48" i="1"/>
  <c r="AF19" i="1"/>
  <c r="AF31" i="1"/>
  <c r="AG35" i="1"/>
  <c r="AG17" i="1"/>
  <c r="AF54" i="1"/>
  <c r="AG20" i="1"/>
  <c r="AG34" i="1"/>
  <c r="AF43" i="1"/>
  <c r="AF26" i="1"/>
  <c r="AG25" i="1"/>
  <c r="AG18" i="1"/>
  <c r="AG12" i="1"/>
  <c r="AF22" i="1"/>
  <c r="AF8" i="1"/>
  <c r="AF40" i="1"/>
  <c r="AF30" i="1"/>
  <c r="AG55" i="1"/>
  <c r="AF49" i="1"/>
  <c r="AF51" i="1"/>
  <c r="AF41" i="1"/>
  <c r="AF9" i="1"/>
  <c r="AG45" i="1"/>
  <c r="AG14" i="1"/>
  <c r="AG21" i="1"/>
  <c r="AG47" i="1"/>
  <c r="AF47" i="1"/>
  <c r="AG56" i="1"/>
  <c r="AF56" i="1"/>
  <c r="AG50" i="1"/>
  <c r="AF50" i="1"/>
  <c r="AF38" i="1"/>
  <c r="AG38" i="1"/>
  <c r="AG28" i="1"/>
  <c r="AF28" i="1"/>
  <c r="AG52" i="1"/>
  <c r="AF52" i="1"/>
  <c r="AF46" i="1"/>
  <c r="AG46" i="1"/>
  <c r="AG11" i="1"/>
  <c r="AF11" i="1"/>
  <c r="AE57" i="1"/>
  <c r="Y40" i="2" l="1"/>
  <c r="Y14" i="2"/>
  <c r="Y29" i="2"/>
  <c r="Y20" i="2"/>
  <c r="Z20" i="2" s="1"/>
  <c r="Y19" i="2"/>
  <c r="Y10" i="2"/>
  <c r="AA10" i="2" s="1"/>
  <c r="Z46" i="2"/>
  <c r="Z53" i="2"/>
  <c r="Z41" i="2"/>
  <c r="AA41" i="2"/>
  <c r="Y43" i="2"/>
  <c r="AA43" i="2" s="1"/>
  <c r="Y48" i="2"/>
  <c r="AA48" i="2" s="1"/>
  <c r="Y57" i="2"/>
  <c r="AA57" i="2" s="1"/>
  <c r="Y15" i="2"/>
  <c r="Z15" i="2" s="1"/>
  <c r="Y35" i="2"/>
  <c r="AA35" i="2" s="1"/>
  <c r="Y13" i="2"/>
  <c r="AA13" i="2" s="1"/>
  <c r="AA19" i="2"/>
  <c r="Z19" i="2"/>
  <c r="AA28" i="2"/>
  <c r="Z28" i="2"/>
  <c r="Y32" i="2"/>
  <c r="AA32" i="2" s="1"/>
  <c r="Y60" i="2"/>
  <c r="AA60" i="2" s="1"/>
  <c r="Y59" i="2"/>
  <c r="Z59" i="2" s="1"/>
  <c r="Y55" i="2"/>
  <c r="AA55" i="2" s="1"/>
  <c r="Y45" i="2"/>
  <c r="AA45" i="2" s="1"/>
  <c r="Y17" i="2"/>
  <c r="Z17" i="2" s="1"/>
  <c r="Y49" i="2"/>
  <c r="Z49" i="2" s="1"/>
  <c r="Y37" i="2"/>
  <c r="AA37" i="2" s="1"/>
  <c r="Y24" i="2"/>
  <c r="Z10" i="2"/>
  <c r="Y34" i="2"/>
  <c r="Z34" i="2" s="1"/>
  <c r="AA38" i="2"/>
  <c r="Z38" i="2"/>
  <c r="AA40" i="2"/>
  <c r="Z40" i="2"/>
  <c r="AA31" i="2"/>
  <c r="Z44" i="2"/>
  <c r="AA47" i="2"/>
  <c r="AA20" i="2"/>
  <c r="Z58" i="2"/>
  <c r="Z36" i="2"/>
  <c r="Z12" i="2"/>
  <c r="AA39" i="2"/>
  <c r="AA22" i="2"/>
  <c r="Z56" i="2"/>
  <c r="Z51" i="2"/>
  <c r="AA51" i="2"/>
  <c r="Z23" i="2"/>
  <c r="AA23" i="2"/>
  <c r="AA14" i="2"/>
  <c r="Z14" i="2"/>
  <c r="AA50" i="2"/>
  <c r="Z50" i="2"/>
  <c r="AA26" i="2"/>
  <c r="Z26" i="2"/>
  <c r="Z29" i="2"/>
  <c r="AA29" i="2"/>
  <c r="Z54" i="2"/>
  <c r="AA54" i="2"/>
  <c r="Z42" i="2"/>
  <c r="AA42" i="2"/>
  <c r="AA18" i="2"/>
  <c r="Z18" i="2"/>
  <c r="Z52" i="2"/>
  <c r="AA52" i="2"/>
  <c r="AA21" i="2"/>
  <c r="Z21" i="2"/>
  <c r="AA33" i="2"/>
  <c r="Z33" i="2"/>
  <c r="Z32" i="2"/>
  <c r="AA16" i="2"/>
  <c r="Z11" i="2"/>
  <c r="AA27" i="2"/>
  <c r="AA25" i="2"/>
  <c r="Z30" i="2"/>
  <c r="AG57" i="1"/>
  <c r="AY3" i="1" s="1"/>
  <c r="AF57" i="1"/>
  <c r="AE2" i="1" s="1"/>
  <c r="Z45" i="2" l="1"/>
  <c r="AA49" i="2"/>
  <c r="AA17" i="2"/>
  <c r="Z48" i="2"/>
  <c r="AA15" i="2"/>
  <c r="Z57" i="2"/>
  <c r="Z43" i="2"/>
  <c r="Z35" i="2"/>
  <c r="AA59" i="2"/>
  <c r="Z13" i="2"/>
  <c r="Z37" i="2"/>
  <c r="BD3" i="1"/>
  <c r="Z60" i="2"/>
  <c r="Z24" i="2"/>
  <c r="AA24" i="2"/>
  <c r="AA34" i="2"/>
  <c r="Y61" i="2"/>
  <c r="Z55" i="2"/>
  <c r="AV3" i="1"/>
  <c r="BC3" i="1"/>
  <c r="BF3" i="1"/>
  <c r="AW3" i="1"/>
  <c r="AJ3" i="1"/>
  <c r="BB3" i="1"/>
  <c r="BA3" i="1"/>
  <c r="AX3" i="1"/>
  <c r="AZ3" i="1"/>
  <c r="BE3" i="1"/>
  <c r="AG3" i="1"/>
  <c r="AP3" i="1"/>
  <c r="AM3" i="1"/>
  <c r="AO3" i="1"/>
  <c r="AF3" i="1"/>
  <c r="AE3" i="1"/>
  <c r="AK3" i="1"/>
  <c r="AL3" i="1"/>
  <c r="AI3" i="1"/>
  <c r="AH3" i="1"/>
  <c r="AN3" i="1"/>
  <c r="AJ2" i="1"/>
  <c r="AZ2" i="1" s="1"/>
  <c r="AM2" i="1"/>
  <c r="BC2" i="1" s="1"/>
  <c r="AF2" i="1"/>
  <c r="AV2" i="1" s="1"/>
  <c r="AO2" i="1"/>
  <c r="BE2" i="1" s="1"/>
  <c r="AK2" i="1"/>
  <c r="BA2" i="1" s="1"/>
  <c r="AL2" i="1"/>
  <c r="BB2" i="1" s="1"/>
  <c r="AI2" i="1"/>
  <c r="AY2" i="1" s="1"/>
  <c r="AP2" i="1"/>
  <c r="BF2" i="1" s="1"/>
  <c r="AG2" i="1"/>
  <c r="AW2" i="1" s="1"/>
  <c r="AH2" i="1"/>
  <c r="AX2" i="1" s="1"/>
  <c r="AN2" i="1"/>
  <c r="BD2" i="1" s="1"/>
  <c r="AU3" i="1"/>
  <c r="Z61" i="2" l="1"/>
  <c r="AA61" i="2"/>
  <c r="BI8" i="1"/>
  <c r="BI16" i="1"/>
  <c r="BI24" i="1"/>
  <c r="BI32" i="1"/>
  <c r="BI40" i="1"/>
  <c r="BI48" i="1"/>
  <c r="BI56" i="1"/>
  <c r="BI17" i="1"/>
  <c r="BI25" i="1"/>
  <c r="BI41" i="1"/>
  <c r="BI49" i="1"/>
  <c r="BI11" i="1"/>
  <c r="BI35" i="1"/>
  <c r="BI13" i="1"/>
  <c r="BI21" i="1"/>
  <c r="BI37" i="1"/>
  <c r="BI53" i="1"/>
  <c r="BI6" i="1"/>
  <c r="BI22" i="1"/>
  <c r="BI38" i="1"/>
  <c r="BI54" i="1"/>
  <c r="BI7" i="1"/>
  <c r="BI23" i="1"/>
  <c r="BI39" i="1"/>
  <c r="BI55" i="1"/>
  <c r="BI9" i="1"/>
  <c r="BI33" i="1"/>
  <c r="BI19" i="1"/>
  <c r="BI43" i="1"/>
  <c r="BI12" i="1"/>
  <c r="BI20" i="1"/>
  <c r="BI28" i="1"/>
  <c r="BI36" i="1"/>
  <c r="BI44" i="1"/>
  <c r="BI52" i="1"/>
  <c r="BI14" i="1"/>
  <c r="BI30" i="1"/>
  <c r="BI46" i="1"/>
  <c r="BI15" i="1"/>
  <c r="BI31" i="1"/>
  <c r="BI47" i="1"/>
  <c r="BI10" i="1"/>
  <c r="BI18" i="1"/>
  <c r="BI26" i="1"/>
  <c r="BI34" i="1"/>
  <c r="BI42" i="1"/>
  <c r="BI50" i="1"/>
  <c r="BI27" i="1"/>
  <c r="BI51" i="1"/>
  <c r="BI29" i="1"/>
  <c r="BI45" i="1"/>
  <c r="AS11" i="1"/>
  <c r="AS19" i="1"/>
  <c r="AS27" i="1"/>
  <c r="AS35" i="1"/>
  <c r="AS43" i="1"/>
  <c r="AS51" i="1"/>
  <c r="AS53" i="1"/>
  <c r="AS7" i="1"/>
  <c r="AS31" i="1"/>
  <c r="AS47" i="1"/>
  <c r="AS8" i="1"/>
  <c r="AS24" i="1"/>
  <c r="AS40" i="1"/>
  <c r="AS56" i="1"/>
  <c r="AS34" i="1"/>
  <c r="AS12" i="1"/>
  <c r="AS20" i="1"/>
  <c r="AS28" i="1"/>
  <c r="AS36" i="1"/>
  <c r="AS44" i="1"/>
  <c r="AS52" i="1"/>
  <c r="AS13" i="1"/>
  <c r="AS21" i="1"/>
  <c r="AS29" i="1"/>
  <c r="AS37" i="1"/>
  <c r="AS45" i="1"/>
  <c r="AS54" i="1"/>
  <c r="AS15" i="1"/>
  <c r="AS23" i="1"/>
  <c r="AS39" i="1"/>
  <c r="AS55" i="1"/>
  <c r="AS16" i="1"/>
  <c r="AS32" i="1"/>
  <c r="AS48" i="1"/>
  <c r="AS26" i="1"/>
  <c r="AS14" i="1"/>
  <c r="AS22" i="1"/>
  <c r="AS30" i="1"/>
  <c r="AS38" i="1"/>
  <c r="AS46" i="1"/>
  <c r="AS9" i="1"/>
  <c r="AS17" i="1"/>
  <c r="AS25" i="1"/>
  <c r="AS33" i="1"/>
  <c r="AS41" i="1"/>
  <c r="AS49" i="1"/>
  <c r="AS6" i="1"/>
  <c r="AS10" i="1"/>
  <c r="AS18" i="1"/>
  <c r="AS42" i="1"/>
  <c r="AS50" i="1"/>
  <c r="AU2" i="1"/>
  <c r="BH24" i="1" s="1"/>
  <c r="AT14" i="1"/>
  <c r="AT22" i="1"/>
  <c r="AT30" i="1"/>
  <c r="AT38" i="1"/>
  <c r="AT46" i="1"/>
  <c r="AT54" i="1"/>
  <c r="AT7" i="1"/>
  <c r="AT15" i="1"/>
  <c r="AT23" i="1"/>
  <c r="AT31" i="1"/>
  <c r="AT39" i="1"/>
  <c r="AT47" i="1"/>
  <c r="AT55" i="1"/>
  <c r="AT8" i="1"/>
  <c r="AT16" i="1"/>
  <c r="AT24" i="1"/>
  <c r="AT32" i="1"/>
  <c r="AT40" i="1"/>
  <c r="AT48" i="1"/>
  <c r="AT56" i="1"/>
  <c r="AT51" i="1"/>
  <c r="AT9" i="1"/>
  <c r="AT17" i="1"/>
  <c r="AT25" i="1"/>
  <c r="AT33" i="1"/>
  <c r="AT41" i="1"/>
  <c r="AT49" i="1"/>
  <c r="AT6" i="1"/>
  <c r="AT10" i="1"/>
  <c r="AT18" i="1"/>
  <c r="AT26" i="1"/>
  <c r="AT34" i="1"/>
  <c r="AT42" i="1"/>
  <c r="AT50" i="1"/>
  <c r="AT11" i="1"/>
  <c r="AT19" i="1"/>
  <c r="AT27" i="1"/>
  <c r="AT35" i="1"/>
  <c r="AT43" i="1"/>
  <c r="AT12" i="1"/>
  <c r="AT20" i="1"/>
  <c r="AT28" i="1"/>
  <c r="AT36" i="1"/>
  <c r="AT44" i="1"/>
  <c r="AT52" i="1"/>
  <c r="AT13" i="1"/>
  <c r="AT21" i="1"/>
  <c r="AT29" i="1"/>
  <c r="AT37" i="1"/>
  <c r="AT45" i="1"/>
  <c r="AT53" i="1"/>
  <c r="M67" i="2" l="1"/>
  <c r="H67" i="2"/>
  <c r="E67" i="2"/>
  <c r="N67" i="2"/>
  <c r="D67" i="2"/>
  <c r="L67" i="2"/>
  <c r="F67" i="2"/>
  <c r="K67" i="2"/>
  <c r="I67" i="2"/>
  <c r="O67" i="2"/>
  <c r="J67" i="2"/>
  <c r="G67" i="2"/>
  <c r="E66" i="2"/>
  <c r="O66" i="2"/>
  <c r="L66" i="2"/>
  <c r="N66" i="2"/>
  <c r="D66" i="2"/>
  <c r="J66" i="2"/>
  <c r="M66" i="2"/>
  <c r="I66" i="2"/>
  <c r="F66" i="2"/>
  <c r="K66" i="2"/>
  <c r="H66" i="2"/>
  <c r="G66" i="2"/>
  <c r="AU10" i="1"/>
  <c r="AU46" i="1"/>
  <c r="AW46" i="1" s="1"/>
  <c r="AU16" i="1"/>
  <c r="AV16" i="1" s="1"/>
  <c r="AU29" i="1"/>
  <c r="AW29" i="1" s="1"/>
  <c r="AU12" i="1"/>
  <c r="AU7" i="1"/>
  <c r="AV7" i="1" s="1"/>
  <c r="BH31" i="1"/>
  <c r="AU55" i="1"/>
  <c r="AW55" i="1" s="1"/>
  <c r="AU21" i="1"/>
  <c r="AU34" i="1"/>
  <c r="AV34" i="1" s="1"/>
  <c r="BH9" i="1"/>
  <c r="BJ9" i="1" s="1"/>
  <c r="BK9" i="1" s="1"/>
  <c r="AU13" i="1"/>
  <c r="AW13" i="1" s="1"/>
  <c r="AU51" i="1"/>
  <c r="AU52" i="1"/>
  <c r="AW52" i="1" s="1"/>
  <c r="AU43" i="1"/>
  <c r="AW43" i="1" s="1"/>
  <c r="BH6" i="1"/>
  <c r="BH48" i="1"/>
  <c r="BH44" i="1"/>
  <c r="BJ44" i="1" s="1"/>
  <c r="BH11" i="1"/>
  <c r="BJ11" i="1" s="1"/>
  <c r="BL11" i="1" s="1"/>
  <c r="BH20" i="1"/>
  <c r="BJ20" i="1" s="1"/>
  <c r="BK20" i="1" s="1"/>
  <c r="BH40" i="1"/>
  <c r="BJ40" i="1" s="1"/>
  <c r="BL40" i="1" s="1"/>
  <c r="BH49" i="1"/>
  <c r="BJ49" i="1" s="1"/>
  <c r="BK49" i="1" s="1"/>
  <c r="BH43" i="1"/>
  <c r="BJ43" i="1" s="1"/>
  <c r="BL43" i="1" s="1"/>
  <c r="BH15" i="1"/>
  <c r="BJ15" i="1" s="1"/>
  <c r="BL15" i="1" s="1"/>
  <c r="BH17" i="1"/>
  <c r="BH7" i="1"/>
  <c r="BJ7" i="1" s="1"/>
  <c r="BH32" i="1"/>
  <c r="BH28" i="1"/>
  <c r="BJ28" i="1" s="1"/>
  <c r="BH47" i="1"/>
  <c r="BJ47" i="1" s="1"/>
  <c r="BL47" i="1" s="1"/>
  <c r="BH50" i="1"/>
  <c r="BJ50" i="1" s="1"/>
  <c r="BL50" i="1" s="1"/>
  <c r="BH55" i="1"/>
  <c r="BJ55" i="1" s="1"/>
  <c r="BL55" i="1" s="1"/>
  <c r="BH41" i="1"/>
  <c r="BJ41" i="1" s="1"/>
  <c r="BH45" i="1"/>
  <c r="BJ45" i="1" s="1"/>
  <c r="BK45" i="1" s="1"/>
  <c r="BH18" i="1"/>
  <c r="BJ18" i="1" s="1"/>
  <c r="BL18" i="1" s="1"/>
  <c r="BH10" i="1"/>
  <c r="BJ10" i="1" s="1"/>
  <c r="BL10" i="1" s="1"/>
  <c r="BH16" i="1"/>
  <c r="BJ16" i="1" s="1"/>
  <c r="BH12" i="1"/>
  <c r="BJ12" i="1" s="1"/>
  <c r="BK12" i="1" s="1"/>
  <c r="BH39" i="1"/>
  <c r="BJ39" i="1" s="1"/>
  <c r="BL39" i="1" s="1"/>
  <c r="BH42" i="1"/>
  <c r="BJ42" i="1" s="1"/>
  <c r="BK42" i="1" s="1"/>
  <c r="BH54" i="1"/>
  <c r="BH33" i="1"/>
  <c r="BJ33" i="1" s="1"/>
  <c r="BK33" i="1" s="1"/>
  <c r="BH46" i="1"/>
  <c r="BJ46" i="1" s="1"/>
  <c r="BL46" i="1" s="1"/>
  <c r="BH26" i="1"/>
  <c r="BJ26" i="1" s="1"/>
  <c r="BK26" i="1" s="1"/>
  <c r="BH38" i="1"/>
  <c r="BJ38" i="1" s="1"/>
  <c r="BL38" i="1" s="1"/>
  <c r="BH37" i="1"/>
  <c r="BJ37" i="1" s="1"/>
  <c r="BH21" i="1"/>
  <c r="BJ21" i="1" s="1"/>
  <c r="BK21" i="1" s="1"/>
  <c r="BH8" i="1"/>
  <c r="BJ8" i="1" s="1"/>
  <c r="BL8" i="1" s="1"/>
  <c r="BH51" i="1"/>
  <c r="BJ51" i="1" s="1"/>
  <c r="BH23" i="1"/>
  <c r="BJ23" i="1" s="1"/>
  <c r="BL23" i="1" s="1"/>
  <c r="BH34" i="1"/>
  <c r="BJ34" i="1" s="1"/>
  <c r="BL34" i="1" s="1"/>
  <c r="BH53" i="1"/>
  <c r="BJ53" i="1" s="1"/>
  <c r="BK53" i="1" s="1"/>
  <c r="BH25" i="1"/>
  <c r="BJ25" i="1" s="1"/>
  <c r="BH35" i="1"/>
  <c r="BJ35" i="1" s="1"/>
  <c r="BL35" i="1" s="1"/>
  <c r="BH22" i="1"/>
  <c r="BJ22" i="1" s="1"/>
  <c r="BH27" i="1"/>
  <c r="BJ27" i="1" s="1"/>
  <c r="BL27" i="1" s="1"/>
  <c r="BH52" i="1"/>
  <c r="BJ52" i="1" s="1"/>
  <c r="BH29" i="1"/>
  <c r="BJ29" i="1" s="1"/>
  <c r="BH14" i="1"/>
  <c r="BJ14" i="1" s="1"/>
  <c r="BL14" i="1" s="1"/>
  <c r="BH19" i="1"/>
  <c r="BJ19" i="1" s="1"/>
  <c r="BL19" i="1" s="1"/>
  <c r="BH36" i="1"/>
  <c r="BJ36" i="1" s="1"/>
  <c r="BH56" i="1"/>
  <c r="BJ56" i="1" s="1"/>
  <c r="BH30" i="1"/>
  <c r="BJ30" i="1" s="1"/>
  <c r="BH13" i="1"/>
  <c r="BJ13" i="1" s="1"/>
  <c r="BK13" i="1" s="1"/>
  <c r="AU38" i="1"/>
  <c r="AU53" i="1"/>
  <c r="AU30" i="1"/>
  <c r="AV51" i="1"/>
  <c r="AW51" i="1"/>
  <c r="AU22" i="1"/>
  <c r="AV43" i="1"/>
  <c r="AU33" i="1"/>
  <c r="AU14" i="1"/>
  <c r="AU15" i="1"/>
  <c r="AU44" i="1"/>
  <c r="AU24" i="1"/>
  <c r="AU35" i="1"/>
  <c r="AV10" i="1"/>
  <c r="AW10" i="1"/>
  <c r="AU39" i="1"/>
  <c r="AV52" i="1"/>
  <c r="AU50" i="1"/>
  <c r="AU25" i="1"/>
  <c r="AU26" i="1"/>
  <c r="AU54" i="1"/>
  <c r="AU36" i="1"/>
  <c r="AU8" i="1"/>
  <c r="AU27" i="1"/>
  <c r="AW16" i="1"/>
  <c r="AU6" i="1"/>
  <c r="AW21" i="1"/>
  <c r="AV21" i="1"/>
  <c r="AU56" i="1"/>
  <c r="AU41" i="1"/>
  <c r="AU40" i="1"/>
  <c r="AU42" i="1"/>
  <c r="AU17" i="1"/>
  <c r="AU48" i="1"/>
  <c r="AU45" i="1"/>
  <c r="AU28" i="1"/>
  <c r="AU47" i="1"/>
  <c r="AU19" i="1"/>
  <c r="AV46" i="1"/>
  <c r="AW12" i="1"/>
  <c r="AV12" i="1"/>
  <c r="AU49" i="1"/>
  <c r="AU23" i="1"/>
  <c r="AU18" i="1"/>
  <c r="AU9" i="1"/>
  <c r="AU32" i="1"/>
  <c r="AU37" i="1"/>
  <c r="AU20" i="1"/>
  <c r="AU31" i="1"/>
  <c r="AU11" i="1"/>
  <c r="BJ31" i="1"/>
  <c r="BL31" i="1" s="1"/>
  <c r="BJ48" i="1"/>
  <c r="BK48" i="1" s="1"/>
  <c r="BJ54" i="1"/>
  <c r="BL54" i="1" s="1"/>
  <c r="BJ32" i="1"/>
  <c r="BK32" i="1" s="1"/>
  <c r="BJ24" i="1"/>
  <c r="BL24" i="1" s="1"/>
  <c r="BK11" i="1"/>
  <c r="BJ17" i="1"/>
  <c r="BJ6" i="1"/>
  <c r="BK41" i="1"/>
  <c r="BL41" i="1"/>
  <c r="AC32" i="2" l="1"/>
  <c r="AC29" i="2"/>
  <c r="AD32" i="2"/>
  <c r="AE32" i="2" s="1"/>
  <c r="AD16" i="2"/>
  <c r="AC49" i="2"/>
  <c r="AC30" i="2"/>
  <c r="AD14" i="2"/>
  <c r="AD54" i="2"/>
  <c r="AD35" i="2"/>
  <c r="AC51" i="2"/>
  <c r="AC15" i="2"/>
  <c r="AC53" i="2"/>
  <c r="AD28" i="2"/>
  <c r="AD43" i="2"/>
  <c r="AC55" i="2"/>
  <c r="AC34" i="2"/>
  <c r="AC25" i="2"/>
  <c r="AD31" i="2"/>
  <c r="AC20" i="2"/>
  <c r="AC43" i="2"/>
  <c r="AD45" i="2"/>
  <c r="AC37" i="2"/>
  <c r="AC12" i="2"/>
  <c r="AC26" i="2"/>
  <c r="AC33" i="2"/>
  <c r="AC45" i="2"/>
  <c r="AC18" i="2"/>
  <c r="AC54" i="2"/>
  <c r="AD23" i="2"/>
  <c r="AD50" i="2"/>
  <c r="AD44" i="2"/>
  <c r="AD34" i="2"/>
  <c r="AD24" i="2"/>
  <c r="AD36" i="2"/>
  <c r="AC56" i="2"/>
  <c r="AC41" i="2"/>
  <c r="AC42" i="2"/>
  <c r="AC23" i="2"/>
  <c r="AE23" i="2" s="1"/>
  <c r="AG23" i="2" s="1"/>
  <c r="AC35" i="2"/>
  <c r="AD33" i="2"/>
  <c r="AD60" i="2"/>
  <c r="AD29" i="2"/>
  <c r="AE29" i="2" s="1"/>
  <c r="AD22" i="2"/>
  <c r="AD12" i="2"/>
  <c r="AD10" i="2"/>
  <c r="AC58" i="2"/>
  <c r="AC19" i="2"/>
  <c r="AC17" i="2"/>
  <c r="AC48" i="2"/>
  <c r="AC60" i="2"/>
  <c r="AC57" i="2"/>
  <c r="AD11" i="2"/>
  <c r="AD38" i="2"/>
  <c r="AC52" i="2"/>
  <c r="AD59" i="2"/>
  <c r="AD49" i="2"/>
  <c r="AE49" i="2" s="1"/>
  <c r="AG49" i="2" s="1"/>
  <c r="AD27" i="2"/>
  <c r="AD55" i="2"/>
  <c r="AC10" i="2"/>
  <c r="AE10" i="2" s="1"/>
  <c r="AF10" i="2" s="1"/>
  <c r="AC11" i="2"/>
  <c r="AC50" i="2"/>
  <c r="AC44" i="2"/>
  <c r="AC22" i="2"/>
  <c r="AC14" i="2"/>
  <c r="AE14" i="2" s="1"/>
  <c r="AF14" i="2" s="1"/>
  <c r="AD26" i="2"/>
  <c r="AD20" i="2"/>
  <c r="AD47" i="2"/>
  <c r="AD52" i="2"/>
  <c r="AD18" i="2"/>
  <c r="AD58" i="2"/>
  <c r="AD21" i="2"/>
  <c r="AC38" i="2"/>
  <c r="AC31" i="2"/>
  <c r="AE31" i="2" s="1"/>
  <c r="AG31" i="2" s="1"/>
  <c r="AC40" i="2"/>
  <c r="AD13" i="2"/>
  <c r="AD41" i="2"/>
  <c r="AD56" i="2"/>
  <c r="AD46" i="2"/>
  <c r="AC24" i="2"/>
  <c r="AC21" i="2"/>
  <c r="AC46" i="2"/>
  <c r="AC27" i="2"/>
  <c r="AC39" i="2"/>
  <c r="AC47" i="2"/>
  <c r="AE47" i="2" s="1"/>
  <c r="AG47" i="2" s="1"/>
  <c r="AD48" i="2"/>
  <c r="AD17" i="2"/>
  <c r="AD40" i="2"/>
  <c r="AD37" i="2"/>
  <c r="AD15" i="2"/>
  <c r="AD30" i="2"/>
  <c r="AD42" i="2"/>
  <c r="AC13" i="2"/>
  <c r="AE13" i="2" s="1"/>
  <c r="AF13" i="2" s="1"/>
  <c r="AC36" i="2"/>
  <c r="AE36" i="2" s="1"/>
  <c r="AG36" i="2" s="1"/>
  <c r="AC16" i="2"/>
  <c r="AE16" i="2" s="1"/>
  <c r="AF16" i="2" s="1"/>
  <c r="AC28" i="2"/>
  <c r="AE28" i="2" s="1"/>
  <c r="AF28" i="2" s="1"/>
  <c r="AC59" i="2"/>
  <c r="AE59" i="2" s="1"/>
  <c r="AG59" i="2" s="1"/>
  <c r="AD51" i="2"/>
  <c r="AE51" i="2" s="1"/>
  <c r="AD57" i="2"/>
  <c r="AD25" i="2"/>
  <c r="AD53" i="2"/>
  <c r="AE53" i="2" s="1"/>
  <c r="AD19" i="2"/>
  <c r="AD39" i="2"/>
  <c r="AE11" i="2"/>
  <c r="AG11" i="2" s="1"/>
  <c r="AE45" i="2"/>
  <c r="AF45" i="2" s="1"/>
  <c r="AV29" i="1"/>
  <c r="BK23" i="1"/>
  <c r="BK18" i="1"/>
  <c r="AW34" i="1"/>
  <c r="BN6" i="1"/>
  <c r="BP6" i="1"/>
  <c r="BK46" i="1"/>
  <c r="BK14" i="1"/>
  <c r="BL29" i="1"/>
  <c r="BK29" i="1"/>
  <c r="AV13" i="1"/>
  <c r="BL48" i="1"/>
  <c r="BL26" i="1"/>
  <c r="BK8" i="1"/>
  <c r="AV55" i="1"/>
  <c r="AW7" i="1"/>
  <c r="BL53" i="1"/>
  <c r="BK40" i="1"/>
  <c r="BL12" i="1"/>
  <c r="BK19" i="1"/>
  <c r="BL36" i="1"/>
  <c r="BK36" i="1"/>
  <c r="BL13" i="1"/>
  <c r="BK55" i="1"/>
  <c r="AV8" i="1"/>
  <c r="AW8" i="1"/>
  <c r="AW15" i="1"/>
  <c r="AV15" i="1"/>
  <c r="AV47" i="1"/>
  <c r="AW47" i="1"/>
  <c r="AW22" i="1"/>
  <c r="AV22" i="1"/>
  <c r="AV28" i="1"/>
  <c r="AW28" i="1"/>
  <c r="AV36" i="1"/>
  <c r="AW36" i="1"/>
  <c r="AW9" i="1"/>
  <c r="AV9" i="1"/>
  <c r="AV30" i="1"/>
  <c r="AW30" i="1"/>
  <c r="AW17" i="1"/>
  <c r="AV17" i="1"/>
  <c r="AV25" i="1"/>
  <c r="AW25" i="1"/>
  <c r="AV33" i="1"/>
  <c r="AW33" i="1"/>
  <c r="AW23" i="1"/>
  <c r="AV23" i="1"/>
  <c r="AW42" i="1"/>
  <c r="AV42" i="1"/>
  <c r="AW50" i="1"/>
  <c r="AV50" i="1"/>
  <c r="AV38" i="1"/>
  <c r="AW38" i="1"/>
  <c r="AV20" i="1"/>
  <c r="AW20" i="1"/>
  <c r="AV39" i="1"/>
  <c r="AW39" i="1"/>
  <c r="AV37" i="1"/>
  <c r="AW37" i="1"/>
  <c r="AV45" i="1"/>
  <c r="AW45" i="1"/>
  <c r="AV48" i="1"/>
  <c r="AW48" i="1"/>
  <c r="AV53" i="1"/>
  <c r="AW53" i="1"/>
  <c r="AW11" i="1"/>
  <c r="AV11" i="1"/>
  <c r="AW49" i="1"/>
  <c r="AV49" i="1"/>
  <c r="AV41" i="1"/>
  <c r="AW41" i="1"/>
  <c r="AV24" i="1"/>
  <c r="AW24" i="1"/>
  <c r="AV56" i="1"/>
  <c r="AW56" i="1"/>
  <c r="AV44" i="1"/>
  <c r="AW44" i="1"/>
  <c r="AW32" i="1"/>
  <c r="AV32" i="1"/>
  <c r="AW54" i="1"/>
  <c r="AV54" i="1"/>
  <c r="AW26" i="1"/>
  <c r="AV26" i="1"/>
  <c r="AW14" i="1"/>
  <c r="AV14" i="1"/>
  <c r="AV18" i="1"/>
  <c r="AW18" i="1"/>
  <c r="AU57" i="1"/>
  <c r="AW6" i="1"/>
  <c r="AV6" i="1"/>
  <c r="AW31" i="1"/>
  <c r="AV31" i="1"/>
  <c r="AW19" i="1"/>
  <c r="AV19" i="1"/>
  <c r="AW40" i="1"/>
  <c r="AV40" i="1"/>
  <c r="AV27" i="1"/>
  <c r="AW27" i="1"/>
  <c r="AV35" i="1"/>
  <c r="AW35" i="1"/>
  <c r="BK34" i="1"/>
  <c r="BK10" i="1"/>
  <c r="BK50" i="1"/>
  <c r="BK38" i="1"/>
  <c r="BK54" i="1"/>
  <c r="BK15" i="1"/>
  <c r="BK39" i="1"/>
  <c r="BK43" i="1"/>
  <c r="BL45" i="1"/>
  <c r="BK31" i="1"/>
  <c r="BK27" i="1"/>
  <c r="BL33" i="1"/>
  <c r="BK35" i="1"/>
  <c r="BK47" i="1"/>
  <c r="BL42" i="1"/>
  <c r="BL49" i="1"/>
  <c r="BL20" i="1"/>
  <c r="BL9" i="1"/>
  <c r="BK24" i="1"/>
  <c r="BL21" i="1"/>
  <c r="BL32" i="1"/>
  <c r="BL51" i="1"/>
  <c r="BK51" i="1"/>
  <c r="BK17" i="1"/>
  <c r="BL17" i="1"/>
  <c r="BK25" i="1"/>
  <c r="BL25" i="1"/>
  <c r="BL7" i="1"/>
  <c r="BK7" i="1"/>
  <c r="BK52" i="1"/>
  <c r="BL52" i="1"/>
  <c r="BK28" i="1"/>
  <c r="BL28" i="1"/>
  <c r="BK56" i="1"/>
  <c r="BL56" i="1"/>
  <c r="BK30" i="1"/>
  <c r="BL30" i="1"/>
  <c r="BK37" i="1"/>
  <c r="BL37" i="1"/>
  <c r="BK22" i="1"/>
  <c r="BL22" i="1"/>
  <c r="BK16" i="1"/>
  <c r="BL16" i="1"/>
  <c r="BL6" i="1"/>
  <c r="BK6" i="1"/>
  <c r="BJ57" i="1"/>
  <c r="BK44" i="1"/>
  <c r="BL44" i="1"/>
  <c r="AE26" i="2" l="1"/>
  <c r="AF26" i="2" s="1"/>
  <c r="AE21" i="2"/>
  <c r="AG21" i="2" s="1"/>
  <c r="AE54" i="2"/>
  <c r="AF54" i="2" s="1"/>
  <c r="AE15" i="2"/>
  <c r="AE60" i="2"/>
  <c r="AF60" i="2" s="1"/>
  <c r="AE34" i="2"/>
  <c r="AG34" i="2" s="1"/>
  <c r="AE48" i="2"/>
  <c r="AF48" i="2" s="1"/>
  <c r="AE33" i="2"/>
  <c r="AF33" i="2" s="1"/>
  <c r="AE24" i="2"/>
  <c r="AE19" i="2"/>
  <c r="AG19" i="2" s="1"/>
  <c r="AE35" i="2"/>
  <c r="AF35" i="2" s="1"/>
  <c r="AE46" i="2"/>
  <c r="AG46" i="2" s="1"/>
  <c r="AE52" i="2"/>
  <c r="AF52" i="2" s="1"/>
  <c r="AG32" i="2"/>
  <c r="AF32" i="2"/>
  <c r="AE44" i="2"/>
  <c r="AG44" i="2" s="1"/>
  <c r="AE37" i="2"/>
  <c r="AG37" i="2" s="1"/>
  <c r="AG26" i="2"/>
  <c r="AG48" i="2"/>
  <c r="AE50" i="2"/>
  <c r="AG50" i="2" s="1"/>
  <c r="AF34" i="2"/>
  <c r="AE25" i="2"/>
  <c r="AG25" i="2" s="1"/>
  <c r="AE39" i="2"/>
  <c r="AG39" i="2" s="1"/>
  <c r="AE41" i="2"/>
  <c r="AF41" i="2" s="1"/>
  <c r="AE43" i="2"/>
  <c r="AG43" i="2" s="1"/>
  <c r="AE30" i="2"/>
  <c r="AG30" i="2" s="1"/>
  <c r="AE27" i="2"/>
  <c r="AF27" i="2" s="1"/>
  <c r="AE40" i="2"/>
  <c r="AE57" i="2"/>
  <c r="AG57" i="2" s="1"/>
  <c r="AE22" i="2"/>
  <c r="AF22" i="2" s="1"/>
  <c r="AE56" i="2"/>
  <c r="AF56" i="2" s="1"/>
  <c r="AE18" i="2"/>
  <c r="AG18" i="2" s="1"/>
  <c r="AE20" i="2"/>
  <c r="AE58" i="2"/>
  <c r="AG58" i="2" s="1"/>
  <c r="AF21" i="2"/>
  <c r="AE55" i="2"/>
  <c r="AG55" i="2" s="1"/>
  <c r="AF51" i="2"/>
  <c r="AG51" i="2"/>
  <c r="AG15" i="2"/>
  <c r="AF15" i="2"/>
  <c r="AG29" i="2"/>
  <c r="AF29" i="2"/>
  <c r="AG53" i="2"/>
  <c r="AF53" i="2"/>
  <c r="AF30" i="2"/>
  <c r="AG27" i="2"/>
  <c r="AE42" i="2"/>
  <c r="AE38" i="2"/>
  <c r="AF49" i="2"/>
  <c r="AE17" i="2"/>
  <c r="AE12" i="2"/>
  <c r="AG45" i="2"/>
  <c r="AF31" i="2"/>
  <c r="AF11" i="2"/>
  <c r="AG13" i="2"/>
  <c r="AG60" i="2"/>
  <c r="AG54" i="2"/>
  <c r="AG16" i="2"/>
  <c r="AF23" i="2"/>
  <c r="AF59" i="2"/>
  <c r="AG28" i="2"/>
  <c r="AF47" i="2"/>
  <c r="AF36" i="2"/>
  <c r="AG14" i="2"/>
  <c r="AF24" i="2"/>
  <c r="AG24" i="2"/>
  <c r="AF44" i="2"/>
  <c r="AG10" i="2"/>
  <c r="BK57" i="1"/>
  <c r="AV57" i="1"/>
  <c r="BL2" i="1" s="1"/>
  <c r="AW57" i="1"/>
  <c r="BU3" i="1" s="1"/>
  <c r="BQ3" i="1"/>
  <c r="AF58" i="2" l="1"/>
  <c r="AF19" i="2"/>
  <c r="AF37" i="2"/>
  <c r="AF18" i="2"/>
  <c r="AG35" i="2"/>
  <c r="AG33" i="2"/>
  <c r="AF46" i="2"/>
  <c r="AF25" i="2"/>
  <c r="AG52" i="2"/>
  <c r="AG22" i="2"/>
  <c r="AG56" i="2"/>
  <c r="AF39" i="2"/>
  <c r="AG40" i="2"/>
  <c r="AF40" i="2"/>
  <c r="AF55" i="2"/>
  <c r="AG20" i="2"/>
  <c r="AF20" i="2"/>
  <c r="AF50" i="2"/>
  <c r="AF57" i="2"/>
  <c r="AG41" i="2"/>
  <c r="AF43" i="2"/>
  <c r="AG12" i="2"/>
  <c r="AF12" i="2"/>
  <c r="AG17" i="2"/>
  <c r="AG61" i="2" s="1"/>
  <c r="AF17" i="2"/>
  <c r="AG38" i="2"/>
  <c r="AF38" i="2"/>
  <c r="AE61" i="2"/>
  <c r="AG42" i="2"/>
  <c r="AF42" i="2"/>
  <c r="BK3" i="1"/>
  <c r="BS2" i="1"/>
  <c r="BQ2" i="1"/>
  <c r="BL3" i="1"/>
  <c r="BS3" i="1"/>
  <c r="BN3" i="1"/>
  <c r="BM3" i="1"/>
  <c r="BN2" i="1"/>
  <c r="BP2" i="1"/>
  <c r="BT3" i="1"/>
  <c r="BP3" i="1"/>
  <c r="BO2" i="1"/>
  <c r="BM2" i="1"/>
  <c r="BO3" i="1"/>
  <c r="BR3" i="1"/>
  <c r="BR2" i="1"/>
  <c r="BT2" i="1"/>
  <c r="BU2" i="1"/>
  <c r="BK2" i="1"/>
  <c r="BJ3" i="1"/>
  <c r="BJ2" i="1"/>
  <c r="K71" i="2" l="1"/>
  <c r="O71" i="2"/>
  <c r="AF61" i="2"/>
  <c r="M70" i="2"/>
  <c r="J70" i="2"/>
  <c r="F70" i="2"/>
  <c r="N70" i="2"/>
  <c r="I70" i="2"/>
  <c r="O70" i="2"/>
  <c r="D70" i="2"/>
  <c r="K70" i="2"/>
  <c r="L70" i="2"/>
  <c r="H70" i="2"/>
  <c r="G70" i="2"/>
  <c r="E70" i="2"/>
  <c r="N71" i="2"/>
  <c r="H71" i="2"/>
  <c r="F71" i="2"/>
  <c r="D71" i="2"/>
  <c r="E71" i="2"/>
  <c r="G71" i="2"/>
  <c r="J71" i="2"/>
  <c r="M71" i="2"/>
  <c r="I71" i="2"/>
  <c r="L71" i="2"/>
  <c r="AI38" i="2" l="1"/>
  <c r="AI29" i="2"/>
  <c r="AI12" i="2"/>
  <c r="AI43" i="2"/>
  <c r="AJ59" i="2"/>
  <c r="AI44" i="2"/>
  <c r="AI24" i="2"/>
  <c r="AI20" i="2"/>
  <c r="AI31" i="2"/>
  <c r="AI37" i="2"/>
  <c r="AI57" i="2"/>
  <c r="AI39" i="2"/>
  <c r="AI11" i="2"/>
  <c r="AI18" i="2"/>
  <c r="AI34" i="2"/>
  <c r="AJ10" i="2"/>
  <c r="AI33" i="2"/>
  <c r="AI48" i="2"/>
  <c r="AI27" i="2"/>
  <c r="AI16" i="2"/>
  <c r="AJ37" i="2"/>
  <c r="AI19" i="2"/>
  <c r="AI14" i="2"/>
  <c r="AI56" i="2"/>
  <c r="AI59" i="2"/>
  <c r="AK59" i="2" s="1"/>
  <c r="AI17" i="2"/>
  <c r="AI32" i="2"/>
  <c r="AI47" i="2"/>
  <c r="AI58" i="2"/>
  <c r="AI53" i="2"/>
  <c r="AI50" i="2"/>
  <c r="AI25" i="2"/>
  <c r="AI54" i="2"/>
  <c r="AJ50" i="2"/>
  <c r="AI13" i="2"/>
  <c r="AI36" i="2"/>
  <c r="AI28" i="2"/>
  <c r="AI52" i="2"/>
  <c r="AI15" i="2"/>
  <c r="AI45" i="2"/>
  <c r="AI23" i="2"/>
  <c r="AI30" i="2"/>
  <c r="AI10" i="2"/>
  <c r="AJ15" i="2"/>
  <c r="AI21" i="2"/>
  <c r="AJ30" i="2"/>
  <c r="AK30" i="2" s="1"/>
  <c r="AI46" i="2"/>
  <c r="AK46" i="2" s="1"/>
  <c r="AI60" i="2"/>
  <c r="AJ55" i="2"/>
  <c r="AI51" i="2"/>
  <c r="AI35" i="2"/>
  <c r="AI40" i="2"/>
  <c r="AI22" i="2"/>
  <c r="AI49" i="2"/>
  <c r="AI26" i="2"/>
  <c r="AI41" i="2"/>
  <c r="AI55" i="2"/>
  <c r="AK55" i="2" s="1"/>
  <c r="AL55" i="2" s="1"/>
  <c r="AI42" i="2"/>
  <c r="AJ46" i="2"/>
  <c r="AJ21" i="2"/>
  <c r="AJ52" i="2"/>
  <c r="AJ44" i="2"/>
  <c r="AK44" i="2" s="1"/>
  <c r="AJ47" i="2"/>
  <c r="AK47" i="2" s="1"/>
  <c r="AM47" i="2" s="1"/>
  <c r="AJ42" i="2"/>
  <c r="AJ32" i="2"/>
  <c r="AJ23" i="2"/>
  <c r="AJ40" i="2"/>
  <c r="AJ20" i="2"/>
  <c r="AJ34" i="2"/>
  <c r="AJ49" i="2"/>
  <c r="AK49" i="2" s="1"/>
  <c r="AJ12" i="2"/>
  <c r="AK12" i="2" s="1"/>
  <c r="AL12" i="2" s="1"/>
  <c r="AJ58" i="2"/>
  <c r="AJ54" i="2"/>
  <c r="AK54" i="2" s="1"/>
  <c r="AL54" i="2" s="1"/>
  <c r="AJ45" i="2"/>
  <c r="AJ26" i="2"/>
  <c r="AJ35" i="2"/>
  <c r="AK35" i="2" s="1"/>
  <c r="AL35" i="2" s="1"/>
  <c r="AJ22" i="2"/>
  <c r="AK22" i="2" s="1"/>
  <c r="AM22" i="2" s="1"/>
  <c r="AJ43" i="2"/>
  <c r="AK43" i="2" s="1"/>
  <c r="AL43" i="2" s="1"/>
  <c r="AJ13" i="2"/>
  <c r="AJ14" i="2"/>
  <c r="AJ33" i="2"/>
  <c r="AJ38" i="2"/>
  <c r="AK38" i="2" s="1"/>
  <c r="AL38" i="2" s="1"/>
  <c r="AJ25" i="2"/>
  <c r="AJ56" i="2"/>
  <c r="AJ31" i="2"/>
  <c r="AJ28" i="2"/>
  <c r="AK28" i="2" s="1"/>
  <c r="AJ51" i="2"/>
  <c r="AK51" i="2" s="1"/>
  <c r="AJ24" i="2"/>
  <c r="AJ57" i="2"/>
  <c r="AJ17" i="2"/>
  <c r="AK17" i="2" s="1"/>
  <c r="AJ16" i="2"/>
  <c r="AK16" i="2" s="1"/>
  <c r="AJ11" i="2"/>
  <c r="AK11" i="2" s="1"/>
  <c r="AJ27" i="2"/>
  <c r="AK27" i="2" s="1"/>
  <c r="AJ29" i="2"/>
  <c r="AK29" i="2" s="1"/>
  <c r="AL29" i="2" s="1"/>
  <c r="AJ39" i="2"/>
  <c r="AJ41" i="2"/>
  <c r="AJ36" i="2"/>
  <c r="AJ19" i="2"/>
  <c r="AJ53" i="2"/>
  <c r="AJ18" i="2"/>
  <c r="AJ48" i="2"/>
  <c r="AK48" i="2" s="1"/>
  <c r="AL48" i="2" s="1"/>
  <c r="AJ60" i="2"/>
  <c r="AK21" i="2"/>
  <c r="AL21" i="2" s="1"/>
  <c r="AK37" i="2"/>
  <c r="AL37" i="2" s="1"/>
  <c r="AK26" i="2" l="1"/>
  <c r="AL26" i="2" s="1"/>
  <c r="AK50" i="2"/>
  <c r="AK57" i="2"/>
  <c r="AK42" i="2"/>
  <c r="AL42" i="2" s="1"/>
  <c r="AK15" i="2"/>
  <c r="AL15" i="2" s="1"/>
  <c r="AK33" i="2"/>
  <c r="AM33" i="2" s="1"/>
  <c r="AK24" i="2"/>
  <c r="AL24" i="2" s="1"/>
  <c r="AK31" i="2"/>
  <c r="AL31" i="2" s="1"/>
  <c r="AK18" i="2"/>
  <c r="AM18" i="2" s="1"/>
  <c r="AK20" i="2"/>
  <c r="AL20" i="2" s="1"/>
  <c r="AK10" i="2"/>
  <c r="AM10" i="2" s="1"/>
  <c r="AK60" i="2"/>
  <c r="AM60" i="2" s="1"/>
  <c r="AK23" i="2"/>
  <c r="AL23" i="2" s="1"/>
  <c r="AL59" i="2"/>
  <c r="AM59" i="2"/>
  <c r="AL30" i="2"/>
  <c r="AM30" i="2"/>
  <c r="AK56" i="2"/>
  <c r="AM56" i="2" s="1"/>
  <c r="AK52" i="2"/>
  <c r="AL52" i="2" s="1"/>
  <c r="AK45" i="2"/>
  <c r="AL45" i="2" s="1"/>
  <c r="AK41" i="2"/>
  <c r="AM41" i="2" s="1"/>
  <c r="AK14" i="2"/>
  <c r="AL14" i="2" s="1"/>
  <c r="AK34" i="2"/>
  <c r="AL34" i="2" s="1"/>
  <c r="AK53" i="2"/>
  <c r="AM53" i="2" s="1"/>
  <c r="AK25" i="2"/>
  <c r="AK19" i="2"/>
  <c r="AM19" i="2" s="1"/>
  <c r="AK36" i="2"/>
  <c r="AM36" i="2" s="1"/>
  <c r="AK40" i="2"/>
  <c r="AK39" i="2"/>
  <c r="AL39" i="2" s="1"/>
  <c r="AK13" i="2"/>
  <c r="AM13" i="2" s="1"/>
  <c r="AK58" i="2"/>
  <c r="AL58" i="2" s="1"/>
  <c r="AK32" i="2"/>
  <c r="AL32" i="2" s="1"/>
  <c r="AM48" i="2"/>
  <c r="AM26" i="2"/>
  <c r="AM15" i="2"/>
  <c r="AM42" i="2"/>
  <c r="AM28" i="2"/>
  <c r="AL28" i="2"/>
  <c r="AL33" i="2"/>
  <c r="AL22" i="2"/>
  <c r="AM17" i="2"/>
  <c r="AL17" i="2"/>
  <c r="AM35" i="2"/>
  <c r="AM29" i="2"/>
  <c r="AM55" i="2"/>
  <c r="AM21" i="2"/>
  <c r="AL47" i="2"/>
  <c r="AM37" i="2"/>
  <c r="AM12" i="2"/>
  <c r="AM38" i="2"/>
  <c r="AM43" i="2"/>
  <c r="AM52" i="2"/>
  <c r="AM54" i="2"/>
  <c r="AL49" i="2"/>
  <c r="AM49" i="2"/>
  <c r="AM46" i="2"/>
  <c r="AL46" i="2"/>
  <c r="AL11" i="2"/>
  <c r="AM11" i="2"/>
  <c r="AM51" i="2"/>
  <c r="AL51" i="2"/>
  <c r="AL57" i="2"/>
  <c r="AM57" i="2"/>
  <c r="AL27" i="2"/>
  <c r="AM27" i="2"/>
  <c r="AL50" i="2"/>
  <c r="AM50" i="2"/>
  <c r="AL44" i="2"/>
  <c r="AM44" i="2"/>
  <c r="AM16" i="2"/>
  <c r="AL16" i="2"/>
  <c r="AL53" i="2" l="1"/>
  <c r="AM31" i="2"/>
  <c r="AL18" i="2"/>
  <c r="AM24" i="2"/>
  <c r="AM14" i="2"/>
  <c r="AL19" i="2"/>
  <c r="AM20" i="2"/>
  <c r="AM45" i="2"/>
  <c r="AL36" i="2"/>
  <c r="AL60" i="2"/>
  <c r="AM23" i="2"/>
  <c r="AM39" i="2"/>
  <c r="AL13" i="2"/>
  <c r="AL10" i="2"/>
  <c r="AM58" i="2"/>
  <c r="AK61" i="2"/>
  <c r="AL41" i="2"/>
  <c r="AL56" i="2"/>
  <c r="AL25" i="2"/>
  <c r="AM25" i="2"/>
  <c r="AM32" i="2"/>
  <c r="AL40" i="2"/>
  <c r="AM40" i="2"/>
  <c r="AM34" i="2"/>
  <c r="AL61" i="2" l="1"/>
  <c r="AM61" i="2"/>
  <c r="H74" i="2"/>
  <c r="O74" i="2"/>
  <c r="F74" i="2"/>
  <c r="N74" i="2"/>
  <c r="D74" i="2"/>
  <c r="J74" i="2"/>
  <c r="J75" i="2"/>
  <c r="E75" i="2"/>
  <c r="M75" i="2"/>
  <c r="F75" i="2"/>
  <c r="K75" i="2"/>
  <c r="G75" i="2"/>
  <c r="O75" i="2"/>
  <c r="H75" i="2"/>
  <c r="I75" i="2"/>
  <c r="L75" i="2"/>
  <c r="N75" i="2"/>
  <c r="M74" i="2"/>
  <c r="E74" i="2"/>
  <c r="K74" i="2"/>
  <c r="D75" i="2"/>
  <c r="I74" i="2"/>
  <c r="L74" i="2"/>
  <c r="G74" i="2"/>
  <c r="AO28" i="2" l="1"/>
  <c r="AO31" i="2"/>
  <c r="AP23" i="2"/>
  <c r="AP16" i="2"/>
  <c r="AP46" i="2"/>
  <c r="AP21" i="2"/>
  <c r="AP29" i="2"/>
  <c r="AO12" i="2"/>
  <c r="AP58" i="2"/>
  <c r="AP12" i="2"/>
  <c r="AP60" i="2"/>
  <c r="AP25" i="2"/>
  <c r="AO40" i="2"/>
  <c r="AO43" i="2"/>
  <c r="AP59" i="2"/>
  <c r="AO52" i="2"/>
  <c r="AP51" i="2"/>
  <c r="AP38" i="2"/>
  <c r="AO34" i="2"/>
  <c r="AO54" i="2"/>
  <c r="AP35" i="2"/>
  <c r="AO17" i="2"/>
  <c r="AP26" i="2"/>
  <c r="AP42" i="2"/>
  <c r="AP44" i="2"/>
  <c r="AP30" i="2"/>
  <c r="AP47" i="2"/>
  <c r="AP18" i="2"/>
  <c r="AP43" i="2"/>
  <c r="AO44" i="2"/>
  <c r="AP57" i="2"/>
  <c r="AP11" i="2"/>
  <c r="AP48" i="2"/>
  <c r="AO10" i="2"/>
  <c r="AO42" i="2"/>
  <c r="AO23" i="2"/>
  <c r="AQ23" i="2" s="1"/>
  <c r="AS23" i="2" s="1"/>
  <c r="AO24" i="2"/>
  <c r="AO49" i="2"/>
  <c r="AO51" i="2"/>
  <c r="AO32" i="2"/>
  <c r="AO33" i="2"/>
  <c r="AP31" i="2"/>
  <c r="AQ31" i="2" s="1"/>
  <c r="AO27" i="2"/>
  <c r="AP32" i="2"/>
  <c r="AP19" i="2"/>
  <c r="AO21" i="2"/>
  <c r="AQ21" i="2" s="1"/>
  <c r="AO16" i="2"/>
  <c r="AQ16" i="2" s="1"/>
  <c r="AO41" i="2"/>
  <c r="AO39" i="2"/>
  <c r="AP53" i="2"/>
  <c r="AO58" i="2"/>
  <c r="AQ58" i="2" s="1"/>
  <c r="AR58" i="2" s="1"/>
  <c r="AP28" i="2"/>
  <c r="AQ28" i="2" s="1"/>
  <c r="AO15" i="2"/>
  <c r="AO11" i="2"/>
  <c r="AP33" i="2"/>
  <c r="AO20" i="2"/>
  <c r="AP39" i="2"/>
  <c r="AP37" i="2"/>
  <c r="AO46" i="2"/>
  <c r="AO25" i="2"/>
  <c r="AQ25" i="2" s="1"/>
  <c r="AO19" i="2"/>
  <c r="AO48" i="2"/>
  <c r="AP13" i="2"/>
  <c r="AP14" i="2"/>
  <c r="AP22" i="2"/>
  <c r="AO37" i="2"/>
  <c r="AP52" i="2"/>
  <c r="AO30" i="2"/>
  <c r="AQ30" i="2" s="1"/>
  <c r="AO47" i="2"/>
  <c r="AP24" i="2"/>
  <c r="AP27" i="2"/>
  <c r="AO50" i="2"/>
  <c r="AO60" i="2"/>
  <c r="AO57" i="2"/>
  <c r="AP54" i="2"/>
  <c r="AO26" i="2"/>
  <c r="AP17" i="2"/>
  <c r="AP15" i="2"/>
  <c r="AO45" i="2"/>
  <c r="AP49" i="2"/>
  <c r="AQ49" i="2" s="1"/>
  <c r="AR49" i="2" s="1"/>
  <c r="AO36" i="2"/>
  <c r="AO56" i="2"/>
  <c r="AP41" i="2"/>
  <c r="AP20" i="2"/>
  <c r="AO14" i="2"/>
  <c r="AO29" i="2"/>
  <c r="AO35" i="2"/>
  <c r="AP55" i="2"/>
  <c r="AO59" i="2"/>
  <c r="AP34" i="2"/>
  <c r="AP36" i="2"/>
  <c r="AO53" i="2"/>
  <c r="AQ53" i="2" s="1"/>
  <c r="AP56" i="2"/>
  <c r="AP10" i="2"/>
  <c r="AO18" i="2"/>
  <c r="AO55" i="2"/>
  <c r="AP45" i="2"/>
  <c r="AO22" i="2"/>
  <c r="AQ22" i="2" s="1"/>
  <c r="AO13" i="2"/>
  <c r="AO38" i="2"/>
  <c r="AQ38" i="2" s="1"/>
  <c r="AR38" i="2" s="1"/>
  <c r="AP40" i="2"/>
  <c r="AQ40" i="2" s="1"/>
  <c r="AP50" i="2"/>
  <c r="AQ29" i="2"/>
  <c r="AR29" i="2" s="1"/>
  <c r="AQ50" i="2" l="1"/>
  <c r="AR50" i="2" s="1"/>
  <c r="AQ11" i="2"/>
  <c r="AQ14" i="2"/>
  <c r="AR14" i="2" s="1"/>
  <c r="AQ26" i="2"/>
  <c r="AQ52" i="2"/>
  <c r="AQ46" i="2"/>
  <c r="AS46" i="2" s="1"/>
  <c r="AQ27" i="2"/>
  <c r="AS27" i="2" s="1"/>
  <c r="AQ42" i="2"/>
  <c r="AR42" i="2" s="1"/>
  <c r="AQ13" i="2"/>
  <c r="AS13" i="2" s="1"/>
  <c r="AQ57" i="2"/>
  <c r="AS57" i="2" s="1"/>
  <c r="AQ10" i="2"/>
  <c r="AR10" i="2" s="1"/>
  <c r="AQ45" i="2"/>
  <c r="AS45" i="2" s="1"/>
  <c r="AQ59" i="2"/>
  <c r="AR59" i="2" s="1"/>
  <c r="AQ33" i="2"/>
  <c r="AR33" i="2" s="1"/>
  <c r="AQ44" i="2"/>
  <c r="AS44" i="2" s="1"/>
  <c r="AQ51" i="2"/>
  <c r="AR51" i="2" s="1"/>
  <c r="AQ47" i="2"/>
  <c r="AR47" i="2" s="1"/>
  <c r="AQ56" i="2"/>
  <c r="AR56" i="2" s="1"/>
  <c r="AQ60" i="2"/>
  <c r="AR60" i="2" s="1"/>
  <c r="AQ35" i="2"/>
  <c r="AR35" i="2" s="1"/>
  <c r="AQ12" i="2"/>
  <c r="AQ55" i="2"/>
  <c r="AR55" i="2" s="1"/>
  <c r="AQ37" i="2"/>
  <c r="AS37" i="2" s="1"/>
  <c r="AQ17" i="2"/>
  <c r="AR17" i="2" s="1"/>
  <c r="AQ20" i="2"/>
  <c r="AR20" i="2" s="1"/>
  <c r="AQ18" i="2"/>
  <c r="AR18" i="2" s="1"/>
  <c r="AS11" i="2"/>
  <c r="AR11" i="2"/>
  <c r="AS40" i="2"/>
  <c r="AR40" i="2"/>
  <c r="AQ34" i="2"/>
  <c r="AR34" i="2" s="1"/>
  <c r="AR23" i="2"/>
  <c r="AS29" i="2"/>
  <c r="AQ48" i="2"/>
  <c r="AQ43" i="2"/>
  <c r="AQ54" i="2"/>
  <c r="AR54" i="2" s="1"/>
  <c r="AQ24" i="2"/>
  <c r="AR53" i="2"/>
  <c r="AS53" i="2"/>
  <c r="AR30" i="2"/>
  <c r="AS30" i="2"/>
  <c r="AS28" i="2"/>
  <c r="AR28" i="2"/>
  <c r="AS52" i="2"/>
  <c r="AR52" i="2"/>
  <c r="AS22" i="2"/>
  <c r="AR22" i="2"/>
  <c r="AS31" i="2"/>
  <c r="AR31" i="2"/>
  <c r="AQ39" i="2"/>
  <c r="AQ41" i="2"/>
  <c r="AQ36" i="2"/>
  <c r="AQ32" i="2"/>
  <c r="AS58" i="2"/>
  <c r="AQ15" i="2"/>
  <c r="AQ19" i="2"/>
  <c r="AS50" i="2"/>
  <c r="AS38" i="2"/>
  <c r="AS49" i="2"/>
  <c r="AS14" i="2"/>
  <c r="AR25" i="2"/>
  <c r="AS25" i="2"/>
  <c r="AR26" i="2"/>
  <c r="AS26" i="2"/>
  <c r="AS16" i="2"/>
  <c r="AR16" i="2"/>
  <c r="AR21" i="2"/>
  <c r="AS21" i="2"/>
  <c r="AS10" i="2" l="1"/>
  <c r="AS60" i="2"/>
  <c r="AR45" i="2"/>
  <c r="AS35" i="2"/>
  <c r="AS55" i="2"/>
  <c r="AR46" i="2"/>
  <c r="AR27" i="2"/>
  <c r="AR44" i="2"/>
  <c r="AR13" i="2"/>
  <c r="AS34" i="2"/>
  <c r="AS42" i="2"/>
  <c r="AR57" i="2"/>
  <c r="AS18" i="2"/>
  <c r="AS51" i="2"/>
  <c r="AS56" i="2"/>
  <c r="AR37" i="2"/>
  <c r="AS59" i="2"/>
  <c r="AS33" i="2"/>
  <c r="AR12" i="2"/>
  <c r="AS12" i="2"/>
  <c r="AS17" i="2"/>
  <c r="AS47" i="2"/>
  <c r="AS20" i="2"/>
  <c r="AQ61" i="2"/>
  <c r="AR43" i="2"/>
  <c r="AS43" i="2"/>
  <c r="AS54" i="2"/>
  <c r="AR48" i="2"/>
  <c r="AS48" i="2"/>
  <c r="AS24" i="2"/>
  <c r="AR24" i="2"/>
  <c r="AR32" i="2"/>
  <c r="AS32" i="2"/>
  <c r="AS36" i="2"/>
  <c r="AR36" i="2"/>
  <c r="AR41" i="2"/>
  <c r="AS41" i="2"/>
  <c r="AS19" i="2"/>
  <c r="AR19" i="2"/>
  <c r="AR15" i="2"/>
  <c r="AS15" i="2"/>
  <c r="AR39" i="2"/>
  <c r="AS39" i="2"/>
  <c r="AR61" i="2" l="1"/>
  <c r="I78" i="2"/>
  <c r="AS61" i="2"/>
  <c r="D79" i="2"/>
  <c r="I79" i="2" l="1"/>
  <c r="N79" i="2"/>
  <c r="E79" i="2"/>
  <c r="F79" i="2"/>
  <c r="G79" i="2"/>
  <c r="L79" i="2"/>
  <c r="J79" i="2"/>
  <c r="O79" i="2"/>
  <c r="H79" i="2"/>
  <c r="M79" i="2"/>
  <c r="K79" i="2"/>
  <c r="L78" i="2"/>
  <c r="D78" i="2"/>
  <c r="H78" i="2"/>
  <c r="E78" i="2"/>
  <c r="N78" i="2"/>
  <c r="J78" i="2"/>
  <c r="F78" i="2"/>
  <c r="K78" i="2"/>
  <c r="G78" i="2"/>
  <c r="M78" i="2"/>
  <c r="O78" i="2"/>
  <c r="AU42" i="2" l="1"/>
  <c r="AV52" i="2"/>
  <c r="AU39" i="2"/>
  <c r="AU29" i="2"/>
  <c r="AU46" i="2"/>
  <c r="AU48" i="2"/>
  <c r="AU26" i="2"/>
  <c r="AU49" i="2"/>
  <c r="AU14" i="2"/>
  <c r="AU21" i="2"/>
  <c r="AV57" i="2"/>
  <c r="AU36" i="2"/>
  <c r="AV30" i="2"/>
  <c r="AV28" i="2"/>
  <c r="AV24" i="2"/>
  <c r="AV33" i="2"/>
  <c r="AV19" i="2"/>
  <c r="AV45" i="2"/>
  <c r="AU32" i="2"/>
  <c r="AU53" i="2"/>
  <c r="AU19" i="2"/>
  <c r="AU13" i="2"/>
  <c r="AU58" i="2"/>
  <c r="AU31" i="2"/>
  <c r="AU18" i="2"/>
  <c r="AU34" i="2"/>
  <c r="AU17" i="2"/>
  <c r="AU22" i="2"/>
  <c r="AU30" i="2"/>
  <c r="AU45" i="2"/>
  <c r="AU56" i="2"/>
  <c r="AU47" i="2"/>
  <c r="AU24" i="2"/>
  <c r="AU55" i="2"/>
  <c r="AU52" i="2"/>
  <c r="AW52" i="2" s="1"/>
  <c r="AU37" i="2"/>
  <c r="AU11" i="2"/>
  <c r="AU41" i="2"/>
  <c r="AU50" i="2"/>
  <c r="AU20" i="2"/>
  <c r="AU25" i="2"/>
  <c r="AU43" i="2"/>
  <c r="AV55" i="2"/>
  <c r="AU57" i="2"/>
  <c r="AU27" i="2"/>
  <c r="AU44" i="2"/>
  <c r="AV11" i="2"/>
  <c r="AV12" i="2"/>
  <c r="AV10" i="2"/>
  <c r="AV17" i="2"/>
  <c r="AV13" i="2"/>
  <c r="AV40" i="2"/>
  <c r="AV42" i="2"/>
  <c r="AW42" i="2" s="1"/>
  <c r="AV48" i="2"/>
  <c r="AW48" i="2" s="1"/>
  <c r="AU60" i="2"/>
  <c r="AU59" i="2"/>
  <c r="AU35" i="2"/>
  <c r="AV53" i="2"/>
  <c r="AV59" i="2"/>
  <c r="AV25" i="2"/>
  <c r="AV16" i="2"/>
  <c r="AU16" i="2"/>
  <c r="AW16" i="2" s="1"/>
  <c r="AY16" i="2" s="1"/>
  <c r="AU54" i="2"/>
  <c r="AU10" i="2"/>
  <c r="AV22" i="2"/>
  <c r="AV32" i="2"/>
  <c r="AV51" i="2"/>
  <c r="AV43" i="2"/>
  <c r="AV15" i="2"/>
  <c r="AV50" i="2"/>
  <c r="AV46" i="2"/>
  <c r="AV20" i="2"/>
  <c r="AV44" i="2"/>
  <c r="AV23" i="2"/>
  <c r="AV49" i="2"/>
  <c r="AV60" i="2"/>
  <c r="AV29" i="2"/>
  <c r="AW29" i="2" s="1"/>
  <c r="AV14" i="2"/>
  <c r="AV21" i="2"/>
  <c r="AV41" i="2"/>
  <c r="AV27" i="2"/>
  <c r="AV47" i="2"/>
  <c r="AV34" i="2"/>
  <c r="AV31" i="2"/>
  <c r="AU38" i="2"/>
  <c r="AV35" i="2"/>
  <c r="AU33" i="2"/>
  <c r="AU28" i="2"/>
  <c r="AU51" i="2"/>
  <c r="AU15" i="2"/>
  <c r="AV56" i="2"/>
  <c r="AV18" i="2"/>
  <c r="AV26" i="2"/>
  <c r="AU23" i="2"/>
  <c r="AU12" i="2"/>
  <c r="AU40" i="2"/>
  <c r="AW40" i="2" s="1"/>
  <c r="AX40" i="2" s="1"/>
  <c r="AV38" i="2"/>
  <c r="AV37" i="2"/>
  <c r="AV36" i="2"/>
  <c r="AV58" i="2"/>
  <c r="AV39" i="2"/>
  <c r="AW39" i="2" s="1"/>
  <c r="AV54" i="2"/>
  <c r="AW14" i="2" l="1"/>
  <c r="AX14" i="2" s="1"/>
  <c r="AW18" i="2"/>
  <c r="AX18" i="2" s="1"/>
  <c r="AW28" i="2"/>
  <c r="AX28" i="2" s="1"/>
  <c r="AW12" i="2"/>
  <c r="AY12" i="2" s="1"/>
  <c r="AW26" i="2"/>
  <c r="AX26" i="2" s="1"/>
  <c r="AW46" i="2"/>
  <c r="AY46" i="2" s="1"/>
  <c r="AX12" i="2"/>
  <c r="AW21" i="2"/>
  <c r="AX21" i="2" s="1"/>
  <c r="AW15" i="2"/>
  <c r="AW49" i="2"/>
  <c r="AY49" i="2" s="1"/>
  <c r="AW17" i="2"/>
  <c r="AY17" i="2" s="1"/>
  <c r="AW32" i="2"/>
  <c r="AY32" i="2" s="1"/>
  <c r="AW36" i="2"/>
  <c r="AY36" i="2" s="1"/>
  <c r="AW51" i="2"/>
  <c r="AY51" i="2" s="1"/>
  <c r="AW34" i="2"/>
  <c r="AY34" i="2" s="1"/>
  <c r="AY40" i="2"/>
  <c r="AX34" i="2"/>
  <c r="AW44" i="2"/>
  <c r="AX44" i="2" s="1"/>
  <c r="AW41" i="2"/>
  <c r="AX41" i="2" s="1"/>
  <c r="AW45" i="2"/>
  <c r="AY45" i="2" s="1"/>
  <c r="AW13" i="2"/>
  <c r="AW27" i="2"/>
  <c r="AW11" i="2"/>
  <c r="AY11" i="2" s="1"/>
  <c r="AW30" i="2"/>
  <c r="AY30" i="2" s="1"/>
  <c r="AW19" i="2"/>
  <c r="AX19" i="2" s="1"/>
  <c r="AW23" i="2"/>
  <c r="AY23" i="2" s="1"/>
  <c r="AW57" i="2"/>
  <c r="AW22" i="2"/>
  <c r="AY22" i="2" s="1"/>
  <c r="AW53" i="2"/>
  <c r="AY53" i="2" s="1"/>
  <c r="AX39" i="2"/>
  <c r="AY39" i="2"/>
  <c r="AY29" i="2"/>
  <c r="AX29" i="2"/>
  <c r="AY48" i="2"/>
  <c r="AX48" i="2"/>
  <c r="AY42" i="2"/>
  <c r="AX42" i="2"/>
  <c r="AW33" i="2"/>
  <c r="AW37" i="2"/>
  <c r="AY52" i="2"/>
  <c r="AX52" i="2"/>
  <c r="AW43" i="2"/>
  <c r="AW55" i="2"/>
  <c r="AY28" i="2"/>
  <c r="AW38" i="2"/>
  <c r="AW35" i="2"/>
  <c r="AW25" i="2"/>
  <c r="AW24" i="2"/>
  <c r="AY18" i="2"/>
  <c r="AX36" i="2"/>
  <c r="AW10" i="2"/>
  <c r="AW59" i="2"/>
  <c r="AW20" i="2"/>
  <c r="AW47" i="2"/>
  <c r="AW31" i="2"/>
  <c r="AX16" i="2"/>
  <c r="AY14" i="2"/>
  <c r="AW54" i="2"/>
  <c r="AW60" i="2"/>
  <c r="AW50" i="2"/>
  <c r="AW56" i="2"/>
  <c r="AW58" i="2"/>
  <c r="AX49" i="2" l="1"/>
  <c r="AY21" i="2"/>
  <c r="AX17" i="2"/>
  <c r="AY26" i="2"/>
  <c r="AX30" i="2"/>
  <c r="AX46" i="2"/>
  <c r="AY44" i="2"/>
  <c r="AX51" i="2"/>
  <c r="AY19" i="2"/>
  <c r="AX45" i="2"/>
  <c r="AX32" i="2"/>
  <c r="AY41" i="2"/>
  <c r="AY15" i="2"/>
  <c r="AX15" i="2"/>
  <c r="AX11" i="2"/>
  <c r="AX13" i="2"/>
  <c r="AY13" i="2"/>
  <c r="AX53" i="2"/>
  <c r="AX23" i="2"/>
  <c r="AY27" i="2"/>
  <c r="AX27" i="2"/>
  <c r="AY57" i="2"/>
  <c r="AX57" i="2"/>
  <c r="AX22" i="2"/>
  <c r="AX50" i="2"/>
  <c r="AY50" i="2"/>
  <c r="AY47" i="2"/>
  <c r="AX47" i="2"/>
  <c r="AX24" i="2"/>
  <c r="AY24" i="2"/>
  <c r="AX55" i="2"/>
  <c r="AY55" i="2"/>
  <c r="AX33" i="2"/>
  <c r="AY33" i="2"/>
  <c r="AX60" i="2"/>
  <c r="AY60" i="2"/>
  <c r="AY20" i="2"/>
  <c r="AX20" i="2"/>
  <c r="AY25" i="2"/>
  <c r="AX25" i="2"/>
  <c r="AY43" i="2"/>
  <c r="AX43" i="2"/>
  <c r="AX54" i="2"/>
  <c r="AY54" i="2"/>
  <c r="AY59" i="2"/>
  <c r="AX59" i="2"/>
  <c r="AX35" i="2"/>
  <c r="AY35" i="2"/>
  <c r="AX10" i="2"/>
  <c r="AY10" i="2"/>
  <c r="AW61" i="2"/>
  <c r="AX38" i="2"/>
  <c r="AY38" i="2"/>
  <c r="AY58" i="2"/>
  <c r="AX58" i="2"/>
  <c r="AY56" i="2"/>
  <c r="AX56" i="2"/>
  <c r="AX31" i="2"/>
  <c r="AY31" i="2"/>
  <c r="AX37" i="2"/>
  <c r="AY37" i="2"/>
  <c r="I82" i="2" l="1"/>
  <c r="AY61" i="2"/>
  <c r="I83" i="2" s="1"/>
  <c r="AX61" i="2"/>
  <c r="G82" i="2" s="1"/>
  <c r="D82" i="2" l="1"/>
  <c r="N82" i="2"/>
  <c r="H82" i="2"/>
  <c r="G83" i="2"/>
  <c r="H83" i="2"/>
  <c r="L83" i="2"/>
  <c r="K83" i="2"/>
  <c r="F82" i="2"/>
  <c r="O83" i="2"/>
  <c r="M82" i="2"/>
  <c r="N83" i="2"/>
  <c r="K82" i="2"/>
  <c r="E82" i="2"/>
  <c r="M83" i="2"/>
  <c r="L82" i="2"/>
  <c r="J82" i="2"/>
  <c r="D83" i="2"/>
  <c r="E83" i="2"/>
  <c r="J83" i="2"/>
  <c r="O82" i="2"/>
  <c r="F83" i="2"/>
  <c r="BA46" i="2" l="1"/>
  <c r="BA11" i="2"/>
  <c r="BA29" i="2"/>
  <c r="BB36" i="2"/>
  <c r="BB57" i="2"/>
  <c r="BA48" i="2"/>
  <c r="BA45" i="2"/>
  <c r="BB16" i="2"/>
  <c r="BB39" i="2"/>
  <c r="BB20" i="2"/>
  <c r="BB56" i="2"/>
  <c r="BB24" i="2"/>
  <c r="BB28" i="2"/>
  <c r="BB21" i="2"/>
  <c r="BB30" i="2"/>
  <c r="BB55" i="2"/>
  <c r="BB44" i="2"/>
  <c r="BB47" i="2"/>
  <c r="BB52" i="2"/>
  <c r="BA14" i="2"/>
  <c r="BB46" i="2"/>
  <c r="BA12" i="2"/>
  <c r="BA40" i="2"/>
  <c r="BA28" i="2"/>
  <c r="BB13" i="2"/>
  <c r="BA50" i="2"/>
  <c r="BA10" i="2"/>
  <c r="BB43" i="2"/>
  <c r="BB38" i="2"/>
  <c r="BA58" i="2"/>
  <c r="BA20" i="2"/>
  <c r="BA59" i="2"/>
  <c r="BA54" i="2"/>
  <c r="BA37" i="2"/>
  <c r="BB58" i="2"/>
  <c r="BB53" i="2"/>
  <c r="BC53" i="2" s="1"/>
  <c r="BB45" i="2"/>
  <c r="BA25" i="2"/>
  <c r="BA53" i="2"/>
  <c r="BB59" i="2"/>
  <c r="BB33" i="2"/>
  <c r="BA35" i="2"/>
  <c r="BB11" i="2"/>
  <c r="BC11" i="2" s="1"/>
  <c r="BB15" i="2"/>
  <c r="BA34" i="2"/>
  <c r="BA47" i="2"/>
  <c r="BB31" i="2"/>
  <c r="BB48" i="2"/>
  <c r="BB26" i="2"/>
  <c r="BA18" i="2"/>
  <c r="BA42" i="2"/>
  <c r="BB18" i="2"/>
  <c r="BC18" i="2" s="1"/>
  <c r="BB42" i="2"/>
  <c r="BB49" i="2"/>
  <c r="BA57" i="2"/>
  <c r="BB34" i="2"/>
  <c r="BA22" i="2"/>
  <c r="BA38" i="2"/>
  <c r="BC38" i="2" s="1"/>
  <c r="BB35" i="2"/>
  <c r="BA55" i="2"/>
  <c r="BC55" i="2" s="1"/>
  <c r="BA15" i="2"/>
  <c r="BB60" i="2"/>
  <c r="BA26" i="2"/>
  <c r="BB12" i="2"/>
  <c r="BA30" i="2"/>
  <c r="BC30" i="2" s="1"/>
  <c r="BA24" i="2"/>
  <c r="BB10" i="2"/>
  <c r="BB23" i="2"/>
  <c r="BA33" i="2"/>
  <c r="BC33" i="2" s="1"/>
  <c r="BA19" i="2"/>
  <c r="BA36" i="2"/>
  <c r="BC36" i="2" s="1"/>
  <c r="BB50" i="2"/>
  <c r="BB37" i="2"/>
  <c r="BB51" i="2"/>
  <c r="BA13" i="2"/>
  <c r="BA27" i="2"/>
  <c r="BA56" i="2"/>
  <c r="BA23" i="2"/>
  <c r="BB29" i="2"/>
  <c r="BB19" i="2"/>
  <c r="BB54" i="2"/>
  <c r="BB27" i="2"/>
  <c r="BA43" i="2"/>
  <c r="BA31" i="2"/>
  <c r="BA39" i="2"/>
  <c r="BC39" i="2" s="1"/>
  <c r="BD39" i="2" s="1"/>
  <c r="BA60" i="2"/>
  <c r="BC60" i="2" s="1"/>
  <c r="BE60" i="2" s="1"/>
  <c r="BA21" i="2"/>
  <c r="BC21" i="2" s="1"/>
  <c r="BE21" i="2" s="1"/>
  <c r="BA32" i="2"/>
  <c r="BA49" i="2"/>
  <c r="BB32" i="2"/>
  <c r="BB40" i="2"/>
  <c r="BB22" i="2"/>
  <c r="BC22" i="2" s="1"/>
  <c r="BB41" i="2"/>
  <c r="BB17" i="2"/>
  <c r="BB25" i="2"/>
  <c r="BA44" i="2"/>
  <c r="BC44" i="2" s="1"/>
  <c r="BD44" i="2" s="1"/>
  <c r="BA52" i="2"/>
  <c r="BC52" i="2" s="1"/>
  <c r="BE52" i="2" s="1"/>
  <c r="BA51" i="2"/>
  <c r="BC51" i="2" s="1"/>
  <c r="BE51" i="2" s="1"/>
  <c r="BA16" i="2"/>
  <c r="BC16" i="2" s="1"/>
  <c r="BE16" i="2" s="1"/>
  <c r="BA17" i="2"/>
  <c r="BA41" i="2"/>
  <c r="BC41" i="2" s="1"/>
  <c r="BB14" i="2"/>
  <c r="BC54" i="2"/>
  <c r="BD54" i="2" s="1"/>
  <c r="BC46" i="2"/>
  <c r="BE46" i="2" s="1"/>
  <c r="BC34" i="2"/>
  <c r="BD34" i="2" s="1"/>
  <c r="BC12" i="2"/>
  <c r="BE12" i="2" s="1"/>
  <c r="BC28" i="2"/>
  <c r="BD28" i="2" s="1"/>
  <c r="BC48" i="2"/>
  <c r="BE48" i="2" s="1"/>
  <c r="BC26" i="2"/>
  <c r="BC13" i="2"/>
  <c r="BE30" i="2"/>
  <c r="BD30" i="2"/>
  <c r="BC57" i="2"/>
  <c r="BD52" i="2"/>
  <c r="BC20" i="2"/>
  <c r="BC29" i="2"/>
  <c r="BC59" i="2"/>
  <c r="BC45" i="2"/>
  <c r="BC31" i="2" l="1"/>
  <c r="BD31" i="2" s="1"/>
  <c r="BC37" i="2"/>
  <c r="BC40" i="2"/>
  <c r="BC56" i="2"/>
  <c r="BD56" i="2" s="1"/>
  <c r="BC32" i="2"/>
  <c r="BC42" i="2"/>
  <c r="BD42" i="2" s="1"/>
  <c r="BC50" i="2"/>
  <c r="BD50" i="2" s="1"/>
  <c r="BE44" i="2"/>
  <c r="BC35" i="2"/>
  <c r="BE35" i="2" s="1"/>
  <c r="BC10" i="2"/>
  <c r="BD10" i="2" s="1"/>
  <c r="BC24" i="2"/>
  <c r="BE31" i="2"/>
  <c r="BE28" i="2"/>
  <c r="BC14" i="2"/>
  <c r="BD14" i="2" s="1"/>
  <c r="BC23" i="2"/>
  <c r="BD23" i="2" s="1"/>
  <c r="BC19" i="2"/>
  <c r="BE19" i="2" s="1"/>
  <c r="BC49" i="2"/>
  <c r="BC47" i="2"/>
  <c r="BE47" i="2" s="1"/>
  <c r="BC58" i="2"/>
  <c r="BC15" i="2"/>
  <c r="BE15" i="2" s="1"/>
  <c r="BD55" i="2"/>
  <c r="BE55" i="2"/>
  <c r="BD58" i="2"/>
  <c r="BE58" i="2"/>
  <c r="BC27" i="2"/>
  <c r="BE27" i="2" s="1"/>
  <c r="BC17" i="2"/>
  <c r="BE17" i="2" s="1"/>
  <c r="BC43" i="2"/>
  <c r="BE43" i="2" s="1"/>
  <c r="BD51" i="2"/>
  <c r="BC25" i="2"/>
  <c r="BE25" i="2" s="1"/>
  <c r="BE39" i="2"/>
  <c r="BD12" i="2"/>
  <c r="BD60" i="2"/>
  <c r="BD21" i="2"/>
  <c r="BD16" i="2"/>
  <c r="BD47" i="2"/>
  <c r="BE54" i="2"/>
  <c r="BE34" i="2"/>
  <c r="BD46" i="2"/>
  <c r="BD48" i="2"/>
  <c r="BD27" i="2"/>
  <c r="BE32" i="2"/>
  <c r="BD32" i="2"/>
  <c r="BE41" i="2"/>
  <c r="BD41" i="2"/>
  <c r="BE18" i="2"/>
  <c r="BD18" i="2"/>
  <c r="BD38" i="2"/>
  <c r="BE38" i="2"/>
  <c r="BE20" i="2"/>
  <c r="BD20" i="2"/>
  <c r="BE50" i="2"/>
  <c r="BE59" i="2"/>
  <c r="BD59" i="2"/>
  <c r="BD26" i="2"/>
  <c r="BE26" i="2"/>
  <c r="BE40" i="2"/>
  <c r="BD40" i="2"/>
  <c r="BE37" i="2"/>
  <c r="BD37" i="2"/>
  <c r="BE29" i="2"/>
  <c r="BD29" i="2"/>
  <c r="BE45" i="2"/>
  <c r="BD45" i="2"/>
  <c r="BE13" i="2"/>
  <c r="BD13" i="2"/>
  <c r="BE49" i="2"/>
  <c r="BD49" i="2"/>
  <c r="BE57" i="2"/>
  <c r="BD57" i="2"/>
  <c r="BE11" i="2"/>
  <c r="BD11" i="2"/>
  <c r="BE36" i="2"/>
  <c r="BD36" i="2"/>
  <c r="BE33" i="2"/>
  <c r="BD33" i="2"/>
  <c r="BE53" i="2"/>
  <c r="BD53" i="2"/>
  <c r="BD17" i="2"/>
  <c r="BE23" i="2"/>
  <c r="BE42" i="2"/>
  <c r="BD22" i="2"/>
  <c r="BE22" i="2"/>
  <c r="BE10" i="2" l="1"/>
  <c r="BD35" i="2"/>
  <c r="BE14" i="2"/>
  <c r="BE61" i="2" s="1"/>
  <c r="BE56" i="2"/>
  <c r="BD25" i="2"/>
  <c r="BE24" i="2"/>
  <c r="BD24" i="2"/>
  <c r="BD15" i="2"/>
  <c r="BD61" i="2" s="1"/>
  <c r="BD19" i="2"/>
  <c r="BD43" i="2"/>
  <c r="BC61" i="2"/>
  <c r="I87" i="2" l="1"/>
  <c r="K87" i="2"/>
  <c r="L87" i="2"/>
  <c r="G87" i="2"/>
  <c r="F87" i="2"/>
  <c r="M87" i="2"/>
  <c r="O87" i="2"/>
  <c r="F86" i="2"/>
  <c r="D86" i="2"/>
  <c r="I86" i="2"/>
  <c r="G86" i="2"/>
  <c r="O86" i="2"/>
  <c r="M86" i="2"/>
  <c r="N86" i="2"/>
  <c r="L86" i="2"/>
  <c r="J86" i="2"/>
  <c r="K86" i="2"/>
  <c r="E86" i="2"/>
  <c r="H86" i="2"/>
  <c r="D87" i="2"/>
  <c r="H87" i="2"/>
  <c r="E87" i="2"/>
  <c r="J87" i="2"/>
  <c r="N87" i="2"/>
  <c r="BH18" i="2" l="1"/>
  <c r="BH26" i="2"/>
  <c r="BH34" i="2"/>
  <c r="BH42" i="2"/>
  <c r="BH50" i="2"/>
  <c r="BH58" i="2"/>
  <c r="BH11" i="2"/>
  <c r="BH19" i="2"/>
  <c r="BH27" i="2"/>
  <c r="BH35" i="2"/>
  <c r="BH43" i="2"/>
  <c r="BH51" i="2"/>
  <c r="BH59" i="2"/>
  <c r="BH12" i="2"/>
  <c r="BH20" i="2"/>
  <c r="BH28" i="2"/>
  <c r="BH36" i="2"/>
  <c r="BH44" i="2"/>
  <c r="BH52" i="2"/>
  <c r="BH60" i="2"/>
  <c r="BH13" i="2"/>
  <c r="BH21" i="2"/>
  <c r="BH29" i="2"/>
  <c r="BI29" i="2" s="1"/>
  <c r="BH37" i="2"/>
  <c r="BH45" i="2"/>
  <c r="BH53" i="2"/>
  <c r="BH10" i="2"/>
  <c r="BH14" i="2"/>
  <c r="BH22" i="2"/>
  <c r="BH30" i="2"/>
  <c r="BH38" i="2"/>
  <c r="BH46" i="2"/>
  <c r="BH54" i="2"/>
  <c r="BH15" i="2"/>
  <c r="BH23" i="2"/>
  <c r="BH31" i="2"/>
  <c r="BH39" i="2"/>
  <c r="BH47" i="2"/>
  <c r="BH55" i="2"/>
  <c r="BH16" i="2"/>
  <c r="BH24" i="2"/>
  <c r="BH32" i="2"/>
  <c r="BH40" i="2"/>
  <c r="BH48" i="2"/>
  <c r="BH56" i="2"/>
  <c r="BH17" i="2"/>
  <c r="BH25" i="2"/>
  <c r="BH33" i="2"/>
  <c r="BH41" i="2"/>
  <c r="BH49" i="2"/>
  <c r="BH57" i="2"/>
  <c r="BG13" i="2"/>
  <c r="BG21" i="2"/>
  <c r="BG29" i="2"/>
  <c r="BG37" i="2"/>
  <c r="BG45" i="2"/>
  <c r="BG53" i="2"/>
  <c r="BI53" i="2" s="1"/>
  <c r="BG10" i="2"/>
  <c r="BG14" i="2"/>
  <c r="BG22" i="2"/>
  <c r="BG30" i="2"/>
  <c r="BG38" i="2"/>
  <c r="BG46" i="2"/>
  <c r="BG54" i="2"/>
  <c r="BI54" i="2" s="1"/>
  <c r="BG18" i="2"/>
  <c r="BI18" i="2" s="1"/>
  <c r="BG26" i="2"/>
  <c r="BG34" i="2"/>
  <c r="BI34" i="2" s="1"/>
  <c r="BG42" i="2"/>
  <c r="BI42" i="2" s="1"/>
  <c r="BG50" i="2"/>
  <c r="BI50" i="2" s="1"/>
  <c r="BG58" i="2"/>
  <c r="BI58" i="2" s="1"/>
  <c r="BG15" i="2"/>
  <c r="BI15" i="2" s="1"/>
  <c r="BG23" i="2"/>
  <c r="BG31" i="2"/>
  <c r="BG39" i="2"/>
  <c r="BG47" i="2"/>
  <c r="BG55" i="2"/>
  <c r="BG16" i="2"/>
  <c r="BG24" i="2"/>
  <c r="BI24" i="2" s="1"/>
  <c r="BG32" i="2"/>
  <c r="BI32" i="2" s="1"/>
  <c r="BG40" i="2"/>
  <c r="BI40" i="2" s="1"/>
  <c r="BG48" i="2"/>
  <c r="BG56" i="2"/>
  <c r="BG17" i="2"/>
  <c r="BG25" i="2"/>
  <c r="BG33" i="2"/>
  <c r="BG41" i="2"/>
  <c r="BI41" i="2" s="1"/>
  <c r="BG49" i="2"/>
  <c r="BI49" i="2" s="1"/>
  <c r="BG57" i="2"/>
  <c r="BI57" i="2" s="1"/>
  <c r="BG11" i="2"/>
  <c r="BG19" i="2"/>
  <c r="BG27" i="2"/>
  <c r="BI27" i="2" s="1"/>
  <c r="BG35" i="2"/>
  <c r="BI35" i="2" s="1"/>
  <c r="BG43" i="2"/>
  <c r="BG51" i="2"/>
  <c r="BI51" i="2" s="1"/>
  <c r="BG59" i="2"/>
  <c r="BI59" i="2" s="1"/>
  <c r="BG12" i="2"/>
  <c r="BI12" i="2" s="1"/>
  <c r="BG20" i="2"/>
  <c r="BG28" i="2"/>
  <c r="BG36" i="2"/>
  <c r="BI36" i="2" s="1"/>
  <c r="BG44" i="2"/>
  <c r="BI44" i="2" s="1"/>
  <c r="BG52" i="2"/>
  <c r="BI52" i="2" s="1"/>
  <c r="BG60" i="2"/>
  <c r="BI60" i="2" s="1"/>
  <c r="BI43" i="2" l="1"/>
  <c r="BI30" i="2"/>
  <c r="BI56" i="2"/>
  <c r="BI13" i="2"/>
  <c r="BK13" i="2" s="1"/>
  <c r="BI48" i="2"/>
  <c r="BI14" i="2"/>
  <c r="BJ14" i="2" s="1"/>
  <c r="BK57" i="2"/>
  <c r="BJ57" i="2"/>
  <c r="BK49" i="2"/>
  <c r="BJ49" i="2"/>
  <c r="BK15" i="2"/>
  <c r="BJ15" i="2"/>
  <c r="BI37" i="2"/>
  <c r="BK51" i="2"/>
  <c r="BJ51" i="2"/>
  <c r="BK24" i="2"/>
  <c r="BJ24" i="2"/>
  <c r="BI38" i="2"/>
  <c r="BJ30" i="2"/>
  <c r="BK30" i="2"/>
  <c r="BK52" i="2"/>
  <c r="BJ52" i="2"/>
  <c r="BI33" i="2"/>
  <c r="BJ50" i="2"/>
  <c r="BK50" i="2"/>
  <c r="BI21" i="2"/>
  <c r="BJ13" i="2"/>
  <c r="BK35" i="2"/>
  <c r="BJ35" i="2"/>
  <c r="BI55" i="2"/>
  <c r="BI22" i="2"/>
  <c r="BK48" i="2"/>
  <c r="BJ48" i="2"/>
  <c r="BK14" i="2"/>
  <c r="BK27" i="2"/>
  <c r="BJ27" i="2"/>
  <c r="BI47" i="2"/>
  <c r="BI23" i="2"/>
  <c r="BI28" i="2"/>
  <c r="BI19" i="2"/>
  <c r="BI39" i="2"/>
  <c r="BI10" i="2"/>
  <c r="BI26" i="2"/>
  <c r="BJ12" i="2"/>
  <c r="BK12" i="2"/>
  <c r="BK40" i="2"/>
  <c r="BJ40" i="2"/>
  <c r="BK54" i="2"/>
  <c r="BJ54" i="2"/>
  <c r="BK59" i="2"/>
  <c r="BJ59" i="2"/>
  <c r="BK32" i="2"/>
  <c r="BJ32" i="2"/>
  <c r="BI46" i="2"/>
  <c r="BJ29" i="2"/>
  <c r="BK29" i="2"/>
  <c r="BJ60" i="2"/>
  <c r="BK60" i="2"/>
  <c r="BJ41" i="2"/>
  <c r="BK41" i="2"/>
  <c r="BJ58" i="2"/>
  <c r="BK58" i="2"/>
  <c r="BJ43" i="2"/>
  <c r="BK43" i="2"/>
  <c r="BI16" i="2"/>
  <c r="BJ56" i="2"/>
  <c r="BK56" i="2"/>
  <c r="BK44" i="2"/>
  <c r="BJ44" i="2"/>
  <c r="BI25" i="2"/>
  <c r="BJ42" i="2"/>
  <c r="BK42" i="2"/>
  <c r="BJ36" i="2"/>
  <c r="BK36" i="2"/>
  <c r="BI17" i="2"/>
  <c r="BK34" i="2"/>
  <c r="BJ34" i="2"/>
  <c r="BI20" i="2"/>
  <c r="BI11" i="2"/>
  <c r="BI31" i="2"/>
  <c r="BJ18" i="2"/>
  <c r="BK18" i="2"/>
  <c r="BK53" i="2"/>
  <c r="BJ53" i="2"/>
  <c r="BI45" i="2"/>
  <c r="BK17" i="2" l="1"/>
  <c r="BJ17" i="2"/>
  <c r="BK37" i="2"/>
  <c r="BJ37" i="2"/>
  <c r="BK31" i="2"/>
  <c r="BJ31" i="2"/>
  <c r="BJ38" i="2"/>
  <c r="BK38" i="2"/>
  <c r="BK11" i="2"/>
  <c r="BJ11" i="2"/>
  <c r="BJ26" i="2"/>
  <c r="BK26" i="2"/>
  <c r="BK10" i="2"/>
  <c r="BJ10" i="2"/>
  <c r="BI61" i="2"/>
  <c r="BK16" i="2"/>
  <c r="BJ16" i="2"/>
  <c r="BJ39" i="2"/>
  <c r="BK39" i="2"/>
  <c r="BJ19" i="2"/>
  <c r="BK19" i="2"/>
  <c r="BK21" i="2"/>
  <c r="BJ21" i="2"/>
  <c r="BK28" i="2"/>
  <c r="BJ28" i="2"/>
  <c r="BK20" i="2"/>
  <c r="BJ20" i="2"/>
  <c r="BJ25" i="2"/>
  <c r="BK25" i="2"/>
  <c r="BJ46" i="2"/>
  <c r="BK46" i="2"/>
  <c r="BK23" i="2"/>
  <c r="BJ23" i="2"/>
  <c r="BK22" i="2"/>
  <c r="BJ22" i="2"/>
  <c r="BJ45" i="2"/>
  <c r="BK45" i="2"/>
  <c r="BK47" i="2"/>
  <c r="BJ47" i="2"/>
  <c r="BJ55" i="2"/>
  <c r="BK55" i="2"/>
  <c r="BJ33" i="2"/>
  <c r="BK33" i="2"/>
  <c r="BJ61" i="2" l="1"/>
  <c r="BK61" i="2"/>
</calcChain>
</file>

<file path=xl/sharedStrings.xml><?xml version="1.0" encoding="utf-8"?>
<sst xmlns="http://schemas.openxmlformats.org/spreadsheetml/2006/main" count="152" uniqueCount="31">
  <si>
    <t>MIN:</t>
  </si>
  <si>
    <t>MAX:</t>
  </si>
  <si>
    <t>Duration (ms)</t>
  </si>
  <si>
    <t>Popularity</t>
  </si>
  <si>
    <t>Danceability</t>
  </si>
  <si>
    <t>Energy</t>
  </si>
  <si>
    <t>Key</t>
  </si>
  <si>
    <t>Loudness</t>
  </si>
  <si>
    <t>Speechiness</t>
  </si>
  <si>
    <t>Acousticness</t>
  </si>
  <si>
    <t>Instrumentalness</t>
  </si>
  <si>
    <t>Liveness</t>
  </si>
  <si>
    <t>Valence</t>
  </si>
  <si>
    <t>Tempo</t>
  </si>
  <si>
    <t>DC0</t>
  </si>
  <si>
    <t>DC1</t>
  </si>
  <si>
    <t>Distancia a grupo más cercano</t>
  </si>
  <si>
    <t>Nuevos centroides</t>
  </si>
  <si>
    <t>Dato</t>
  </si>
  <si>
    <t>Min</t>
  </si>
  <si>
    <t>Max</t>
  </si>
  <si>
    <t>C0</t>
  </si>
  <si>
    <t>C1</t>
  </si>
  <si>
    <t>Distancia Min</t>
  </si>
  <si>
    <t>SUBIÓ</t>
  </si>
  <si>
    <t>Menor discantia de DC0</t>
  </si>
  <si>
    <t>Menor distancia de DC1</t>
  </si>
  <si>
    <t>Menor Dist.</t>
  </si>
  <si>
    <t>Nuevos</t>
  </si>
  <si>
    <t>Centroides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</si>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</sst>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164" fontId="0" fillId="0" borderId="0" xfId="0" applyNumberFormat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4" fontId="0" fillId="0" borderId="14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0" fontId="18" fillId="33" borderId="11" xfId="0" applyFont="1" applyFill="1" applyBorder="1"/>
    <xf numFmtId="0" fontId="18" fillId="33" borderId="12" xfId="0" applyFont="1" applyFill="1" applyBorder="1"/>
    <xf numFmtId="0" fontId="0" fillId="35" borderId="0" xfId="0" applyFill="1"/>
    <xf numFmtId="0" fontId="0" fillId="35" borderId="14" xfId="0" applyFill="1" applyBorder="1"/>
    <xf numFmtId="164" fontId="0" fillId="33" borderId="0" xfId="0" applyNumberFormat="1" applyFill="1"/>
    <xf numFmtId="164" fontId="0" fillId="35" borderId="0" xfId="0" applyNumberFormat="1" applyFill="1"/>
    <xf numFmtId="0" fontId="0" fillId="36" borderId="0" xfId="0" applyFill="1"/>
    <xf numFmtId="0" fontId="17" fillId="34" borderId="0" xfId="0" applyFont="1" applyFill="1"/>
    <xf numFmtId="0" fontId="0" fillId="0" borderId="0" xfId="0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37" borderId="0" xfId="0" applyFill="1" applyAlignment="1">
      <alignment horizontal="center" vertical="center" wrapText="1"/>
    </xf>
    <xf numFmtId="0" fontId="0" fillId="33" borderId="0" xfId="0" applyFill="1"/>
    <xf numFmtId="0" fontId="0" fillId="33" borderId="22" xfId="0" applyFill="1" applyBorder="1"/>
    <xf numFmtId="0" fontId="17" fillId="34" borderId="24" xfId="0" applyFont="1" applyFill="1" applyBorder="1" applyAlignment="1">
      <alignment horizontal="center"/>
    </xf>
    <xf numFmtId="0" fontId="0" fillId="35" borderId="24" xfId="0" applyFill="1" applyBorder="1"/>
    <xf numFmtId="0" fontId="0" fillId="35" borderId="25" xfId="0" applyFill="1" applyBorder="1"/>
    <xf numFmtId="0" fontId="0" fillId="36" borderId="10" xfId="0" applyFill="1" applyBorder="1"/>
    <xf numFmtId="0" fontId="17" fillId="34" borderId="11" xfId="0" applyFont="1" applyFill="1" applyBorder="1"/>
    <xf numFmtId="0" fontId="0" fillId="0" borderId="11" xfId="0" applyBorder="1"/>
    <xf numFmtId="0" fontId="0" fillId="36" borderId="11" xfId="0" applyFill="1" applyBorder="1"/>
    <xf numFmtId="0" fontId="17" fillId="34" borderId="12" xfId="0" applyFont="1" applyFill="1" applyBorder="1"/>
    <xf numFmtId="164" fontId="0" fillId="33" borderId="13" xfId="0" applyNumberFormat="1" applyFill="1" applyBorder="1"/>
    <xf numFmtId="0" fontId="16" fillId="0" borderId="0" xfId="0" applyFont="1"/>
    <xf numFmtId="164" fontId="18" fillId="33" borderId="11" xfId="0" applyNumberFormat="1" applyFont="1" applyFill="1" applyBorder="1"/>
    <xf numFmtId="0" fontId="19" fillId="0" borderId="0" xfId="0" applyFont="1"/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8">
    <dxf>
      <font>
        <color auto="1"/>
      </font>
      <fill>
        <patternFill>
          <bgColor theme="9" tint="0.79998168889431442"/>
        </patternFill>
      </fill>
    </dxf>
    <dxf>
      <fill>
        <patternFill>
          <bgColor rgb="FFFFB3B3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B3B3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B3B3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B3B3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B3B3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B3B3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B3B3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B3B3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B3B3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B3B3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B3B3"/>
        </patternFill>
      </fill>
    </dxf>
  </dxfs>
  <tableStyles count="0" defaultTableStyle="TableStyleMedium2" defaultPivotStyle="PivotStyleLight16"/>
  <colors>
    <mruColors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7"/>
  <sheetViews>
    <sheetView topLeftCell="BB1" zoomScale="70" zoomScaleNormal="70" workbookViewId="0">
      <selection activeCell="Q4" sqref="Q4"/>
    </sheetView>
  </sheetViews>
  <sheetFormatPr baseColWidth="10" defaultRowHeight="14.4" x14ac:dyDescent="0.3"/>
  <cols>
    <col min="2" max="5" width="11.6640625" bestFit="1" customWidth="1"/>
    <col min="6" max="9" width="11.77734375" bestFit="1" customWidth="1"/>
    <col min="10" max="10" width="15.109375" bestFit="1" customWidth="1"/>
    <col min="11" max="12" width="11.88671875" bestFit="1" customWidth="1"/>
    <col min="13" max="13" width="12" bestFit="1" customWidth="1"/>
    <col min="15" max="15" width="11.6640625" bestFit="1" customWidth="1"/>
    <col min="16" max="23" width="14.109375" bestFit="1" customWidth="1"/>
    <col min="24" max="24" width="17.21875" bestFit="1" customWidth="1"/>
    <col min="25" max="27" width="14.109375" bestFit="1" customWidth="1"/>
    <col min="29" max="29" width="13.77734375" bestFit="1" customWidth="1"/>
    <col min="30" max="30" width="14.109375" bestFit="1" customWidth="1"/>
    <col min="31" max="31" width="29.88671875" bestFit="1" customWidth="1"/>
    <col min="32" max="32" width="11.77734375" bestFit="1" customWidth="1"/>
    <col min="33" max="33" width="16.44140625" bestFit="1" customWidth="1"/>
    <col min="34" max="34" width="16.21875" customWidth="1"/>
    <col min="35" max="36" width="14.109375" bestFit="1" customWidth="1"/>
    <col min="37" max="37" width="15.44140625" customWidth="1"/>
    <col min="38" max="38" width="13.33203125" bestFit="1" customWidth="1"/>
    <col min="39" max="39" width="13.5546875" bestFit="1" customWidth="1"/>
    <col min="40" max="40" width="15" bestFit="1" customWidth="1"/>
    <col min="41" max="42" width="14.88671875" bestFit="1" customWidth="1"/>
    <col min="43" max="43" width="14.6640625" customWidth="1"/>
    <col min="44" max="44" width="11.6640625" bestFit="1" customWidth="1"/>
    <col min="45" max="45" width="15.5546875" bestFit="1" customWidth="1"/>
    <col min="46" max="46" width="15.33203125" bestFit="1" customWidth="1"/>
    <col min="47" max="47" width="15.77734375" bestFit="1" customWidth="1"/>
    <col min="48" max="48" width="11.88671875" bestFit="1" customWidth="1"/>
    <col min="49" max="49" width="11.77734375" bestFit="1" customWidth="1"/>
    <col min="50" max="51" width="11.6640625" bestFit="1" customWidth="1"/>
    <col min="52" max="52" width="14.33203125" bestFit="1" customWidth="1"/>
    <col min="53" max="54" width="13.88671875" bestFit="1" customWidth="1"/>
    <col min="55" max="56" width="11.77734375" bestFit="1" customWidth="1"/>
    <col min="57" max="57" width="11.6640625" bestFit="1" customWidth="1"/>
    <col min="58" max="58" width="13.109375" bestFit="1" customWidth="1"/>
    <col min="59" max="59" width="13" bestFit="1" customWidth="1"/>
    <col min="60" max="60" width="15.5546875" bestFit="1" customWidth="1"/>
    <col min="61" max="61" width="15.33203125" bestFit="1" customWidth="1"/>
    <col min="62" max="62" width="15.77734375" bestFit="1" customWidth="1"/>
    <col min="63" max="64" width="11.6640625" bestFit="1" customWidth="1"/>
    <col min="65" max="65" width="14.21875" bestFit="1" customWidth="1"/>
    <col min="66" max="66" width="17.21875" bestFit="1" customWidth="1"/>
    <col min="67" max="67" width="14.44140625" bestFit="1" customWidth="1"/>
    <col min="68" max="68" width="16.33203125" customWidth="1"/>
    <col min="69" max="69" width="13.5546875" customWidth="1"/>
    <col min="70" max="73" width="11.6640625" bestFit="1" customWidth="1"/>
    <col min="75" max="75" width="14.77734375" bestFit="1" customWidth="1"/>
    <col min="76" max="76" width="14.21875" bestFit="1" customWidth="1"/>
    <col min="77" max="77" width="15.33203125" customWidth="1"/>
    <col min="78" max="79" width="10.88671875" bestFit="1" customWidth="1"/>
  </cols>
  <sheetData>
    <row r="1" spans="1:73" ht="29.4" customHeight="1" thickBot="1" x14ac:dyDescent="0.35">
      <c r="AC1" s="38" t="s">
        <v>17</v>
      </c>
      <c r="AD1" s="20" t="s">
        <v>18</v>
      </c>
      <c r="AE1" s="21" t="s">
        <v>2</v>
      </c>
      <c r="AF1" s="21" t="s">
        <v>3</v>
      </c>
      <c r="AG1" s="21" t="s">
        <v>4</v>
      </c>
      <c r="AH1" s="21" t="s">
        <v>5</v>
      </c>
      <c r="AI1" s="21" t="s">
        <v>6</v>
      </c>
      <c r="AJ1" s="21" t="s">
        <v>7</v>
      </c>
      <c r="AK1" s="21" t="s">
        <v>8</v>
      </c>
      <c r="AL1" s="21" t="s">
        <v>9</v>
      </c>
      <c r="AM1" s="21" t="s">
        <v>10</v>
      </c>
      <c r="AN1" s="21" t="s">
        <v>11</v>
      </c>
      <c r="AO1" s="21" t="s">
        <v>12</v>
      </c>
      <c r="AP1" s="22" t="s">
        <v>13</v>
      </c>
      <c r="AS1" s="38" t="s">
        <v>17</v>
      </c>
      <c r="AT1" s="20" t="s">
        <v>18</v>
      </c>
      <c r="AU1" s="21" t="s">
        <v>2</v>
      </c>
      <c r="AV1" s="21" t="s">
        <v>3</v>
      </c>
      <c r="AW1" s="21" t="s">
        <v>4</v>
      </c>
      <c r="AX1" s="21" t="s">
        <v>5</v>
      </c>
      <c r="AY1" s="21" t="s">
        <v>6</v>
      </c>
      <c r="AZ1" s="21" t="s">
        <v>7</v>
      </c>
      <c r="BA1" s="21" t="s">
        <v>8</v>
      </c>
      <c r="BB1" s="21" t="s">
        <v>9</v>
      </c>
      <c r="BC1" s="21" t="s">
        <v>10</v>
      </c>
      <c r="BD1" s="21" t="s">
        <v>11</v>
      </c>
      <c r="BE1" s="21" t="s">
        <v>12</v>
      </c>
      <c r="BF1" s="22" t="s">
        <v>13</v>
      </c>
      <c r="BH1" s="38" t="s">
        <v>17</v>
      </c>
      <c r="BI1" s="20" t="s">
        <v>18</v>
      </c>
      <c r="BJ1" s="21" t="s">
        <v>2</v>
      </c>
      <c r="BK1" s="21" t="s">
        <v>3</v>
      </c>
      <c r="BL1" s="21" t="s">
        <v>4</v>
      </c>
      <c r="BM1" s="21" t="s">
        <v>5</v>
      </c>
      <c r="BN1" s="21" t="s">
        <v>6</v>
      </c>
      <c r="BO1" s="21" t="s">
        <v>7</v>
      </c>
      <c r="BP1" s="21" t="s">
        <v>8</v>
      </c>
      <c r="BQ1" s="21" t="s">
        <v>9</v>
      </c>
      <c r="BR1" s="21" t="s">
        <v>10</v>
      </c>
      <c r="BS1" s="21" t="s">
        <v>11</v>
      </c>
      <c r="BT1" s="21" t="s">
        <v>12</v>
      </c>
      <c r="BU1" s="22" t="s">
        <v>13</v>
      </c>
    </row>
    <row r="2" spans="1:73" ht="14.4" customHeight="1" x14ac:dyDescent="0.3">
      <c r="A2" s="2" t="s">
        <v>0</v>
      </c>
      <c r="B2" s="11">
        <f>MIN(B6:B56)</f>
        <v>142840</v>
      </c>
      <c r="C2" s="11">
        <f t="shared" ref="C2:M2" si="0">MIN(C6:C56)</f>
        <v>40</v>
      </c>
      <c r="D2" s="11">
        <f t="shared" si="0"/>
        <v>0.23599999999999999</v>
      </c>
      <c r="E2" s="11">
        <f t="shared" si="0"/>
        <v>7.8899999999999998E-2</v>
      </c>
      <c r="F2" s="11">
        <f t="shared" si="0"/>
        <v>0</v>
      </c>
      <c r="G2" s="11">
        <f t="shared" si="0"/>
        <v>-13.988</v>
      </c>
      <c r="H2" s="11">
        <f t="shared" si="0"/>
        <v>2.5600000000000001E-2</v>
      </c>
      <c r="I2" s="11">
        <f t="shared" si="0"/>
        <v>1.65E-3</v>
      </c>
      <c r="J2" s="11">
        <f t="shared" si="0"/>
        <v>0</v>
      </c>
      <c r="K2" s="11">
        <f t="shared" si="0"/>
        <v>4.4600000000000001E-2</v>
      </c>
      <c r="L2" s="11">
        <f t="shared" si="0"/>
        <v>9.9900000000000003E-2</v>
      </c>
      <c r="M2" s="11">
        <f t="shared" si="0"/>
        <v>69.045000000000002</v>
      </c>
      <c r="O2" s="2" t="s">
        <v>0</v>
      </c>
      <c r="P2" s="11">
        <f>MIN(P6:P56)</f>
        <v>0</v>
      </c>
      <c r="Q2" s="11">
        <f t="shared" ref="Q2:AA2" si="1">MIN(Q6:Q56)</f>
        <v>0</v>
      </c>
      <c r="R2" s="11">
        <f t="shared" si="1"/>
        <v>0</v>
      </c>
      <c r="S2" s="36">
        <f>MIN(S6:S56)</f>
        <v>0</v>
      </c>
      <c r="T2" s="11">
        <f t="shared" si="1"/>
        <v>0</v>
      </c>
      <c r="U2" s="11">
        <f t="shared" si="1"/>
        <v>0</v>
      </c>
      <c r="V2" s="11">
        <f t="shared" si="1"/>
        <v>0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2">
        <f t="shared" si="1"/>
        <v>0</v>
      </c>
      <c r="AC2" s="39"/>
      <c r="AD2" s="23" t="s">
        <v>19</v>
      </c>
      <c r="AE2" s="24">
        <f t="shared" ref="AE2:AP2" si="2">(SUMPRODUCT(P6:P56,$AF$6:$AF$56)+P2)/($AF$57+1)</f>
        <v>0.39292103294304903</v>
      </c>
      <c r="AF2" s="24">
        <f t="shared" si="2"/>
        <v>0.30580645161290343</v>
      </c>
      <c r="AG2" s="24">
        <f t="shared" si="2"/>
        <v>0.52718367346938766</v>
      </c>
      <c r="AH2" s="24">
        <f t="shared" si="2"/>
        <v>0.46672279963162727</v>
      </c>
      <c r="AI2" s="24">
        <f t="shared" si="2"/>
        <v>0.59636363636363632</v>
      </c>
      <c r="AJ2" s="24">
        <f t="shared" si="2"/>
        <v>0.56480233965308602</v>
      </c>
      <c r="AK2" s="24">
        <f t="shared" si="2"/>
        <v>0.19294573643410845</v>
      </c>
      <c r="AL2" s="24">
        <f t="shared" si="2"/>
        <v>0.55670867230286591</v>
      </c>
      <c r="AM2" s="24">
        <f t="shared" si="2"/>
        <v>4.9150797342192687E-2</v>
      </c>
      <c r="AN2" s="24">
        <f t="shared" si="2"/>
        <v>0.13084101382488478</v>
      </c>
      <c r="AO2" s="24">
        <f t="shared" si="2"/>
        <v>0.39033114701647748</v>
      </c>
      <c r="AP2" s="25">
        <f t="shared" si="2"/>
        <v>0.43308656125452605</v>
      </c>
      <c r="AS2" s="39"/>
      <c r="AT2" s="23" t="s">
        <v>19</v>
      </c>
      <c r="AU2" s="24">
        <f>(SUMPRODUCT(P6:P56,$AF$6:$AF$56)+AE2)/($AF$57+1)</f>
        <v>0.40077945360191003</v>
      </c>
      <c r="AV2" s="24">
        <f t="shared" ref="AV2:BF2" si="3">(SUMPRODUCT(Q6:Q56,$AF$6:$AF$56)+AF2)/($AF$57+1)</f>
        <v>0.31192258064516148</v>
      </c>
      <c r="AW2" s="24">
        <f t="shared" si="3"/>
        <v>0.53772734693877533</v>
      </c>
      <c r="AX2" s="24">
        <f t="shared" si="3"/>
        <v>0.47605725562425982</v>
      </c>
      <c r="AY2" s="24">
        <f t="shared" si="3"/>
        <v>0.6082909090909091</v>
      </c>
      <c r="AZ2" s="24">
        <f t="shared" si="3"/>
        <v>0.57609838644614764</v>
      </c>
      <c r="BA2" s="24">
        <f t="shared" si="3"/>
        <v>0.19680465116279064</v>
      </c>
      <c r="BB2" s="24">
        <f t="shared" si="3"/>
        <v>0.5678428457489233</v>
      </c>
      <c r="BC2" s="24">
        <f t="shared" si="3"/>
        <v>5.0133813289036544E-2</v>
      </c>
      <c r="BD2" s="24">
        <f t="shared" si="3"/>
        <v>0.13345783410138248</v>
      </c>
      <c r="BE2" s="24">
        <f t="shared" si="3"/>
        <v>0.39813776995680705</v>
      </c>
      <c r="BF2" s="24">
        <f t="shared" si="3"/>
        <v>0.44174829247961661</v>
      </c>
      <c r="BH2" s="39"/>
      <c r="BI2" s="23" t="s">
        <v>19</v>
      </c>
      <c r="BJ2" s="24">
        <f>(SUMPRODUCT(P6:P56,$AV$6:$AV$56)+AU2)/($AV$57+1)</f>
        <v>0.40093662201508723</v>
      </c>
      <c r="BK2" s="24">
        <f t="shared" ref="BK2:BU2" si="4">(SUMPRODUCT(Q6:Q56,$AV$6:$AV$56)+AV2)/($AV$57+1)</f>
        <v>0.31204490322580664</v>
      </c>
      <c r="BL2" s="24">
        <f t="shared" si="4"/>
        <v>0.53793822040816319</v>
      </c>
      <c r="BM2" s="24">
        <f t="shared" si="4"/>
        <v>0.47624394474411247</v>
      </c>
      <c r="BN2" s="24">
        <f t="shared" si="4"/>
        <v>0.60852945454545448</v>
      </c>
      <c r="BO2" s="24">
        <f t="shared" si="4"/>
        <v>0.5763243073820089</v>
      </c>
      <c r="BP2" s="24">
        <f t="shared" si="4"/>
        <v>0.19688182945736429</v>
      </c>
      <c r="BQ2" s="24">
        <f t="shared" si="4"/>
        <v>0.56806552921784448</v>
      </c>
      <c r="BR2" s="24">
        <f t="shared" si="4"/>
        <v>5.0153473607973426E-2</v>
      </c>
      <c r="BS2" s="24">
        <f t="shared" si="4"/>
        <v>0.13351017050691244</v>
      </c>
      <c r="BT2" s="24">
        <f t="shared" si="4"/>
        <v>0.39829390241561363</v>
      </c>
      <c r="BU2" s="24">
        <f t="shared" si="4"/>
        <v>0.44192152710411842</v>
      </c>
    </row>
    <row r="3" spans="1:73" x14ac:dyDescent="0.3">
      <c r="A3" s="3" t="s">
        <v>1</v>
      </c>
      <c r="B3" s="13">
        <f>MAX(B6:B56)</f>
        <v>352687</v>
      </c>
      <c r="C3" s="13">
        <f t="shared" ref="C3:M3" si="5">MAX(C6:C56)</f>
        <v>71</v>
      </c>
      <c r="D3" s="13">
        <f t="shared" si="5"/>
        <v>0.72599999999999998</v>
      </c>
      <c r="E3" s="13">
        <f t="shared" si="5"/>
        <v>0.83899999999999997</v>
      </c>
      <c r="F3" s="13">
        <f t="shared" si="5"/>
        <v>11</v>
      </c>
      <c r="G3" s="13">
        <f t="shared" si="5"/>
        <v>-4.0720000000000001</v>
      </c>
      <c r="H3" s="13">
        <f t="shared" si="5"/>
        <v>0.10299999999999999</v>
      </c>
      <c r="I3" s="13">
        <f t="shared" si="5"/>
        <v>0.94199999999999995</v>
      </c>
      <c r="J3" s="13">
        <f t="shared" si="5"/>
        <v>6.0199999999999997E-2</v>
      </c>
      <c r="K3" s="13">
        <f t="shared" si="5"/>
        <v>0.73899999999999999</v>
      </c>
      <c r="L3" s="13">
        <f>MAX(L6:L56)</f>
        <v>0.72499999999999998</v>
      </c>
      <c r="M3" s="14">
        <f t="shared" si="5"/>
        <v>184.21199999999999</v>
      </c>
      <c r="O3" s="3" t="s">
        <v>1</v>
      </c>
      <c r="P3" s="13">
        <f>MAX(P6:P56)</f>
        <v>1</v>
      </c>
      <c r="Q3" s="13">
        <f t="shared" ref="Q3:AA3" si="6">MAX(Q6:Q56)</f>
        <v>1</v>
      </c>
      <c r="R3" s="13">
        <f t="shared" si="6"/>
        <v>1</v>
      </c>
      <c r="S3" s="13">
        <f t="shared" si="6"/>
        <v>1</v>
      </c>
      <c r="T3" s="13">
        <f t="shared" si="6"/>
        <v>1</v>
      </c>
      <c r="U3" s="13">
        <f t="shared" si="6"/>
        <v>1</v>
      </c>
      <c r="V3" s="13">
        <f t="shared" si="6"/>
        <v>1</v>
      </c>
      <c r="W3" s="13">
        <f t="shared" si="6"/>
        <v>1</v>
      </c>
      <c r="X3" s="13">
        <f t="shared" si="6"/>
        <v>1</v>
      </c>
      <c r="Y3" s="13">
        <f t="shared" si="6"/>
        <v>1</v>
      </c>
      <c r="Z3" s="13">
        <f t="shared" si="6"/>
        <v>1</v>
      </c>
      <c r="AA3" s="14">
        <f t="shared" si="6"/>
        <v>1</v>
      </c>
      <c r="AC3" s="40"/>
      <c r="AD3" s="26" t="s">
        <v>20</v>
      </c>
      <c r="AE3" s="27">
        <f t="shared" ref="AE3:AP3" si="7">(SUMPRODUCT(P6:P56,$AG$6:$AG$56)+P3)/($AG$57+1)</f>
        <v>0.67322064805945914</v>
      </c>
      <c r="AF3" s="27">
        <f t="shared" si="7"/>
        <v>0.967741935483871</v>
      </c>
      <c r="AG3" s="27">
        <f t="shared" si="7"/>
        <v>0.55646258503401358</v>
      </c>
      <c r="AH3" s="27">
        <f t="shared" si="7"/>
        <v>0.94869096171556377</v>
      </c>
      <c r="AI3" s="27">
        <f t="shared" si="7"/>
        <v>0.81818181818181823</v>
      </c>
      <c r="AJ3" s="27">
        <f>(SUMPRODUCT(U6:U56,$AG$6:$AG$56)+U3)/($AG$57+1)</f>
        <v>0.86893236520102179</v>
      </c>
      <c r="AK3" s="27">
        <f t="shared" si="7"/>
        <v>0.92161929371231699</v>
      </c>
      <c r="AL3" s="27">
        <f t="shared" si="7"/>
        <v>0.54626823345917297</v>
      </c>
      <c r="AM3" s="27">
        <f t="shared" si="7"/>
        <v>0.33352823920265778</v>
      </c>
      <c r="AN3" s="27">
        <f t="shared" si="7"/>
        <v>0.37740015360983103</v>
      </c>
      <c r="AO3" s="27">
        <f t="shared" si="7"/>
        <v>0.5771343251746387</v>
      </c>
      <c r="AP3" s="28">
        <f t="shared" si="7"/>
        <v>0.87432453162219514</v>
      </c>
      <c r="AS3" s="40"/>
      <c r="AT3" s="26" t="s">
        <v>20</v>
      </c>
      <c r="AU3" s="27">
        <f>(SUMPRODUCT(P6:P56,$AG$6:$AG$56)+P3)/($AG$57+1)</f>
        <v>0.67322064805945914</v>
      </c>
      <c r="AV3" s="27">
        <f t="shared" ref="AV3:BF3" si="8">(SUMPRODUCT(Q6:Q56,$AG$6:$AG$56)+Q3)/($AG$57+1)</f>
        <v>0.967741935483871</v>
      </c>
      <c r="AW3" s="27">
        <f t="shared" si="8"/>
        <v>0.55646258503401358</v>
      </c>
      <c r="AX3" s="27">
        <f t="shared" si="8"/>
        <v>0.94869096171556377</v>
      </c>
      <c r="AY3" s="27">
        <f t="shared" si="8"/>
        <v>0.81818181818181823</v>
      </c>
      <c r="AZ3" s="27">
        <f t="shared" si="8"/>
        <v>0.86893236520102179</v>
      </c>
      <c r="BA3" s="27">
        <f t="shared" si="8"/>
        <v>0.92161929371231699</v>
      </c>
      <c r="BB3" s="27">
        <f t="shared" si="8"/>
        <v>0.54626823345917297</v>
      </c>
      <c r="BC3" s="27">
        <f t="shared" si="8"/>
        <v>0.33352823920265778</v>
      </c>
      <c r="BD3" s="27">
        <f t="shared" si="8"/>
        <v>0.37740015360983103</v>
      </c>
      <c r="BE3" s="27">
        <f t="shared" si="8"/>
        <v>0.5771343251746387</v>
      </c>
      <c r="BF3" s="27">
        <f t="shared" si="8"/>
        <v>0.87432453162219514</v>
      </c>
      <c r="BH3" s="40"/>
      <c r="BI3" s="26" t="s">
        <v>20</v>
      </c>
      <c r="BJ3" s="27">
        <f>(SUMPRODUCT(AE6:AE56,$AW$6:$AW$56)+AE3)/($AW$57+1)</f>
        <v>1.509660713889825</v>
      </c>
      <c r="BK3" s="27">
        <f t="shared" ref="BK3:BT3" si="9">(SUMPRODUCT(AF6:AF56,$AW$6:$AW$56)+AF3)/($AW$57+1)</f>
        <v>0.32258064516129031</v>
      </c>
      <c r="BL3" s="27">
        <f t="shared" si="9"/>
        <v>0.85215419501133782</v>
      </c>
      <c r="BM3" s="27">
        <f t="shared" si="9"/>
        <v>0.31623032057185457</v>
      </c>
      <c r="BN3" s="27">
        <f t="shared" si="9"/>
        <v>0.27272727272727276</v>
      </c>
      <c r="BO3" s="27">
        <f t="shared" si="9"/>
        <v>0.28964412173367393</v>
      </c>
      <c r="BP3" s="27">
        <f t="shared" si="9"/>
        <v>0.30720643123743901</v>
      </c>
      <c r="BQ3" s="27">
        <f t="shared" si="9"/>
        <v>0.18208941115305766</v>
      </c>
      <c r="BR3" s="27">
        <f t="shared" si="9"/>
        <v>0.11117607973421927</v>
      </c>
      <c r="BS3" s="27">
        <f t="shared" si="9"/>
        <v>0.125800051203277</v>
      </c>
      <c r="BT3" s="27">
        <f t="shared" si="9"/>
        <v>0.19237810839154623</v>
      </c>
      <c r="BU3" s="27">
        <f>(SUMPRODUCT(AP6:AP56,$AW$6:$AW$56)+AP3)/($AW$57+1)</f>
        <v>0.2914415105407317</v>
      </c>
    </row>
    <row r="4" spans="1:73" ht="15" thickBot="1" x14ac:dyDescent="0.35">
      <c r="A4" s="3"/>
      <c r="M4" s="4"/>
      <c r="O4" s="3"/>
      <c r="AA4" s="4"/>
      <c r="AI4" s="19"/>
    </row>
    <row r="5" spans="1:73" x14ac:dyDescent="0.3">
      <c r="A5" s="3"/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s="4" t="s">
        <v>13</v>
      </c>
      <c r="O5" s="3"/>
      <c r="P5" t="s">
        <v>2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8</v>
      </c>
      <c r="W5" t="s">
        <v>9</v>
      </c>
      <c r="X5" t="s">
        <v>10</v>
      </c>
      <c r="Y5" t="s">
        <v>11</v>
      </c>
      <c r="Z5" t="s">
        <v>12</v>
      </c>
      <c r="AA5" s="4" t="s">
        <v>13</v>
      </c>
      <c r="AC5" s="17" t="s">
        <v>14</v>
      </c>
      <c r="AD5" s="18" t="s">
        <v>15</v>
      </c>
      <c r="AE5" t="s">
        <v>16</v>
      </c>
      <c r="AF5" s="17" t="s">
        <v>21</v>
      </c>
      <c r="AG5" s="18" t="s">
        <v>22</v>
      </c>
      <c r="AS5" s="29" t="s">
        <v>14</v>
      </c>
      <c r="AT5" s="30" t="s">
        <v>15</v>
      </c>
      <c r="AU5" s="31" t="s">
        <v>16</v>
      </c>
      <c r="AV5" s="32" t="s">
        <v>21</v>
      </c>
      <c r="AW5" s="33" t="s">
        <v>22</v>
      </c>
      <c r="BH5" s="29" t="s">
        <v>14</v>
      </c>
      <c r="BI5" s="30" t="s">
        <v>15</v>
      </c>
      <c r="BJ5" t="s">
        <v>23</v>
      </c>
      <c r="BK5" s="32" t="s">
        <v>21</v>
      </c>
      <c r="BL5" s="33" t="s">
        <v>22</v>
      </c>
      <c r="BN5" t="s">
        <v>25</v>
      </c>
      <c r="BP5" s="1" t="s">
        <v>26</v>
      </c>
    </row>
    <row r="6" spans="1:73" x14ac:dyDescent="0.3">
      <c r="A6" s="3"/>
      <c r="B6">
        <v>265306</v>
      </c>
      <c r="C6">
        <v>60</v>
      </c>
      <c r="D6">
        <v>0.45200000000000001</v>
      </c>
      <c r="E6">
        <v>0.32900000000000001</v>
      </c>
      <c r="F6">
        <v>8</v>
      </c>
      <c r="G6">
        <v>-12.382</v>
      </c>
      <c r="H6">
        <v>4.2500000000000003E-2</v>
      </c>
      <c r="I6">
        <v>0.94199999999999995</v>
      </c>
      <c r="J6">
        <v>1.2800000000000001E-3</v>
      </c>
      <c r="K6">
        <v>9.7900000000000001E-2</v>
      </c>
      <c r="L6">
        <v>0.19800000000000001</v>
      </c>
      <c r="M6">
        <v>82.766999999999996</v>
      </c>
      <c r="O6" s="3"/>
      <c r="P6" s="1">
        <f>(B6 - $B$2)/($B$3 - $B$2)</f>
        <v>0.58359662039485916</v>
      </c>
      <c r="Q6" s="1">
        <f t="shared" ref="Q6:Q37" si="10">(C6 - $C$2)/($C$3 - $C$2)</f>
        <v>0.64516129032258063</v>
      </c>
      <c r="R6" s="1">
        <f t="shared" ref="R6:R37" si="11">(D6 - $D$2)/($D$3 - $D$2)</f>
        <v>0.44081632653061231</v>
      </c>
      <c r="S6" s="1">
        <f t="shared" ref="S6:S56" si="12">(E6 - $E$2)/($E$3- $E$2)</f>
        <v>0.32903565320352585</v>
      </c>
      <c r="T6" s="1">
        <f t="shared" ref="T6:T37" si="13">(F6 - $F$2)/($F$3- $F$2)</f>
        <v>0.72727272727272729</v>
      </c>
      <c r="U6" s="1">
        <f t="shared" ref="U6:U37" si="14">(G6 - $G$2)/($G$3- $G$2)</f>
        <v>0.16196046793061716</v>
      </c>
      <c r="V6" s="1">
        <f t="shared" ref="V6:V37" si="15">(H6 - $H$2)/($H$3- $H$2)</f>
        <v>0.2183462532299742</v>
      </c>
      <c r="W6" s="1">
        <f t="shared" ref="W6:W37" si="16">(I6 - $I$2)/($I$3- $I$2)</f>
        <v>1</v>
      </c>
      <c r="X6" s="1">
        <f t="shared" ref="X6:X37" si="17">(J6 - $J$2)/($J$3- $J$2)</f>
        <v>2.1262458471760802E-2</v>
      </c>
      <c r="Y6" s="1">
        <f t="shared" ref="Y6:Y37" si="18">(K6 - $K$2)/($K$3- $K$2)</f>
        <v>7.6756912442396311E-2</v>
      </c>
      <c r="Z6" s="1">
        <f t="shared" ref="Z6:Z37" si="19">(L6 - $L$2)/($L$3- $L$2)</f>
        <v>0.1569348904175332</v>
      </c>
      <c r="AA6" s="8">
        <f t="shared" ref="AA6:AA37" si="20">(M6 - $M$2)/($M$3- $M$2)</f>
        <v>0.11914871447550075</v>
      </c>
      <c r="AB6" s="1"/>
      <c r="AC6" s="15">
        <f>SQRT(
($P$2 - P6)^2 +
($Q$2 -Q6)^2 +
($R$2 - R6)^2 +
($S$2 - S6)^2 +
($T$2 - T6)^2 +
($U$2 - U6)^2 +
($V$2 - V6)^2 +
($W$2 - W6)^2 +
($X$2 - X6)^2 +
($Y$2 - Y6)^2 +
($Z$2 - Z6)^2 +
($AA$2 - AA6)^2)</f>
        <v>1.645418546063</v>
      </c>
      <c r="AD6" s="16">
        <f>SQRT(
($P$3 - P6)^2 +
($Q$3 -Q6)^2 +
($R$3 - R6)^2 +
($S$3 - S6)^2 +
($T$3 - T6)^2 +
($U$3 - U6)^2 +
($V$3 - V6)^2 +
($W$3 - W6)^2 +
($X$3 - X6)^2 +
($Y$3 - Y6)^2 +
($Z$3 - Z6)^2 +
($AA$3 - AA6)^2)</f>
        <v>2.3972520856897592</v>
      </c>
      <c r="AE6" s="1">
        <f>MIN(AC6:AD6)</f>
        <v>1.645418546063</v>
      </c>
      <c r="AF6">
        <f>IF(AE6=AC6,1,0)</f>
        <v>1</v>
      </c>
      <c r="AG6">
        <f>IF(AE6=AD6,1,0)</f>
        <v>0</v>
      </c>
      <c r="AS6" s="34">
        <f t="shared" ref="AS6:AS37" si="21">SQRT(
($AE$2 - P6)^2 +
($AF$2 -Q6)^2 +
($AG$2 - R6)^2 +
($AH$2 - S6)^2 +
($AI$2 - T6)^2 +
($AJ$2 - U6)^2 +
($AK$2 - V6)^2 +
($AL$2 - W6)^2 +
($AM$2 - X6)^2 +
($AN$2 - Y6)^2 +
($AO$2 - Z6)^2 +
($AP$2 - AA6)^2)</f>
        <v>0.84335089967164101</v>
      </c>
      <c r="AT6" s="16">
        <f t="shared" ref="AT6:AT37" si="22">SQRT(
($AE$3 - P6)^2 +
($AF$3 -Q6)^2 +
($AG$3 - R6)^2 +
($AH$3 - S6)^2 +
($AI$3 - T6)^2 +
($AJ$3 - U6)^2 +
($AK$3 - V6)^2 +
($AL$3 - W6)^2 +
($AM$3 - X6)^2 +
($AN$3 - Y6)^2 +
($AO$3 - Z6)^2 +
($AP$3 - AA6)^2)</f>
        <v>1.6287206836245927</v>
      </c>
      <c r="AU6" s="1">
        <f>MIN(AS6:AT6)</f>
        <v>0.84335089967164101</v>
      </c>
      <c r="AV6">
        <f>IF(AU6=AS6,1,0)</f>
        <v>1</v>
      </c>
      <c r="AW6" s="4">
        <f>IF(AU6=AT6,1,0)</f>
        <v>0</v>
      </c>
      <c r="BH6" s="34">
        <f>SQRT(
($AU$2 - P6)^2 +
($AV$2 -Q6)^2 +
($AW$2 - R6)^2 +
($AX$2 - S6)^2 +
($AY$2 - T6)^2 +
($AZ$2 - U6)^2 +
($BA$2 - V6)^2 +
($BB$2 - W6)^2 +
($BC$2 - X6)^2 +
($BD$2 - Y6)^2 +
($BE$2 - Z6)^2 +
($BF$2 - AA6)^2)</f>
        <v>0.84537911804660515</v>
      </c>
      <c r="BI6" s="16">
        <f>SQRT(
($AU$3 - P6)^2 +
($AV$3 -Q6)^2 +
($AW$3 - R6)^2 +
($AX$3 - S6)^2 +
($AY$3 - T6)^2 +
($AZ$3 - U6)^2 +
($BA$3 - V6)^2 +
($BB$3 - W6)^2 +
($BC$3 - X6)^2 +
($BD$3 - Y6)^2 +
($BE$3 - Z6)^2 +
($BF$3 - AA6)^2)</f>
        <v>1.6287206836245927</v>
      </c>
      <c r="BJ6" s="1">
        <f>MIN(BH6:BI6)</f>
        <v>0.84537911804660515</v>
      </c>
      <c r="BK6">
        <f>IF(BJ6=BH6, 1, 0)</f>
        <v>1</v>
      </c>
      <c r="BL6" s="4">
        <f>IF(BJ6=BI6,1,0)</f>
        <v>0</v>
      </c>
      <c r="BN6" s="1">
        <f>MIN(BJ6:BJ56)</f>
        <v>0.47711271442028752</v>
      </c>
      <c r="BP6" s="1">
        <f>MIN(BJ7:BJ8)</f>
        <v>0.69780849999858741</v>
      </c>
    </row>
    <row r="7" spans="1:73" x14ac:dyDescent="0.3">
      <c r="A7" s="3"/>
      <c r="B7">
        <v>268653</v>
      </c>
      <c r="C7">
        <v>71</v>
      </c>
      <c r="D7">
        <v>0.29699999999999999</v>
      </c>
      <c r="E7">
        <v>0.83899999999999997</v>
      </c>
      <c r="F7">
        <v>7</v>
      </c>
      <c r="G7">
        <v>-4.4480000000000004</v>
      </c>
      <c r="H7">
        <v>8.48E-2</v>
      </c>
      <c r="I7">
        <v>0.39900000000000002</v>
      </c>
      <c r="J7">
        <v>0</v>
      </c>
      <c r="K7">
        <v>9.6500000000000002E-2</v>
      </c>
      <c r="L7">
        <v>0.30299999999999999</v>
      </c>
      <c r="M7">
        <v>152.99700000000001</v>
      </c>
      <c r="O7" s="3"/>
      <c r="P7" s="1">
        <f t="shared" ref="P7:P56" si="23">(B7 - $B$2)/($B$3 - $B$2)</f>
        <v>0.59954633614014019</v>
      </c>
      <c r="Q7" s="1">
        <f t="shared" si="10"/>
        <v>1</v>
      </c>
      <c r="R7" s="1">
        <f t="shared" si="11"/>
        <v>0.12448979591836734</v>
      </c>
      <c r="S7" s="1">
        <f t="shared" si="12"/>
        <v>1</v>
      </c>
      <c r="T7" s="1">
        <f t="shared" si="13"/>
        <v>0.63636363636363635</v>
      </c>
      <c r="U7" s="1">
        <f t="shared" si="14"/>
        <v>0.962081484469544</v>
      </c>
      <c r="V7" s="1">
        <f t="shared" si="15"/>
        <v>0.76485788113695097</v>
      </c>
      <c r="W7" s="1">
        <f t="shared" si="16"/>
        <v>0.42255543148827573</v>
      </c>
      <c r="X7" s="1">
        <f t="shared" si="17"/>
        <v>0</v>
      </c>
      <c r="Y7" s="1">
        <f t="shared" si="18"/>
        <v>7.4740783410138248E-2</v>
      </c>
      <c r="Z7" s="1">
        <f t="shared" si="19"/>
        <v>0.32490801471764519</v>
      </c>
      <c r="AA7" s="8">
        <f t="shared" si="20"/>
        <v>0.72895881632759407</v>
      </c>
      <c r="AB7" s="1"/>
      <c r="AC7" s="15">
        <f>SQRT(
($P$2 - P7)^2 +
($Q$2 -Q7)^2 +
($R$2 - R7)^2 +
($S$2 - S7)^2 +
($T$2 - T7)^2 +
($U$2 - U7)^2 +
($V$2 - V7)^2 +
($W$2 - W7)^2 +
($X$2 - X7)^2 +
($Y$2 - Y7)^2 +
($Z$2 - Z7)^2 +
($AA$2 - AA7)^2)</f>
        <v>2.2608861113651288</v>
      </c>
      <c r="AD7" s="16">
        <f t="shared" ref="AD7:AD56" si="24">SQRT(
($P$3 - P7)^2 +
($Q$3 -Q7)^2 +
($R$3 - R7)^2 +
($S$3 - S7)^2 +
($T$3 - T7)^2 +
($U$3 - U7)^2 +
($V$3 - V7)^2 +
($W$3 - W7)^2 +
($X$3 - X7)^2 +
($Y$3 - Y7)^2 +
($Z$3 - Z7)^2 +
($AA$3 - AA7)^2)</f>
        <v>1.9582138924589287</v>
      </c>
      <c r="AE7" s="1">
        <f t="shared" ref="AE7:AE56" si="25">MIN(AC7:AD7)</f>
        <v>1.9582138924589287</v>
      </c>
      <c r="AF7">
        <f t="shared" ref="AF7:AF56" si="26">IF(AE7=AC7,1,0)</f>
        <v>0</v>
      </c>
      <c r="AG7">
        <f t="shared" ref="AG7:AG56" si="27">IF(AE7=AD7,1,0)</f>
        <v>1</v>
      </c>
      <c r="AS7" s="34">
        <f t="shared" si="21"/>
        <v>1.254209135859286</v>
      </c>
      <c r="AT7" s="16">
        <f t="shared" si="22"/>
        <v>0.75160380919642777</v>
      </c>
      <c r="AU7" s="1">
        <f t="shared" ref="AU7:AU56" si="28">MIN(AS7:AT7)</f>
        <v>0.75160380919642777</v>
      </c>
      <c r="AV7">
        <f t="shared" ref="AV7:AV56" si="29">IF(AU7=AS7,1,0)</f>
        <v>0</v>
      </c>
      <c r="AW7" s="4">
        <f t="shared" ref="AW7:AW56" si="30">IF(AU7=AT7,1,0)</f>
        <v>1</v>
      </c>
      <c r="BH7" s="34">
        <f t="shared" ref="BH7:BH56" si="31">SQRT(
($AU$2 - P7)^2 +
($AV$2 -Q7)^2 +
($AW$2 - R7)^2 +
($AX$2 - S7)^2 +
($AY$2 - T7)^2 +
($AZ$2 - U7)^2 +
($BA$2 - V7)^2 +
($BB$2 - W7)^2 +
($BC$2 - X7)^2 +
($BD$2 - Y7)^2 +
($BE$2 - Z7)^2 +
($BF$2 - AA7)^2)</f>
        <v>1.2432286956623837</v>
      </c>
      <c r="BI7" s="16">
        <f t="shared" ref="BI7:BI56" si="32">SQRT(
($AU$3 - P7)^2 +
($AV$3 -Q7)^2 +
($AW$3 - R7)^2 +
($AX$3 - S7)^2 +
($AY$3 - T7)^2 +
($AZ$3 - U7)^2 +
($BA$3 - V7)^2 +
($BB$3 - W7)^2 +
($BC$3 - X7)^2 +
($BD$3 - Y7)^2 +
($BE$3 - Z7)^2 +
($BF$3 - AA7)^2)</f>
        <v>0.75160380919642777</v>
      </c>
      <c r="BJ7" s="1">
        <f t="shared" ref="BJ7:BJ56" si="33">MIN(BH7:BI7)</f>
        <v>0.75160380919642777</v>
      </c>
      <c r="BK7">
        <f t="shared" ref="BK7:BK56" si="34">IF(BJ7=BH7, 1, 0)</f>
        <v>0</v>
      </c>
      <c r="BL7" s="4">
        <f t="shared" ref="BL7:BL56" si="35">IF(BJ7=BI7,1,0)</f>
        <v>1</v>
      </c>
    </row>
    <row r="8" spans="1:73" x14ac:dyDescent="0.3">
      <c r="A8" s="3"/>
      <c r="B8">
        <v>231000</v>
      </c>
      <c r="C8">
        <v>68</v>
      </c>
      <c r="D8">
        <v>0.503</v>
      </c>
      <c r="E8">
        <v>0.72199999999999998</v>
      </c>
      <c r="F8">
        <v>9</v>
      </c>
      <c r="G8">
        <v>-7.5949999999999998</v>
      </c>
      <c r="H8">
        <v>0.10299999999999999</v>
      </c>
      <c r="I8">
        <v>0.20499999999999999</v>
      </c>
      <c r="J8">
        <v>3.5200000000000002E-5</v>
      </c>
      <c r="K8">
        <v>8.4500000000000006E-2</v>
      </c>
      <c r="L8">
        <v>0.35399999999999998</v>
      </c>
      <c r="M8">
        <v>172.006</v>
      </c>
      <c r="O8" s="3"/>
      <c r="P8" s="1">
        <f t="shared" si="23"/>
        <v>0.42011560803823739</v>
      </c>
      <c r="Q8" s="1">
        <f t="shared" si="10"/>
        <v>0.90322580645161288</v>
      </c>
      <c r="R8" s="1">
        <f t="shared" si="11"/>
        <v>0.54489795918367356</v>
      </c>
      <c r="S8" s="1">
        <f t="shared" si="12"/>
        <v>0.84607288514669121</v>
      </c>
      <c r="T8" s="1">
        <f t="shared" si="13"/>
        <v>0.81818181818181823</v>
      </c>
      <c r="U8" s="1">
        <f t="shared" si="14"/>
        <v>0.64471561113352149</v>
      </c>
      <c r="V8" s="1">
        <f t="shared" si="15"/>
        <v>1</v>
      </c>
      <c r="W8" s="1">
        <f t="shared" si="16"/>
        <v>0.21624926888924337</v>
      </c>
      <c r="X8" s="1">
        <f t="shared" si="17"/>
        <v>5.8471760797342194E-4</v>
      </c>
      <c r="Y8" s="1">
        <f t="shared" si="18"/>
        <v>5.7459677419354843E-2</v>
      </c>
      <c r="Z8" s="1">
        <f t="shared" si="19"/>
        <v>0.40649496080627101</v>
      </c>
      <c r="AA8" s="8">
        <f t="shared" si="20"/>
        <v>0.89401477853899125</v>
      </c>
      <c r="AB8" s="1"/>
      <c r="AC8" s="15">
        <f t="shared" ref="AC8:AC56" si="36">SQRT(
($P$2 - P8)^2 +
($Q$2 -Q8)^2 +
($R$2 - R8)^2 +
($S$2 - S8)^2 +
($T$2 - T8)^2 +
($U$2 - U8)^2 +
($V$2 - V8)^2 +
($W$2 - W8)^2 +
($X$2 - X8)^2 +
($Y$2 - Y8)^2 +
($Z$2 - Z8)^2 +
($AA$2 - AA8)^2)</f>
        <v>2.2593612109242343</v>
      </c>
      <c r="AD8" s="16">
        <f t="shared" si="24"/>
        <v>1.897547601151087</v>
      </c>
      <c r="AE8" s="1">
        <f t="shared" si="25"/>
        <v>1.897547601151087</v>
      </c>
      <c r="AF8">
        <f t="shared" si="26"/>
        <v>0</v>
      </c>
      <c r="AG8">
        <f t="shared" si="27"/>
        <v>1</v>
      </c>
      <c r="AS8" s="34">
        <f t="shared" si="21"/>
        <v>1.2430478330315018</v>
      </c>
      <c r="AT8" s="16">
        <f t="shared" si="22"/>
        <v>0.69780849999858741</v>
      </c>
      <c r="AU8" s="1">
        <f t="shared" si="28"/>
        <v>0.69780849999858741</v>
      </c>
      <c r="AV8">
        <f t="shared" si="29"/>
        <v>0</v>
      </c>
      <c r="AW8" s="4">
        <f t="shared" si="30"/>
        <v>1</v>
      </c>
      <c r="BH8" s="34">
        <f t="shared" si="31"/>
        <v>1.231797610878967</v>
      </c>
      <c r="BI8" s="16">
        <f t="shared" si="32"/>
        <v>0.69780849999858741</v>
      </c>
      <c r="BJ8" s="1">
        <f t="shared" si="33"/>
        <v>0.69780849999858741</v>
      </c>
      <c r="BK8">
        <f t="shared" si="34"/>
        <v>0</v>
      </c>
      <c r="BL8" s="4">
        <f t="shared" si="35"/>
        <v>1</v>
      </c>
    </row>
    <row r="9" spans="1:73" x14ac:dyDescent="0.3">
      <c r="A9" s="3"/>
      <c r="B9">
        <v>238493</v>
      </c>
      <c r="C9">
        <v>66</v>
      </c>
      <c r="D9">
        <v>0.54400000000000004</v>
      </c>
      <c r="E9">
        <v>0.5</v>
      </c>
      <c r="F9">
        <v>11</v>
      </c>
      <c r="G9">
        <v>-8.2530000000000001</v>
      </c>
      <c r="H9">
        <v>2.5999999999999999E-2</v>
      </c>
      <c r="I9">
        <v>3.2500000000000001E-2</v>
      </c>
      <c r="J9">
        <v>3.7799999999999998E-6</v>
      </c>
      <c r="K9">
        <v>0.109</v>
      </c>
      <c r="L9">
        <v>0.17699999999999999</v>
      </c>
      <c r="M9">
        <v>93.620999999999995</v>
      </c>
      <c r="O9" s="3"/>
      <c r="P9" s="1">
        <f t="shared" si="23"/>
        <v>0.45582257549548005</v>
      </c>
      <c r="Q9" s="1">
        <f t="shared" si="10"/>
        <v>0.83870967741935487</v>
      </c>
      <c r="R9" s="1">
        <f t="shared" si="11"/>
        <v>0.62857142857142867</v>
      </c>
      <c r="S9" s="1">
        <f t="shared" si="12"/>
        <v>0.55400605183528484</v>
      </c>
      <c r="T9" s="1">
        <f t="shared" si="13"/>
        <v>1</v>
      </c>
      <c r="U9" s="1">
        <f t="shared" si="14"/>
        <v>0.57835820895522383</v>
      </c>
      <c r="V9" s="1">
        <f t="shared" si="15"/>
        <v>5.1679586563307183E-3</v>
      </c>
      <c r="W9" s="1">
        <f t="shared" si="16"/>
        <v>3.2806933588557456E-2</v>
      </c>
      <c r="X9" s="1">
        <f t="shared" si="17"/>
        <v>6.2790697674418604E-5</v>
      </c>
      <c r="Y9" s="1">
        <f t="shared" si="18"/>
        <v>9.2741935483870969E-2</v>
      </c>
      <c r="Z9" s="1">
        <f t="shared" si="19"/>
        <v>0.12334026555751078</v>
      </c>
      <c r="AA9" s="8">
        <f t="shared" si="20"/>
        <v>0.21339446195524756</v>
      </c>
      <c r="AB9" s="1"/>
      <c r="AC9" s="15">
        <f t="shared" si="36"/>
        <v>1.7372924906905118</v>
      </c>
      <c r="AD9" s="16">
        <f t="shared" si="24"/>
        <v>2.4438127223209465</v>
      </c>
      <c r="AE9" s="1">
        <f t="shared" si="25"/>
        <v>1.7372924906905118</v>
      </c>
      <c r="AF9">
        <f t="shared" si="26"/>
        <v>1</v>
      </c>
      <c r="AG9">
        <f t="shared" si="27"/>
        <v>0</v>
      </c>
      <c r="AS9" s="34">
        <f t="shared" si="21"/>
        <v>0.9497840901336273</v>
      </c>
      <c r="AT9" s="16">
        <f t="shared" si="22"/>
        <v>1.5102618873939191</v>
      </c>
      <c r="AU9" s="1">
        <f t="shared" si="28"/>
        <v>0.9497840901336273</v>
      </c>
      <c r="AV9">
        <f t="shared" si="29"/>
        <v>1</v>
      </c>
      <c r="AW9" s="4">
        <f t="shared" si="30"/>
        <v>0</v>
      </c>
      <c r="BH9" s="34">
        <f t="shared" si="31"/>
        <v>0.95032428809933134</v>
      </c>
      <c r="BI9" s="16">
        <f t="shared" si="32"/>
        <v>1.5102618873939191</v>
      </c>
      <c r="BJ9" s="1">
        <f t="shared" si="33"/>
        <v>0.95032428809933134</v>
      </c>
      <c r="BK9">
        <f t="shared" si="34"/>
        <v>1</v>
      </c>
      <c r="BL9" s="4">
        <f t="shared" si="35"/>
        <v>0</v>
      </c>
    </row>
    <row r="10" spans="1:73" x14ac:dyDescent="0.3">
      <c r="A10" s="3"/>
      <c r="B10">
        <v>230098</v>
      </c>
      <c r="C10">
        <v>62</v>
      </c>
      <c r="D10">
        <v>0.56799999999999995</v>
      </c>
      <c r="E10">
        <v>0.68600000000000005</v>
      </c>
      <c r="F10">
        <v>1</v>
      </c>
      <c r="G10">
        <v>-6.6349999999999998</v>
      </c>
      <c r="H10">
        <v>3.3000000000000002E-2</v>
      </c>
      <c r="I10">
        <v>0.15</v>
      </c>
      <c r="J10">
        <v>1.81E-6</v>
      </c>
      <c r="K10">
        <v>8.8099999999999998E-2</v>
      </c>
      <c r="L10">
        <v>0.72499999999999998</v>
      </c>
      <c r="M10">
        <v>172.07499999999999</v>
      </c>
      <c r="O10" s="3"/>
      <c r="P10" s="1">
        <f t="shared" si="23"/>
        <v>0.41581723827359934</v>
      </c>
      <c r="Q10" s="1">
        <f t="shared" si="10"/>
        <v>0.70967741935483875</v>
      </c>
      <c r="R10" s="1">
        <f t="shared" si="11"/>
        <v>0.67755102040816317</v>
      </c>
      <c r="S10" s="1">
        <f t="shared" si="12"/>
        <v>0.79871069596105781</v>
      </c>
      <c r="T10" s="1">
        <f t="shared" si="13"/>
        <v>9.0909090909090912E-2</v>
      </c>
      <c r="U10" s="1">
        <f t="shared" si="14"/>
        <v>0.74152884227511084</v>
      </c>
      <c r="V10" s="1">
        <f t="shared" si="15"/>
        <v>9.5607235142118871E-2</v>
      </c>
      <c r="W10" s="1">
        <f t="shared" si="16"/>
        <v>0.15776040835858987</v>
      </c>
      <c r="X10" s="1">
        <f t="shared" si="17"/>
        <v>3.0066445182724255E-5</v>
      </c>
      <c r="Y10" s="1">
        <f t="shared" si="18"/>
        <v>6.2644009216589858E-2</v>
      </c>
      <c r="Z10" s="1">
        <f t="shared" si="19"/>
        <v>1</v>
      </c>
      <c r="AA10" s="8">
        <f t="shared" si="20"/>
        <v>0.89461390849809408</v>
      </c>
      <c r="AB10" s="1"/>
      <c r="AC10" s="15">
        <f t="shared" si="36"/>
        <v>2.0420521714569624</v>
      </c>
      <c r="AD10" s="16">
        <f t="shared" si="24"/>
        <v>2.2091349441053221</v>
      </c>
      <c r="AE10" s="1">
        <f t="shared" si="25"/>
        <v>2.0420521714569624</v>
      </c>
      <c r="AF10">
        <f t="shared" si="26"/>
        <v>1</v>
      </c>
      <c r="AG10">
        <f t="shared" si="27"/>
        <v>0</v>
      </c>
      <c r="AS10" s="34">
        <f t="shared" si="21"/>
        <v>1.1591292562604563</v>
      </c>
      <c r="AT10" s="16">
        <f t="shared" si="22"/>
        <v>1.3920924276545901</v>
      </c>
      <c r="AU10" s="1">
        <f t="shared" si="28"/>
        <v>1.1591292562604563</v>
      </c>
      <c r="AV10">
        <f t="shared" si="29"/>
        <v>1</v>
      </c>
      <c r="AW10" s="4">
        <f t="shared" si="30"/>
        <v>0</v>
      </c>
      <c r="BH10" s="34">
        <f t="shared" si="31"/>
        <v>1.1534301219586589</v>
      </c>
      <c r="BI10" s="16">
        <f t="shared" si="32"/>
        <v>1.3920924276545901</v>
      </c>
      <c r="BJ10" s="1">
        <f t="shared" si="33"/>
        <v>1.1534301219586589</v>
      </c>
      <c r="BK10">
        <f t="shared" si="34"/>
        <v>1</v>
      </c>
      <c r="BL10" s="4">
        <f t="shared" si="35"/>
        <v>0</v>
      </c>
    </row>
    <row r="11" spans="1:73" x14ac:dyDescent="0.3">
      <c r="A11" s="3"/>
      <c r="B11">
        <v>214666</v>
      </c>
      <c r="C11">
        <v>61</v>
      </c>
      <c r="D11">
        <v>0.56399999999999995</v>
      </c>
      <c r="E11">
        <v>0.20899999999999999</v>
      </c>
      <c r="F11">
        <v>3</v>
      </c>
      <c r="G11">
        <v>-8.9220000000000006</v>
      </c>
      <c r="H11">
        <v>3.1699999999999999E-2</v>
      </c>
      <c r="I11">
        <v>0.72399999999999998</v>
      </c>
      <c r="J11">
        <v>3.9900000000000001E-5</v>
      </c>
      <c r="K11">
        <v>0.107</v>
      </c>
      <c r="L11">
        <v>0.40200000000000002</v>
      </c>
      <c r="M11">
        <v>109.024</v>
      </c>
      <c r="O11" s="3"/>
      <c r="P11" s="1">
        <f t="shared" si="23"/>
        <v>0.34227794536019102</v>
      </c>
      <c r="Q11" s="1">
        <f t="shared" si="10"/>
        <v>0.67741935483870963</v>
      </c>
      <c r="R11" s="1">
        <f t="shared" si="11"/>
        <v>0.66938775510204074</v>
      </c>
      <c r="S11" s="1">
        <f t="shared" si="12"/>
        <v>0.17116168925141428</v>
      </c>
      <c r="T11" s="1">
        <f t="shared" si="13"/>
        <v>0.27272727272727271</v>
      </c>
      <c r="U11" s="1">
        <f t="shared" si="14"/>
        <v>0.51089148850342869</v>
      </c>
      <c r="V11" s="1">
        <f t="shared" si="15"/>
        <v>7.8811369509043896E-2</v>
      </c>
      <c r="W11" s="1">
        <f t="shared" si="16"/>
        <v>0.76817142553304618</v>
      </c>
      <c r="X11" s="1">
        <f t="shared" si="17"/>
        <v>6.6279069767441869E-4</v>
      </c>
      <c r="Y11" s="1">
        <f t="shared" si="18"/>
        <v>8.9861751152073732E-2</v>
      </c>
      <c r="Z11" s="1">
        <f t="shared" si="19"/>
        <v>0.48328267477203651</v>
      </c>
      <c r="AA11" s="8">
        <f t="shared" si="20"/>
        <v>0.34713937152135599</v>
      </c>
      <c r="AB11" s="1"/>
      <c r="AC11" s="15">
        <f t="shared" si="36"/>
        <v>1.5320769480116152</v>
      </c>
      <c r="AD11" s="16">
        <f t="shared" si="24"/>
        <v>2.3502489222829164</v>
      </c>
      <c r="AE11" s="1">
        <f t="shared" si="25"/>
        <v>1.5320769480116152</v>
      </c>
      <c r="AF11">
        <f t="shared" si="26"/>
        <v>1</v>
      </c>
      <c r="AG11">
        <f t="shared" si="27"/>
        <v>0</v>
      </c>
      <c r="AS11" s="34">
        <f t="shared" si="21"/>
        <v>0.65854882971213202</v>
      </c>
      <c r="AT11" s="16">
        <f t="shared" si="22"/>
        <v>1.5737230875163262</v>
      </c>
      <c r="AU11" s="1">
        <f t="shared" si="28"/>
        <v>0.65854882971213202</v>
      </c>
      <c r="AV11">
        <f t="shared" si="29"/>
        <v>1</v>
      </c>
      <c r="AW11" s="4">
        <f t="shared" si="30"/>
        <v>0</v>
      </c>
      <c r="BH11" s="34">
        <f t="shared" si="31"/>
        <v>0.66239220944412036</v>
      </c>
      <c r="BI11" s="16">
        <f t="shared" si="32"/>
        <v>1.5737230875163262</v>
      </c>
      <c r="BJ11" s="1">
        <f t="shared" si="33"/>
        <v>0.66239220944412036</v>
      </c>
      <c r="BK11">
        <f t="shared" si="34"/>
        <v>1</v>
      </c>
      <c r="BL11" s="4">
        <f t="shared" si="35"/>
        <v>0</v>
      </c>
    </row>
    <row r="12" spans="1:73" x14ac:dyDescent="0.3">
      <c r="A12" s="3"/>
      <c r="B12">
        <v>209906</v>
      </c>
      <c r="C12">
        <v>58</v>
      </c>
      <c r="D12">
        <v>0.55900000000000005</v>
      </c>
      <c r="E12">
        <v>0.56200000000000006</v>
      </c>
      <c r="F12">
        <v>11</v>
      </c>
      <c r="G12">
        <v>-5.6740000000000004</v>
      </c>
      <c r="H12">
        <v>3.2500000000000001E-2</v>
      </c>
      <c r="I12">
        <v>0.20300000000000001</v>
      </c>
      <c r="J12">
        <v>9.4800000000000007E-6</v>
      </c>
      <c r="K12">
        <v>0.17</v>
      </c>
      <c r="L12">
        <v>0.42799999999999999</v>
      </c>
      <c r="M12">
        <v>132.06200000000001</v>
      </c>
      <c r="O12" s="3"/>
      <c r="P12" s="1">
        <f t="shared" si="23"/>
        <v>0.31959475236720086</v>
      </c>
      <c r="Q12" s="1">
        <f t="shared" si="10"/>
        <v>0.58064516129032262</v>
      </c>
      <c r="R12" s="1">
        <f t="shared" si="11"/>
        <v>0.65918367346938789</v>
      </c>
      <c r="S12" s="1">
        <f t="shared" si="12"/>
        <v>0.63557426654387594</v>
      </c>
      <c r="T12" s="1">
        <f t="shared" si="13"/>
        <v>1</v>
      </c>
      <c r="U12" s="1">
        <f t="shared" si="14"/>
        <v>0.83844292053247271</v>
      </c>
      <c r="V12" s="1">
        <f t="shared" si="15"/>
        <v>8.9147286821705432E-2</v>
      </c>
      <c r="W12" s="1">
        <f t="shared" si="16"/>
        <v>0.21412240123358325</v>
      </c>
      <c r="X12" s="1">
        <f t="shared" si="17"/>
        <v>1.5747508305647844E-4</v>
      </c>
      <c r="Y12" s="1">
        <f t="shared" si="18"/>
        <v>0.18058755760368664</v>
      </c>
      <c r="Z12" s="1">
        <f t="shared" si="19"/>
        <v>0.52487601983682608</v>
      </c>
      <c r="AA12" s="8">
        <f t="shared" si="20"/>
        <v>0.54717931351862958</v>
      </c>
      <c r="AB12" s="1"/>
      <c r="AC12" s="15">
        <f>SQRT(
($P$2 - P12)^2 +
($Q$2 -Q12)^2 +
($R$2 - R12)^2 +
($S$2 - S12)^2 +
($T$2 - T12)^2 +
($U$2 - U12)^2 +
($V$2 - V12)^2 +
($W$2 - W12)^2 +
($X$2 - X12)^2 +
($Y$2 - Y12)^2 +
($Z$2 - Z12)^2 +
($AA$2 - AA12)^2)</f>
        <v>1.9084185791599186</v>
      </c>
      <c r="AD12" s="16">
        <f t="shared" si="24"/>
        <v>2.1125907830626516</v>
      </c>
      <c r="AE12" s="1">
        <f t="shared" si="25"/>
        <v>1.9084185791599186</v>
      </c>
      <c r="AF12">
        <f t="shared" si="26"/>
        <v>1</v>
      </c>
      <c r="AG12">
        <f t="shared" si="27"/>
        <v>0</v>
      </c>
      <c r="AS12" s="34">
        <f t="shared" si="21"/>
        <v>0.72717492642741077</v>
      </c>
      <c r="AT12" s="16">
        <f t="shared" si="22"/>
        <v>1.2167304613669137</v>
      </c>
      <c r="AU12" s="1">
        <f t="shared" si="28"/>
        <v>0.72717492642741077</v>
      </c>
      <c r="AV12">
        <f t="shared" si="29"/>
        <v>1</v>
      </c>
      <c r="AW12" s="4">
        <f t="shared" si="30"/>
        <v>0</v>
      </c>
      <c r="BH12" s="34">
        <f t="shared" si="31"/>
        <v>0.71404912570415013</v>
      </c>
      <c r="BI12" s="16">
        <f t="shared" si="32"/>
        <v>1.2167304613669137</v>
      </c>
      <c r="BJ12" s="1">
        <f t="shared" si="33"/>
        <v>0.71404912570415013</v>
      </c>
      <c r="BK12">
        <f t="shared" si="34"/>
        <v>1</v>
      </c>
      <c r="BL12" s="4">
        <f t="shared" si="35"/>
        <v>0</v>
      </c>
    </row>
    <row r="13" spans="1:73" x14ac:dyDescent="0.3">
      <c r="A13" s="3"/>
      <c r="B13">
        <v>279373</v>
      </c>
      <c r="C13">
        <v>58</v>
      </c>
      <c r="D13">
        <v>0.23599999999999999</v>
      </c>
      <c r="E13">
        <v>0.57799999999999996</v>
      </c>
      <c r="F13">
        <v>7</v>
      </c>
      <c r="G13">
        <v>-5.4770000000000003</v>
      </c>
      <c r="H13">
        <v>4.0399999999999998E-2</v>
      </c>
      <c r="I13">
        <v>0.32700000000000001</v>
      </c>
      <c r="J13">
        <v>1.4999999999999999E-4</v>
      </c>
      <c r="K13">
        <v>0.20599999999999999</v>
      </c>
      <c r="L13">
        <v>0.22700000000000001</v>
      </c>
      <c r="M13">
        <v>75.367000000000004</v>
      </c>
      <c r="O13" s="3"/>
      <c r="P13" s="1">
        <f t="shared" si="23"/>
        <v>0.65063117414116001</v>
      </c>
      <c r="Q13" s="1">
        <f t="shared" si="10"/>
        <v>0.58064516129032262</v>
      </c>
      <c r="R13" s="1">
        <f t="shared" si="11"/>
        <v>0</v>
      </c>
      <c r="S13" s="1">
        <f t="shared" si="12"/>
        <v>0.65662412840415729</v>
      </c>
      <c r="T13" s="1">
        <f t="shared" si="13"/>
        <v>0.63636363636363635</v>
      </c>
      <c r="U13" s="1">
        <f t="shared" si="14"/>
        <v>0.85830980233965293</v>
      </c>
      <c r="V13" s="1">
        <f t="shared" si="15"/>
        <v>0.19121447028423769</v>
      </c>
      <c r="W13" s="1">
        <f t="shared" si="16"/>
        <v>0.34598819588451113</v>
      </c>
      <c r="X13" s="1">
        <f t="shared" si="17"/>
        <v>2.4916943521594683E-3</v>
      </c>
      <c r="Y13" s="1">
        <f t="shared" si="18"/>
        <v>0.23243087557603684</v>
      </c>
      <c r="Z13" s="1">
        <f t="shared" si="19"/>
        <v>0.20332746760518317</v>
      </c>
      <c r="AA13" s="8">
        <f t="shared" si="20"/>
        <v>5.489419712243962E-2</v>
      </c>
      <c r="AB13" s="1"/>
      <c r="AC13" s="15">
        <f t="shared" si="36"/>
        <v>1.6087062896423061</v>
      </c>
      <c r="AD13" s="16">
        <f t="shared" si="24"/>
        <v>2.4004362769312833</v>
      </c>
      <c r="AE13" s="1">
        <f t="shared" si="25"/>
        <v>1.6087062896423061</v>
      </c>
      <c r="AF13">
        <f t="shared" si="26"/>
        <v>1</v>
      </c>
      <c r="AG13">
        <f t="shared" si="27"/>
        <v>0</v>
      </c>
      <c r="AS13" s="34">
        <f t="shared" si="21"/>
        <v>0.88237527893552614</v>
      </c>
      <c r="AT13" s="16">
        <f t="shared" si="22"/>
        <v>1.4470247944213324</v>
      </c>
      <c r="AU13" s="1">
        <f t="shared" si="28"/>
        <v>0.88237527893552614</v>
      </c>
      <c r="AV13">
        <f t="shared" si="29"/>
        <v>1</v>
      </c>
      <c r="AW13" s="4">
        <f t="shared" si="30"/>
        <v>0</v>
      </c>
      <c r="BH13" s="34">
        <f t="shared" si="31"/>
        <v>0.88642398393471744</v>
      </c>
      <c r="BI13" s="16">
        <f t="shared" si="32"/>
        <v>1.4470247944213324</v>
      </c>
      <c r="BJ13" s="1">
        <f t="shared" si="33"/>
        <v>0.88642398393471744</v>
      </c>
      <c r="BK13">
        <f t="shared" si="34"/>
        <v>1</v>
      </c>
      <c r="BL13" s="4">
        <f t="shared" si="35"/>
        <v>0</v>
      </c>
    </row>
    <row r="14" spans="1:73" x14ac:dyDescent="0.3">
      <c r="A14" s="3"/>
      <c r="B14">
        <v>206267</v>
      </c>
      <c r="C14">
        <v>58</v>
      </c>
      <c r="D14">
        <v>0.60599999999999998</v>
      </c>
      <c r="E14">
        <v>0.32600000000000001</v>
      </c>
      <c r="F14">
        <v>10</v>
      </c>
      <c r="G14">
        <v>-10.031000000000001</v>
      </c>
      <c r="H14">
        <v>2.9399999999999999E-2</v>
      </c>
      <c r="I14">
        <v>0.84099999999999997</v>
      </c>
      <c r="J14">
        <v>0</v>
      </c>
      <c r="K14">
        <v>0.13900000000000001</v>
      </c>
      <c r="L14">
        <v>0.41399999999999998</v>
      </c>
      <c r="M14">
        <v>91.626000000000005</v>
      </c>
      <c r="O14" s="3"/>
      <c r="P14" s="1">
        <f t="shared" si="23"/>
        <v>0.30225354663159348</v>
      </c>
      <c r="Q14" s="1">
        <f t="shared" si="10"/>
        <v>0.58064516129032262</v>
      </c>
      <c r="R14" s="1">
        <f t="shared" si="11"/>
        <v>0.75510204081632648</v>
      </c>
      <c r="S14" s="1">
        <f t="shared" si="12"/>
        <v>0.32508880410472307</v>
      </c>
      <c r="T14" s="1">
        <f t="shared" si="13"/>
        <v>0.90909090909090906</v>
      </c>
      <c r="U14" s="1">
        <f t="shared" si="14"/>
        <v>0.39905203711173848</v>
      </c>
      <c r="V14" s="1">
        <f t="shared" si="15"/>
        <v>4.9095607235142093E-2</v>
      </c>
      <c r="W14" s="1">
        <f t="shared" si="16"/>
        <v>0.8925931833891636</v>
      </c>
      <c r="X14" s="1">
        <f t="shared" si="17"/>
        <v>0</v>
      </c>
      <c r="Y14" s="1">
        <f t="shared" si="18"/>
        <v>0.13594470046082952</v>
      </c>
      <c r="Z14" s="1">
        <f t="shared" si="19"/>
        <v>0.50247960326347785</v>
      </c>
      <c r="AA14" s="8">
        <f t="shared" si="20"/>
        <v>0.19607179139857778</v>
      </c>
      <c r="AB14" s="1"/>
      <c r="AC14" s="15">
        <f t="shared" si="36"/>
        <v>1.7884631592625184</v>
      </c>
      <c r="AD14" s="16">
        <f t="shared" si="24"/>
        <v>2.2591515448180228</v>
      </c>
      <c r="AE14" s="1">
        <f t="shared" si="25"/>
        <v>1.7884631592625184</v>
      </c>
      <c r="AF14">
        <f t="shared" si="26"/>
        <v>1</v>
      </c>
      <c r="AG14">
        <f t="shared" si="27"/>
        <v>0</v>
      </c>
      <c r="AS14" s="34">
        <f t="shared" si="21"/>
        <v>0.6969517777418518</v>
      </c>
      <c r="AT14" s="16">
        <f t="shared" si="22"/>
        <v>1.5688308565845033</v>
      </c>
      <c r="AU14" s="1">
        <f t="shared" si="28"/>
        <v>0.6969517777418518</v>
      </c>
      <c r="AV14">
        <f t="shared" si="29"/>
        <v>1</v>
      </c>
      <c r="AW14" s="4">
        <f t="shared" si="30"/>
        <v>0</v>
      </c>
      <c r="BH14" s="34">
        <f t="shared" si="31"/>
        <v>0.68908123538085453</v>
      </c>
      <c r="BI14" s="16">
        <f t="shared" si="32"/>
        <v>1.5688308565845033</v>
      </c>
      <c r="BJ14" s="1">
        <f t="shared" si="33"/>
        <v>0.68908123538085453</v>
      </c>
      <c r="BK14">
        <f t="shared" si="34"/>
        <v>1</v>
      </c>
      <c r="BL14" s="4">
        <f t="shared" si="35"/>
        <v>0</v>
      </c>
    </row>
    <row r="15" spans="1:73" x14ac:dyDescent="0.3">
      <c r="A15" s="3"/>
      <c r="B15">
        <v>152946</v>
      </c>
      <c r="C15">
        <v>53</v>
      </c>
      <c r="D15">
        <v>0.63800000000000001</v>
      </c>
      <c r="E15">
        <v>0.45200000000000001</v>
      </c>
      <c r="F15">
        <v>9</v>
      </c>
      <c r="G15">
        <v>-9.6159999999999997</v>
      </c>
      <c r="H15">
        <v>2.9700000000000001E-2</v>
      </c>
      <c r="I15">
        <v>0.60799999999999998</v>
      </c>
      <c r="J15">
        <v>5.7700000000000001E-2</v>
      </c>
      <c r="K15">
        <v>0.112</v>
      </c>
      <c r="L15">
        <v>0.34100000000000003</v>
      </c>
      <c r="M15">
        <v>100.105</v>
      </c>
      <c r="O15" s="3"/>
      <c r="P15" s="1">
        <f t="shared" si="23"/>
        <v>4.8158896719991233E-2</v>
      </c>
      <c r="Q15" s="1">
        <f t="shared" si="10"/>
        <v>0.41935483870967744</v>
      </c>
      <c r="R15" s="1">
        <f t="shared" si="11"/>
        <v>0.82040816326530619</v>
      </c>
      <c r="S15" s="1">
        <f t="shared" si="12"/>
        <v>0.49085646625444018</v>
      </c>
      <c r="T15" s="1">
        <f t="shared" si="13"/>
        <v>0.81818181818181823</v>
      </c>
      <c r="U15" s="1">
        <f t="shared" si="14"/>
        <v>0.44090359015732145</v>
      </c>
      <c r="V15" s="1">
        <f t="shared" si="15"/>
        <v>5.2971576227390176E-2</v>
      </c>
      <c r="W15" s="1">
        <f t="shared" si="16"/>
        <v>0.6448131015047589</v>
      </c>
      <c r="X15" s="1">
        <f t="shared" si="17"/>
        <v>0.95847176079734231</v>
      </c>
      <c r="Y15" s="1">
        <f t="shared" si="18"/>
        <v>9.7062211981566823E-2</v>
      </c>
      <c r="Z15" s="1">
        <f t="shared" si="19"/>
        <v>0.38569828827387626</v>
      </c>
      <c r="AA15" s="8">
        <f t="shared" si="20"/>
        <v>0.26969531202514613</v>
      </c>
      <c r="AB15" s="1"/>
      <c r="AC15" s="15">
        <f t="shared" si="36"/>
        <v>1.8772806642114623</v>
      </c>
      <c r="AD15" s="16">
        <f t="shared" si="24"/>
        <v>2.1519829562580086</v>
      </c>
      <c r="AE15" s="1">
        <f t="shared" si="25"/>
        <v>1.8772806642114623</v>
      </c>
      <c r="AF15">
        <f t="shared" si="26"/>
        <v>1</v>
      </c>
      <c r="AG15">
        <f t="shared" si="27"/>
        <v>0</v>
      </c>
      <c r="AS15" s="34">
        <f t="shared" si="21"/>
        <v>1.079328656937379</v>
      </c>
      <c r="AT15" s="16">
        <f t="shared" si="22"/>
        <v>1.6701936686766703</v>
      </c>
      <c r="AU15" s="1">
        <f t="shared" si="28"/>
        <v>1.079328656937379</v>
      </c>
      <c r="AV15">
        <f t="shared" si="29"/>
        <v>1</v>
      </c>
      <c r="AW15" s="4">
        <f t="shared" si="30"/>
        <v>0</v>
      </c>
      <c r="BH15" s="34">
        <f t="shared" si="31"/>
        <v>1.0775500197776615</v>
      </c>
      <c r="BI15" s="16">
        <f t="shared" si="32"/>
        <v>1.6701936686766703</v>
      </c>
      <c r="BJ15" s="1">
        <f t="shared" si="33"/>
        <v>1.0775500197776615</v>
      </c>
      <c r="BK15">
        <f t="shared" si="34"/>
        <v>1</v>
      </c>
      <c r="BL15" s="4">
        <f t="shared" si="35"/>
        <v>0</v>
      </c>
    </row>
    <row r="16" spans="1:73" x14ac:dyDescent="0.3">
      <c r="A16" s="3"/>
      <c r="B16">
        <v>212480</v>
      </c>
      <c r="C16">
        <v>57</v>
      </c>
      <c r="D16">
        <v>0.55400000000000005</v>
      </c>
      <c r="E16">
        <v>0.47</v>
      </c>
      <c r="F16">
        <v>8</v>
      </c>
      <c r="G16">
        <v>-6.6040000000000001</v>
      </c>
      <c r="H16">
        <v>5.4800000000000001E-2</v>
      </c>
      <c r="I16">
        <v>0.77</v>
      </c>
      <c r="J16">
        <v>2.6000000000000001E-6</v>
      </c>
      <c r="K16">
        <v>0.106</v>
      </c>
      <c r="L16">
        <v>0.34599999999999997</v>
      </c>
      <c r="M16">
        <v>95.597999999999999</v>
      </c>
      <c r="O16" s="3"/>
      <c r="P16" s="1">
        <f t="shared" si="23"/>
        <v>0.33186083193946064</v>
      </c>
      <c r="Q16" s="1">
        <f t="shared" si="10"/>
        <v>0.54838709677419351</v>
      </c>
      <c r="R16" s="1">
        <f t="shared" si="11"/>
        <v>0.64897959183673481</v>
      </c>
      <c r="S16" s="1">
        <f t="shared" si="12"/>
        <v>0.51453756084725699</v>
      </c>
      <c r="T16" s="1">
        <f t="shared" si="13"/>
        <v>0.72727272727272729</v>
      </c>
      <c r="U16" s="1">
        <f t="shared" si="14"/>
        <v>0.744655102864058</v>
      </c>
      <c r="V16" s="1">
        <f t="shared" si="15"/>
        <v>0.37726098191214474</v>
      </c>
      <c r="W16" s="1">
        <f t="shared" si="16"/>
        <v>0.81708938161322919</v>
      </c>
      <c r="X16" s="1">
        <f t="shared" si="17"/>
        <v>4.3189368770764125E-5</v>
      </c>
      <c r="Y16" s="1">
        <f t="shared" si="18"/>
        <v>8.8421658986175114E-2</v>
      </c>
      <c r="Z16" s="1">
        <f t="shared" si="19"/>
        <v>0.39369700847864342</v>
      </c>
      <c r="AA16" s="8">
        <f t="shared" si="20"/>
        <v>0.2305608377399776</v>
      </c>
      <c r="AB16" s="1"/>
      <c r="AC16" s="15">
        <f t="shared" si="36"/>
        <v>1.7905739878400384</v>
      </c>
      <c r="AD16" s="16">
        <f t="shared" si="24"/>
        <v>2.0882105417468408</v>
      </c>
      <c r="AE16" s="1">
        <f t="shared" si="25"/>
        <v>1.7905739878400384</v>
      </c>
      <c r="AF16">
        <f t="shared" si="26"/>
        <v>1</v>
      </c>
      <c r="AG16">
        <f t="shared" si="27"/>
        <v>0</v>
      </c>
      <c r="AS16" s="34">
        <f t="shared" si="21"/>
        <v>0.52553553754495075</v>
      </c>
      <c r="AT16" s="16">
        <f t="shared" si="22"/>
        <v>1.2351577773857161</v>
      </c>
      <c r="AU16" s="1">
        <f t="shared" si="28"/>
        <v>0.52553553754495075</v>
      </c>
      <c r="AV16">
        <f t="shared" si="29"/>
        <v>1</v>
      </c>
      <c r="AW16" s="4">
        <f t="shared" si="30"/>
        <v>0</v>
      </c>
      <c r="BH16" s="34">
        <f t="shared" si="31"/>
        <v>0.51081952920364926</v>
      </c>
      <c r="BI16" s="16">
        <f t="shared" si="32"/>
        <v>1.2351577773857161</v>
      </c>
      <c r="BJ16" s="1">
        <f t="shared" si="33"/>
        <v>0.51081952920364926</v>
      </c>
      <c r="BK16">
        <f t="shared" si="34"/>
        <v>1</v>
      </c>
      <c r="BL16" s="4">
        <f t="shared" si="35"/>
        <v>0</v>
      </c>
    </row>
    <row r="17" spans="1:64" x14ac:dyDescent="0.3">
      <c r="A17" s="3"/>
      <c r="B17">
        <v>241146</v>
      </c>
      <c r="C17">
        <v>54</v>
      </c>
      <c r="D17">
        <v>0.57699999999999996</v>
      </c>
      <c r="E17">
        <v>0.53</v>
      </c>
      <c r="F17">
        <v>7</v>
      </c>
      <c r="G17">
        <v>-6.7489999999999997</v>
      </c>
      <c r="H17">
        <v>3.1199999999999999E-2</v>
      </c>
      <c r="I17">
        <v>0.54400000000000004</v>
      </c>
      <c r="J17">
        <v>3.2899999999999998E-6</v>
      </c>
      <c r="K17">
        <v>0.10299999999999999</v>
      </c>
      <c r="L17">
        <v>0.22</v>
      </c>
      <c r="M17">
        <v>85.471000000000004</v>
      </c>
      <c r="O17" s="3"/>
      <c r="P17" s="1">
        <f t="shared" si="23"/>
        <v>0.46846511982539663</v>
      </c>
      <c r="Q17" s="1">
        <f t="shared" si="10"/>
        <v>0.45161290322580644</v>
      </c>
      <c r="R17" s="1">
        <f t="shared" si="11"/>
        <v>0.69591836734693868</v>
      </c>
      <c r="S17" s="1">
        <f t="shared" si="12"/>
        <v>0.5934745428233128</v>
      </c>
      <c r="T17" s="1">
        <f t="shared" si="13"/>
        <v>0.63636363636363635</v>
      </c>
      <c r="U17" s="1">
        <f t="shared" si="14"/>
        <v>0.73003227107704716</v>
      </c>
      <c r="V17" s="1">
        <f t="shared" si="15"/>
        <v>7.2351421188630458E-2</v>
      </c>
      <c r="W17" s="1">
        <f t="shared" si="16"/>
        <v>0.57675333652363492</v>
      </c>
      <c r="X17" s="1">
        <f t="shared" si="17"/>
        <v>5.4651162790697672E-5</v>
      </c>
      <c r="Y17" s="1">
        <f t="shared" si="18"/>
        <v>8.4101382488479245E-2</v>
      </c>
      <c r="Z17" s="1">
        <f t="shared" si="19"/>
        <v>0.19212925931850905</v>
      </c>
      <c r="AA17" s="8">
        <f t="shared" si="20"/>
        <v>0.14262766243802483</v>
      </c>
      <c r="AB17" s="1"/>
      <c r="AC17" s="15">
        <f t="shared" si="36"/>
        <v>1.6124647194851403</v>
      </c>
      <c r="AD17" s="16">
        <f t="shared" si="24"/>
        <v>2.304836949551937</v>
      </c>
      <c r="AE17" s="1">
        <f t="shared" si="25"/>
        <v>1.6124647194851403</v>
      </c>
      <c r="AF17">
        <f t="shared" si="26"/>
        <v>1</v>
      </c>
      <c r="AG17">
        <f t="shared" si="27"/>
        <v>0</v>
      </c>
      <c r="AS17" s="34">
        <f t="shared" si="21"/>
        <v>0.49355336518191856</v>
      </c>
      <c r="AT17" s="16">
        <f t="shared" si="22"/>
        <v>1.4523480933028958</v>
      </c>
      <c r="AU17" s="1">
        <f t="shared" si="28"/>
        <v>0.49355336518191856</v>
      </c>
      <c r="AV17">
        <f t="shared" si="29"/>
        <v>1</v>
      </c>
      <c r="AW17" s="4">
        <f t="shared" si="30"/>
        <v>0</v>
      </c>
      <c r="BH17" s="34">
        <f t="shared" si="31"/>
        <v>0.48970839856354353</v>
      </c>
      <c r="BI17" s="16">
        <f t="shared" si="32"/>
        <v>1.4523480933028958</v>
      </c>
      <c r="BJ17" s="1">
        <f t="shared" si="33"/>
        <v>0.48970839856354353</v>
      </c>
      <c r="BK17">
        <f t="shared" si="34"/>
        <v>1</v>
      </c>
      <c r="BL17" s="4">
        <f t="shared" si="35"/>
        <v>0</v>
      </c>
    </row>
    <row r="18" spans="1:64" x14ac:dyDescent="0.3">
      <c r="A18" s="3"/>
      <c r="B18">
        <v>185228</v>
      </c>
      <c r="C18">
        <v>53</v>
      </c>
      <c r="D18">
        <v>0.41899999999999998</v>
      </c>
      <c r="E18">
        <v>0.26900000000000002</v>
      </c>
      <c r="F18">
        <v>7</v>
      </c>
      <c r="G18">
        <v>-9.3879999999999999</v>
      </c>
      <c r="H18">
        <v>3.56E-2</v>
      </c>
      <c r="I18">
        <v>0.626</v>
      </c>
      <c r="J18">
        <v>1.8300000000000001E-5</v>
      </c>
      <c r="K18">
        <v>0.11600000000000001</v>
      </c>
      <c r="L18">
        <v>0.152</v>
      </c>
      <c r="M18">
        <v>121.69499999999999</v>
      </c>
      <c r="O18" s="3"/>
      <c r="P18" s="1">
        <f t="shared" si="23"/>
        <v>0.20199478667791296</v>
      </c>
      <c r="Q18" s="1">
        <f t="shared" si="10"/>
        <v>0.41935483870967744</v>
      </c>
      <c r="R18" s="1">
        <f t="shared" si="11"/>
        <v>0.37346938775510202</v>
      </c>
      <c r="S18" s="1">
        <f t="shared" si="12"/>
        <v>0.25009867122747009</v>
      </c>
      <c r="T18" s="1">
        <f t="shared" si="13"/>
        <v>0.63636363636363635</v>
      </c>
      <c r="U18" s="1">
        <f t="shared" si="14"/>
        <v>0.46389673255344893</v>
      </c>
      <c r="V18" s="1">
        <f t="shared" si="15"/>
        <v>0.12919896640826872</v>
      </c>
      <c r="W18" s="1">
        <f t="shared" si="16"/>
        <v>0.66395491040569998</v>
      </c>
      <c r="X18" s="1">
        <f t="shared" si="17"/>
        <v>3.0398671096345517E-4</v>
      </c>
      <c r="Y18" s="1">
        <f t="shared" si="18"/>
        <v>0.1028225806451613</v>
      </c>
      <c r="Z18" s="1">
        <f t="shared" si="19"/>
        <v>8.3346664533674605E-2</v>
      </c>
      <c r="AA18" s="8">
        <f t="shared" si="20"/>
        <v>0.45716220792414491</v>
      </c>
      <c r="AB18" s="1"/>
      <c r="AC18" s="15">
        <f t="shared" si="36"/>
        <v>1.3125901805240408</v>
      </c>
      <c r="AD18" s="16">
        <f t="shared" si="24"/>
        <v>2.4817248522303617</v>
      </c>
      <c r="AE18" s="1">
        <f t="shared" si="25"/>
        <v>1.3125901805240408</v>
      </c>
      <c r="AF18">
        <f t="shared" si="26"/>
        <v>1</v>
      </c>
      <c r="AG18">
        <f t="shared" si="27"/>
        <v>0</v>
      </c>
      <c r="AS18" s="34">
        <f t="shared" si="21"/>
        <v>0.49521476446008339</v>
      </c>
      <c r="AT18" s="16">
        <f t="shared" si="22"/>
        <v>1.5771726814367786</v>
      </c>
      <c r="AU18" s="1">
        <f t="shared" si="28"/>
        <v>0.49521476446008339</v>
      </c>
      <c r="AV18">
        <f t="shared" si="29"/>
        <v>1</v>
      </c>
      <c r="AW18" s="4">
        <f t="shared" si="30"/>
        <v>0</v>
      </c>
      <c r="BH18" s="34">
        <f t="shared" si="31"/>
        <v>0.5089527471634181</v>
      </c>
      <c r="BI18" s="16">
        <f t="shared" si="32"/>
        <v>1.5771726814367786</v>
      </c>
      <c r="BJ18" s="1">
        <f t="shared" si="33"/>
        <v>0.5089527471634181</v>
      </c>
      <c r="BK18">
        <f t="shared" si="34"/>
        <v>1</v>
      </c>
      <c r="BL18" s="4">
        <f t="shared" si="35"/>
        <v>0</v>
      </c>
    </row>
    <row r="19" spans="1:64" x14ac:dyDescent="0.3">
      <c r="A19" s="3"/>
      <c r="B19">
        <v>259558</v>
      </c>
      <c r="C19">
        <v>55</v>
      </c>
      <c r="D19">
        <v>0.35399999999999998</v>
      </c>
      <c r="E19">
        <v>0.20599999999999999</v>
      </c>
      <c r="F19">
        <v>0</v>
      </c>
      <c r="G19">
        <v>-11.798999999999999</v>
      </c>
      <c r="H19">
        <v>3.6499999999999998E-2</v>
      </c>
      <c r="I19">
        <v>0.77900000000000003</v>
      </c>
      <c r="J19">
        <v>2.1000000000000001E-4</v>
      </c>
      <c r="K19">
        <v>9.5899999999999999E-2</v>
      </c>
      <c r="L19">
        <v>0.20200000000000001</v>
      </c>
      <c r="M19">
        <v>139.05600000000001</v>
      </c>
      <c r="O19" s="3"/>
      <c r="P19" s="1">
        <f t="shared" si="23"/>
        <v>0.55620523524281973</v>
      </c>
      <c r="Q19" s="1">
        <f t="shared" si="10"/>
        <v>0.4838709677419355</v>
      </c>
      <c r="R19" s="1">
        <f t="shared" si="11"/>
        <v>0.24081632653061225</v>
      </c>
      <c r="S19" s="1">
        <f t="shared" si="12"/>
        <v>0.16721484015261148</v>
      </c>
      <c r="T19" s="1">
        <f t="shared" si="13"/>
        <v>0</v>
      </c>
      <c r="U19" s="1">
        <f t="shared" si="14"/>
        <v>0.22075433642597822</v>
      </c>
      <c r="V19" s="1">
        <f t="shared" si="15"/>
        <v>0.14082687338501287</v>
      </c>
      <c r="W19" s="1">
        <f t="shared" si="16"/>
        <v>0.82666028606369979</v>
      </c>
      <c r="X19" s="1">
        <f t="shared" si="17"/>
        <v>3.4883720930232562E-3</v>
      </c>
      <c r="Y19" s="1">
        <f t="shared" si="18"/>
        <v>7.3876728110599074E-2</v>
      </c>
      <c r="Z19" s="1">
        <f t="shared" si="19"/>
        <v>0.16333386658134699</v>
      </c>
      <c r="AA19" s="8">
        <f t="shared" si="20"/>
        <v>0.60790851546015801</v>
      </c>
      <c r="AB19" s="1"/>
      <c r="AC19" s="15">
        <f t="shared" si="36"/>
        <v>1.3353206550251377</v>
      </c>
      <c r="AD19" s="16">
        <f t="shared" si="24"/>
        <v>2.6102046962185113</v>
      </c>
      <c r="AE19" s="1">
        <f t="shared" si="25"/>
        <v>1.3353206550251377</v>
      </c>
      <c r="AF19">
        <f t="shared" si="26"/>
        <v>1</v>
      </c>
      <c r="AG19">
        <f t="shared" si="27"/>
        <v>0</v>
      </c>
      <c r="AS19" s="34">
        <f t="shared" si="21"/>
        <v>0.93118704388098095</v>
      </c>
      <c r="AT19" s="16">
        <f t="shared" si="22"/>
        <v>1.7830409579263722</v>
      </c>
      <c r="AU19" s="1">
        <f t="shared" si="28"/>
        <v>0.93118704388098095</v>
      </c>
      <c r="AV19">
        <f t="shared" si="29"/>
        <v>1</v>
      </c>
      <c r="AW19" s="4">
        <f t="shared" si="30"/>
        <v>0</v>
      </c>
      <c r="BH19" s="34">
        <f t="shared" si="31"/>
        <v>0.94453068460384726</v>
      </c>
      <c r="BI19" s="16">
        <f t="shared" si="32"/>
        <v>1.7830409579263722</v>
      </c>
      <c r="BJ19" s="1">
        <f t="shared" si="33"/>
        <v>0.94453068460384726</v>
      </c>
      <c r="BK19">
        <f t="shared" si="34"/>
        <v>1</v>
      </c>
      <c r="BL19" s="4">
        <f t="shared" si="35"/>
        <v>0</v>
      </c>
    </row>
    <row r="20" spans="1:64" x14ac:dyDescent="0.3">
      <c r="A20" s="3"/>
      <c r="B20">
        <v>185421</v>
      </c>
      <c r="C20">
        <v>52</v>
      </c>
      <c r="D20">
        <v>0.32700000000000001</v>
      </c>
      <c r="E20">
        <v>0.16800000000000001</v>
      </c>
      <c r="F20">
        <v>9</v>
      </c>
      <c r="G20">
        <v>-13.988</v>
      </c>
      <c r="H20">
        <v>4.99E-2</v>
      </c>
      <c r="I20">
        <v>0.91200000000000003</v>
      </c>
      <c r="J20">
        <v>2.4500000000000001E-2</v>
      </c>
      <c r="K20">
        <v>9.7299999999999998E-2</v>
      </c>
      <c r="L20">
        <v>9.9900000000000003E-2</v>
      </c>
      <c r="M20">
        <v>76.778999999999996</v>
      </c>
      <c r="O20" s="3"/>
      <c r="P20" s="1">
        <f t="shared" si="23"/>
        <v>0.20291450437699848</v>
      </c>
      <c r="Q20" s="1">
        <f t="shared" si="10"/>
        <v>0.38709677419354838</v>
      </c>
      <c r="R20" s="1">
        <f t="shared" si="11"/>
        <v>0.18571428571428578</v>
      </c>
      <c r="S20" s="1">
        <f t="shared" si="12"/>
        <v>0.11722141823444285</v>
      </c>
      <c r="T20" s="1">
        <f t="shared" si="13"/>
        <v>0.81818181818181823</v>
      </c>
      <c r="U20" s="1">
        <f t="shared" si="14"/>
        <v>0</v>
      </c>
      <c r="V20" s="1">
        <f t="shared" si="15"/>
        <v>0.31395348837209303</v>
      </c>
      <c r="W20" s="1">
        <f t="shared" si="16"/>
        <v>0.96809698516509823</v>
      </c>
      <c r="X20" s="1">
        <f t="shared" si="17"/>
        <v>0.40697674418604657</v>
      </c>
      <c r="Y20" s="1">
        <f t="shared" si="18"/>
        <v>7.5892857142857137E-2</v>
      </c>
      <c r="Z20" s="1">
        <f t="shared" si="19"/>
        <v>0</v>
      </c>
      <c r="AA20" s="8">
        <f t="shared" si="20"/>
        <v>6.7154653676834472E-2</v>
      </c>
      <c r="AB20" s="1"/>
      <c r="AC20" s="15">
        <f t="shared" si="36"/>
        <v>1.4561416353579675</v>
      </c>
      <c r="AD20" s="16">
        <f t="shared" si="24"/>
        <v>2.6521578768495151</v>
      </c>
      <c r="AE20" s="1">
        <f t="shared" si="25"/>
        <v>1.4561416353579675</v>
      </c>
      <c r="AF20">
        <f t="shared" si="26"/>
        <v>1</v>
      </c>
      <c r="AG20">
        <f t="shared" si="27"/>
        <v>0</v>
      </c>
      <c r="AS20" s="34">
        <f t="shared" si="21"/>
        <v>1.1184250703283229</v>
      </c>
      <c r="AT20" s="16">
        <f t="shared" si="22"/>
        <v>1.9417213577658723</v>
      </c>
      <c r="AU20" s="1">
        <f t="shared" si="28"/>
        <v>1.1184250703283229</v>
      </c>
      <c r="AV20">
        <f t="shared" si="29"/>
        <v>1</v>
      </c>
      <c r="AW20" s="4">
        <f t="shared" si="30"/>
        <v>0</v>
      </c>
      <c r="BH20" s="34">
        <f t="shared" si="31"/>
        <v>1.129970576493275</v>
      </c>
      <c r="BI20" s="16">
        <f t="shared" si="32"/>
        <v>1.9417213577658723</v>
      </c>
      <c r="BJ20" s="1">
        <f t="shared" si="33"/>
        <v>1.129970576493275</v>
      </c>
      <c r="BK20">
        <f t="shared" si="34"/>
        <v>1</v>
      </c>
      <c r="BL20" s="4">
        <f t="shared" si="35"/>
        <v>0</v>
      </c>
    </row>
    <row r="21" spans="1:64" x14ac:dyDescent="0.3">
      <c r="A21" s="3"/>
      <c r="B21">
        <v>211674</v>
      </c>
      <c r="C21">
        <v>51</v>
      </c>
      <c r="D21">
        <v>0.42499999999999999</v>
      </c>
      <c r="E21">
        <v>0.25800000000000001</v>
      </c>
      <c r="F21">
        <v>6</v>
      </c>
      <c r="G21">
        <v>-9.3239999999999998</v>
      </c>
      <c r="H21">
        <v>3.5999999999999997E-2</v>
      </c>
      <c r="I21">
        <v>0.73599999999999999</v>
      </c>
      <c r="J21">
        <v>0</v>
      </c>
      <c r="K21">
        <v>7.3400000000000007E-2</v>
      </c>
      <c r="L21">
        <v>0.311</v>
      </c>
      <c r="M21">
        <v>162.761</v>
      </c>
      <c r="O21" s="3"/>
      <c r="P21" s="1">
        <f t="shared" si="23"/>
        <v>0.32801993833602577</v>
      </c>
      <c r="Q21" s="1">
        <f t="shared" si="10"/>
        <v>0.35483870967741937</v>
      </c>
      <c r="R21" s="1">
        <f t="shared" si="11"/>
        <v>0.38571428571428573</v>
      </c>
      <c r="S21" s="1">
        <f t="shared" si="12"/>
        <v>0.23562689119852653</v>
      </c>
      <c r="T21" s="1">
        <f t="shared" si="13"/>
        <v>0.54545454545454541</v>
      </c>
      <c r="U21" s="1">
        <f t="shared" si="14"/>
        <v>0.47035094796288823</v>
      </c>
      <c r="V21" s="1">
        <f t="shared" si="15"/>
        <v>0.13436692506459944</v>
      </c>
      <c r="W21" s="1">
        <f t="shared" si="16"/>
        <v>0.78093263146700698</v>
      </c>
      <c r="X21" s="1">
        <f t="shared" si="17"/>
        <v>0</v>
      </c>
      <c r="Y21" s="1">
        <f t="shared" si="18"/>
        <v>4.1474654377880192E-2</v>
      </c>
      <c r="Z21" s="1">
        <f t="shared" si="19"/>
        <v>0.33770596704527278</v>
      </c>
      <c r="AA21" s="8">
        <f t="shared" si="20"/>
        <v>0.81374004706209246</v>
      </c>
      <c r="AB21" s="1"/>
      <c r="AC21" s="15">
        <f t="shared" si="36"/>
        <v>1.5370108601001315</v>
      </c>
      <c r="AD21" s="16">
        <f t="shared" si="24"/>
        <v>2.3464763577212238</v>
      </c>
      <c r="AE21" s="1">
        <f t="shared" si="25"/>
        <v>1.5370108601001315</v>
      </c>
      <c r="AF21">
        <f t="shared" si="26"/>
        <v>1</v>
      </c>
      <c r="AG21">
        <f t="shared" si="27"/>
        <v>0</v>
      </c>
      <c r="AS21" s="34">
        <f t="shared" si="21"/>
        <v>0.55074904976510686</v>
      </c>
      <c r="AT21" s="16">
        <f t="shared" si="22"/>
        <v>1.4918423755534147</v>
      </c>
      <c r="AU21" s="1">
        <f t="shared" si="28"/>
        <v>0.55074904976510686</v>
      </c>
      <c r="AV21">
        <f t="shared" si="29"/>
        <v>1</v>
      </c>
      <c r="AW21" s="4">
        <f t="shared" si="30"/>
        <v>0</v>
      </c>
      <c r="BH21" s="34">
        <f t="shared" si="31"/>
        <v>0.5527126746687725</v>
      </c>
      <c r="BI21" s="16">
        <f t="shared" si="32"/>
        <v>1.4918423755534147</v>
      </c>
      <c r="BJ21" s="1">
        <f t="shared" si="33"/>
        <v>0.5527126746687725</v>
      </c>
      <c r="BK21">
        <f t="shared" si="34"/>
        <v>1</v>
      </c>
      <c r="BL21" s="4">
        <f t="shared" si="35"/>
        <v>0</v>
      </c>
    </row>
    <row r="22" spans="1:64" x14ac:dyDescent="0.3">
      <c r="A22" s="3"/>
      <c r="B22">
        <v>196973</v>
      </c>
      <c r="C22">
        <v>52</v>
      </c>
      <c r="D22">
        <v>0.56299999999999994</v>
      </c>
      <c r="E22">
        <v>0.46300000000000002</v>
      </c>
      <c r="F22">
        <v>8</v>
      </c>
      <c r="G22">
        <v>-7.3659999999999997</v>
      </c>
      <c r="H22">
        <v>5.5100000000000003E-2</v>
      </c>
      <c r="I22">
        <v>0.80400000000000005</v>
      </c>
      <c r="J22">
        <v>2.2699999999999999E-6</v>
      </c>
      <c r="K22">
        <v>9.1999999999999998E-2</v>
      </c>
      <c r="L22">
        <v>0.39400000000000002</v>
      </c>
      <c r="M22">
        <v>98.039000000000001</v>
      </c>
      <c r="O22" s="3"/>
      <c r="P22" s="1">
        <f t="shared" si="23"/>
        <v>0.25796413577511235</v>
      </c>
      <c r="Q22" s="1">
        <f t="shared" si="10"/>
        <v>0.38709677419354838</v>
      </c>
      <c r="R22" s="1">
        <f t="shared" si="11"/>
        <v>0.6673469387755101</v>
      </c>
      <c r="S22" s="1">
        <f t="shared" si="12"/>
        <v>0.5053282462833838</v>
      </c>
      <c r="T22" s="1">
        <f t="shared" si="13"/>
        <v>0.72727272727272729</v>
      </c>
      <c r="U22" s="1">
        <f t="shared" si="14"/>
        <v>0.6678096006454215</v>
      </c>
      <c r="V22" s="1">
        <f t="shared" si="15"/>
        <v>0.38113695090439281</v>
      </c>
      <c r="W22" s="1">
        <f t="shared" si="16"/>
        <v>0.85324613175945141</v>
      </c>
      <c r="X22" s="1">
        <f t="shared" si="17"/>
        <v>3.7707641196013287E-5</v>
      </c>
      <c r="Y22" s="1">
        <f t="shared" si="18"/>
        <v>6.8260368663594459E-2</v>
      </c>
      <c r="Z22" s="1">
        <f t="shared" si="19"/>
        <v>0.47048472244440892</v>
      </c>
      <c r="AA22" s="8">
        <f t="shared" si="20"/>
        <v>0.25175614542360225</v>
      </c>
      <c r="AB22" s="1"/>
      <c r="AC22" s="15">
        <f t="shared" si="36"/>
        <v>1.7477654621093495</v>
      </c>
      <c r="AD22" s="16">
        <f t="shared" si="24"/>
        <v>2.1399072902762888</v>
      </c>
      <c r="AE22" s="1">
        <f t="shared" si="25"/>
        <v>1.7477654621093495</v>
      </c>
      <c r="AF22">
        <f t="shared" si="26"/>
        <v>1</v>
      </c>
      <c r="AG22">
        <f t="shared" si="27"/>
        <v>0</v>
      </c>
      <c r="AS22" s="34">
        <f t="shared" si="21"/>
        <v>0.49263519377278675</v>
      </c>
      <c r="AT22" s="16">
        <f t="shared" si="22"/>
        <v>1.3263758548628217</v>
      </c>
      <c r="AU22" s="1">
        <f t="shared" si="28"/>
        <v>0.49263519377278675</v>
      </c>
      <c r="AV22">
        <f t="shared" si="29"/>
        <v>1</v>
      </c>
      <c r="AW22" s="4">
        <f t="shared" si="30"/>
        <v>0</v>
      </c>
      <c r="BH22" s="34">
        <f t="shared" si="31"/>
        <v>0.47937238437658047</v>
      </c>
      <c r="BI22" s="16">
        <f t="shared" si="32"/>
        <v>1.3263758548628217</v>
      </c>
      <c r="BJ22" s="1">
        <f t="shared" si="33"/>
        <v>0.47937238437658047</v>
      </c>
      <c r="BK22">
        <f t="shared" si="34"/>
        <v>1</v>
      </c>
      <c r="BL22" s="4">
        <f t="shared" si="35"/>
        <v>0</v>
      </c>
    </row>
    <row r="23" spans="1:64" x14ac:dyDescent="0.3">
      <c r="A23" s="3"/>
      <c r="B23">
        <v>352687</v>
      </c>
      <c r="C23">
        <v>60</v>
      </c>
      <c r="D23">
        <v>0.38700000000000001</v>
      </c>
      <c r="E23">
        <v>0.41599999999999998</v>
      </c>
      <c r="F23">
        <v>9</v>
      </c>
      <c r="G23">
        <v>-10.1</v>
      </c>
      <c r="H23">
        <v>3.2099999999999997E-2</v>
      </c>
      <c r="I23">
        <v>0.86199999999999999</v>
      </c>
      <c r="J23">
        <v>8.8799999999999997E-6</v>
      </c>
      <c r="K23">
        <v>0.11799999999999999</v>
      </c>
      <c r="L23">
        <v>0.25600000000000001</v>
      </c>
      <c r="M23">
        <v>156.17500000000001</v>
      </c>
      <c r="O23" s="3"/>
      <c r="P23" s="1">
        <f t="shared" si="23"/>
        <v>1</v>
      </c>
      <c r="Q23" s="1">
        <f t="shared" si="10"/>
        <v>0.64516129032258063</v>
      </c>
      <c r="R23" s="1">
        <f t="shared" si="11"/>
        <v>0.30816326530612248</v>
      </c>
      <c r="S23" s="1">
        <f t="shared" si="12"/>
        <v>0.44349427706880667</v>
      </c>
      <c r="T23" s="1">
        <f t="shared" si="13"/>
        <v>0.81818181818181823</v>
      </c>
      <c r="U23" s="1">
        <f t="shared" si="14"/>
        <v>0.39209358612343687</v>
      </c>
      <c r="V23" s="1">
        <f t="shared" si="15"/>
        <v>8.3979328165374623E-2</v>
      </c>
      <c r="W23" s="1">
        <f t="shared" si="16"/>
        <v>0.91492529377359499</v>
      </c>
      <c r="X23" s="1">
        <f t="shared" si="17"/>
        <v>1.4750830564784053E-4</v>
      </c>
      <c r="Y23" s="1">
        <f t="shared" si="18"/>
        <v>0.10570276497695852</v>
      </c>
      <c r="Z23" s="1">
        <f t="shared" si="19"/>
        <v>0.24972004479283319</v>
      </c>
      <c r="AA23" s="8">
        <f t="shared" si="20"/>
        <v>0.75655352661786812</v>
      </c>
      <c r="AB23" s="1"/>
      <c r="AC23" s="15">
        <f t="shared" si="36"/>
        <v>2.0052658144813633</v>
      </c>
      <c r="AD23" s="16">
        <f t="shared" si="24"/>
        <v>2.1412252519194519</v>
      </c>
      <c r="AE23" s="1">
        <f t="shared" si="25"/>
        <v>2.0052658144813633</v>
      </c>
      <c r="AF23">
        <f t="shared" si="26"/>
        <v>1</v>
      </c>
      <c r="AG23">
        <f t="shared" si="27"/>
        <v>0</v>
      </c>
      <c r="AS23" s="34">
        <f t="shared" si="21"/>
        <v>0.93748394186369854</v>
      </c>
      <c r="AT23" s="16">
        <f t="shared" si="22"/>
        <v>1.3779243536628309</v>
      </c>
      <c r="AU23" s="1">
        <f t="shared" si="28"/>
        <v>0.93748394186369854</v>
      </c>
      <c r="AV23">
        <f t="shared" si="29"/>
        <v>1</v>
      </c>
      <c r="AW23" s="4">
        <f t="shared" si="30"/>
        <v>0</v>
      </c>
      <c r="BH23" s="34">
        <f t="shared" si="31"/>
        <v>0.92702760834297926</v>
      </c>
      <c r="BI23" s="16">
        <f t="shared" si="32"/>
        <v>1.3779243536628309</v>
      </c>
      <c r="BJ23" s="1">
        <f t="shared" si="33"/>
        <v>0.92702760834297926</v>
      </c>
      <c r="BK23">
        <f t="shared" si="34"/>
        <v>1</v>
      </c>
      <c r="BL23" s="4">
        <f t="shared" si="35"/>
        <v>0</v>
      </c>
    </row>
    <row r="24" spans="1:64" x14ac:dyDescent="0.3">
      <c r="A24" s="3"/>
      <c r="B24">
        <v>213732</v>
      </c>
      <c r="C24">
        <v>59</v>
      </c>
      <c r="D24">
        <v>0.63900000000000001</v>
      </c>
      <c r="E24">
        <v>0.66600000000000004</v>
      </c>
      <c r="F24">
        <v>0</v>
      </c>
      <c r="G24">
        <v>-7.7750000000000004</v>
      </c>
      <c r="H24">
        <v>6.3600000000000004E-2</v>
      </c>
      <c r="I24">
        <v>0.27100000000000002</v>
      </c>
      <c r="J24">
        <v>0</v>
      </c>
      <c r="K24">
        <v>0.111</v>
      </c>
      <c r="L24">
        <v>0.372</v>
      </c>
      <c r="M24">
        <v>98.384</v>
      </c>
      <c r="O24" s="3"/>
      <c r="P24" s="1">
        <f t="shared" si="23"/>
        <v>0.33782708354181856</v>
      </c>
      <c r="Q24" s="1">
        <f t="shared" si="10"/>
        <v>0.61290322580645162</v>
      </c>
      <c r="R24" s="1">
        <f t="shared" si="11"/>
        <v>0.82244897959183683</v>
      </c>
      <c r="S24" s="1">
        <f t="shared" si="12"/>
        <v>0.77239836863570588</v>
      </c>
      <c r="T24" s="1">
        <f t="shared" si="13"/>
        <v>0</v>
      </c>
      <c r="U24" s="1">
        <f t="shared" si="14"/>
        <v>0.62656313029447352</v>
      </c>
      <c r="V24" s="1">
        <f t="shared" si="15"/>
        <v>0.4909560723514213</v>
      </c>
      <c r="W24" s="1">
        <f t="shared" si="16"/>
        <v>0.2864359015260276</v>
      </c>
      <c r="X24" s="1">
        <f t="shared" si="17"/>
        <v>0</v>
      </c>
      <c r="Y24" s="1">
        <f t="shared" si="18"/>
        <v>9.5622119815668205E-2</v>
      </c>
      <c r="Z24" s="1">
        <f t="shared" si="19"/>
        <v>0.4352903535434331</v>
      </c>
      <c r="AA24" s="8">
        <f t="shared" si="20"/>
        <v>0.25475179521911662</v>
      </c>
      <c r="AB24" s="1"/>
      <c r="AC24" s="15">
        <f t="shared" si="36"/>
        <v>1.6558935872333771</v>
      </c>
      <c r="AD24" s="16">
        <f t="shared" si="24"/>
        <v>2.2959942316105058</v>
      </c>
      <c r="AE24" s="1">
        <f t="shared" si="25"/>
        <v>1.6558935872333771</v>
      </c>
      <c r="AF24">
        <f t="shared" si="26"/>
        <v>1</v>
      </c>
      <c r="AG24">
        <f t="shared" si="27"/>
        <v>0</v>
      </c>
      <c r="AS24" s="34">
        <f t="shared" si="21"/>
        <v>0.91474872497519799</v>
      </c>
      <c r="AT24" s="16">
        <f t="shared" si="22"/>
        <v>1.3841984007756869</v>
      </c>
      <c r="AU24" s="1">
        <f t="shared" si="28"/>
        <v>0.91474872497519799</v>
      </c>
      <c r="AV24">
        <f t="shared" si="29"/>
        <v>1</v>
      </c>
      <c r="AW24" s="4">
        <f t="shared" si="30"/>
        <v>0</v>
      </c>
      <c r="BH24" s="34">
        <f t="shared" si="31"/>
        <v>0.917610595668514</v>
      </c>
      <c r="BI24" s="16">
        <f t="shared" si="32"/>
        <v>1.3841984007756869</v>
      </c>
      <c r="BJ24" s="1">
        <f t="shared" si="33"/>
        <v>0.917610595668514</v>
      </c>
      <c r="BK24">
        <f t="shared" si="34"/>
        <v>1</v>
      </c>
      <c r="BL24" s="4">
        <f t="shared" si="35"/>
        <v>0</v>
      </c>
    </row>
    <row r="25" spans="1:64" x14ac:dyDescent="0.3">
      <c r="A25" s="3"/>
      <c r="B25">
        <v>178320</v>
      </c>
      <c r="C25">
        <v>49</v>
      </c>
      <c r="D25">
        <v>0.54500000000000004</v>
      </c>
      <c r="E25">
        <v>0.34899999999999998</v>
      </c>
      <c r="F25">
        <v>2</v>
      </c>
      <c r="G25">
        <v>-9.9309999999999992</v>
      </c>
      <c r="H25">
        <v>4.7800000000000002E-2</v>
      </c>
      <c r="I25">
        <v>0.48099999999999998</v>
      </c>
      <c r="J25">
        <v>6.02E-5</v>
      </c>
      <c r="K25">
        <v>9.8500000000000004E-2</v>
      </c>
      <c r="L25">
        <v>0.34699999999999998</v>
      </c>
      <c r="M25">
        <v>79.168000000000006</v>
      </c>
      <c r="O25" s="3"/>
      <c r="P25" s="1">
        <f t="shared" si="23"/>
        <v>0.16907556457800207</v>
      </c>
      <c r="Q25" s="1">
        <f t="shared" si="10"/>
        <v>0.29032258064516131</v>
      </c>
      <c r="R25" s="1">
        <f t="shared" si="11"/>
        <v>0.63061224489795931</v>
      </c>
      <c r="S25" s="1">
        <f t="shared" si="12"/>
        <v>0.35534798052887778</v>
      </c>
      <c r="T25" s="1">
        <f t="shared" si="13"/>
        <v>0.18181818181818182</v>
      </c>
      <c r="U25" s="1">
        <f t="shared" si="14"/>
        <v>0.40913674868898753</v>
      </c>
      <c r="V25" s="1">
        <f t="shared" si="15"/>
        <v>0.2868217054263566</v>
      </c>
      <c r="W25" s="1">
        <f t="shared" si="16"/>
        <v>0.50975700537034085</v>
      </c>
      <c r="X25" s="1">
        <f t="shared" si="17"/>
        <v>1E-3</v>
      </c>
      <c r="Y25" s="1">
        <f t="shared" si="18"/>
        <v>7.7620967741935484E-2</v>
      </c>
      <c r="Z25" s="1">
        <f t="shared" si="19"/>
        <v>0.39529675251959684</v>
      </c>
      <c r="AA25" s="8">
        <f t="shared" si="20"/>
        <v>8.7898443130410675E-2</v>
      </c>
      <c r="AB25" s="1"/>
      <c r="AC25" s="15">
        <f t="shared" si="36"/>
        <v>1.1616363618348051</v>
      </c>
      <c r="AD25" s="16">
        <f t="shared" si="24"/>
        <v>2.5612463150671747</v>
      </c>
      <c r="AE25" s="1">
        <f t="shared" si="25"/>
        <v>1.1616363618348051</v>
      </c>
      <c r="AF25">
        <f t="shared" si="26"/>
        <v>1</v>
      </c>
      <c r="AG25">
        <f t="shared" si="27"/>
        <v>0</v>
      </c>
      <c r="AS25" s="34">
        <f t="shared" si="21"/>
        <v>0.6362983553993794</v>
      </c>
      <c r="AT25" s="16">
        <f t="shared" si="22"/>
        <v>1.7155927643372493</v>
      </c>
      <c r="AU25" s="1">
        <f t="shared" si="28"/>
        <v>0.6362983553993794</v>
      </c>
      <c r="AV25">
        <f t="shared" si="29"/>
        <v>1</v>
      </c>
      <c r="AW25" s="4">
        <f t="shared" si="30"/>
        <v>0</v>
      </c>
      <c r="BH25" s="34">
        <f t="shared" si="31"/>
        <v>0.65523543140630758</v>
      </c>
      <c r="BI25" s="16">
        <f t="shared" si="32"/>
        <v>1.7155927643372493</v>
      </c>
      <c r="BJ25" s="1">
        <f t="shared" si="33"/>
        <v>0.65523543140630758</v>
      </c>
      <c r="BK25">
        <f t="shared" si="34"/>
        <v>1</v>
      </c>
      <c r="BL25" s="4">
        <f t="shared" si="35"/>
        <v>0</v>
      </c>
    </row>
    <row r="26" spans="1:64" x14ac:dyDescent="0.3">
      <c r="A26" s="3"/>
      <c r="B26">
        <v>201493</v>
      </c>
      <c r="C26">
        <v>49</v>
      </c>
      <c r="D26">
        <v>0.72599999999999998</v>
      </c>
      <c r="E26">
        <v>0.66700000000000004</v>
      </c>
      <c r="F26">
        <v>10</v>
      </c>
      <c r="G26">
        <v>-4.0720000000000001</v>
      </c>
      <c r="H26">
        <v>4.9099999999999998E-2</v>
      </c>
      <c r="I26">
        <v>0.48199999999999998</v>
      </c>
      <c r="J26">
        <v>0</v>
      </c>
      <c r="K26">
        <v>4.4600000000000001E-2</v>
      </c>
      <c r="L26">
        <v>0.20499999999999999</v>
      </c>
      <c r="M26">
        <v>87.085999999999999</v>
      </c>
      <c r="O26" s="3"/>
      <c r="P26" s="1">
        <f t="shared" si="23"/>
        <v>0.27950363836509456</v>
      </c>
      <c r="Q26" s="1">
        <f t="shared" si="10"/>
        <v>0.29032258064516131</v>
      </c>
      <c r="R26" s="1">
        <f t="shared" si="11"/>
        <v>1</v>
      </c>
      <c r="S26" s="1">
        <f t="shared" si="12"/>
        <v>0.77371398500197353</v>
      </c>
      <c r="T26" s="1">
        <f t="shared" si="13"/>
        <v>0.90909090909090906</v>
      </c>
      <c r="U26" s="1">
        <f t="shared" si="14"/>
        <v>1</v>
      </c>
      <c r="V26" s="1">
        <f t="shared" si="15"/>
        <v>0.30361757105943149</v>
      </c>
      <c r="W26" s="1">
        <f t="shared" si="16"/>
        <v>0.51082043919817099</v>
      </c>
      <c r="X26" s="1">
        <f t="shared" si="17"/>
        <v>0</v>
      </c>
      <c r="Y26" s="1">
        <f t="shared" si="18"/>
        <v>0</v>
      </c>
      <c r="Z26" s="1">
        <f t="shared" si="19"/>
        <v>0.16813309870420731</v>
      </c>
      <c r="AA26" s="8">
        <f t="shared" si="20"/>
        <v>0.15665077669818611</v>
      </c>
      <c r="AB26" s="1"/>
      <c r="AC26" s="15">
        <f t="shared" si="36"/>
        <v>1.9983539355053765</v>
      </c>
      <c r="AD26" s="16">
        <f t="shared" si="24"/>
        <v>2.282479453143786</v>
      </c>
      <c r="AE26" s="1">
        <f t="shared" si="25"/>
        <v>1.9983539355053765</v>
      </c>
      <c r="AF26">
        <f t="shared" si="26"/>
        <v>1</v>
      </c>
      <c r="AG26">
        <f t="shared" si="27"/>
        <v>0</v>
      </c>
      <c r="AS26" s="34">
        <f t="shared" si="21"/>
        <v>0.88191572455241996</v>
      </c>
      <c r="AT26" s="16">
        <f t="shared" si="22"/>
        <v>1.4784748540169079</v>
      </c>
      <c r="AU26" s="1">
        <f t="shared" si="28"/>
        <v>0.88191572455241996</v>
      </c>
      <c r="AV26">
        <f t="shared" si="29"/>
        <v>1</v>
      </c>
      <c r="AW26" s="4">
        <f t="shared" si="30"/>
        <v>0</v>
      </c>
      <c r="BH26" s="34">
        <f t="shared" si="31"/>
        <v>0.86994874870499805</v>
      </c>
      <c r="BI26" s="16">
        <f t="shared" si="32"/>
        <v>1.4784748540169079</v>
      </c>
      <c r="BJ26" s="1">
        <f t="shared" si="33"/>
        <v>0.86994874870499805</v>
      </c>
      <c r="BK26">
        <f t="shared" si="34"/>
        <v>1</v>
      </c>
      <c r="BL26" s="4">
        <f t="shared" si="35"/>
        <v>0</v>
      </c>
    </row>
    <row r="27" spans="1:64" x14ac:dyDescent="0.3">
      <c r="A27" s="3"/>
      <c r="B27">
        <v>224893</v>
      </c>
      <c r="C27">
        <v>50</v>
      </c>
      <c r="D27">
        <v>0.44400000000000001</v>
      </c>
      <c r="E27">
        <v>7.8899999999999998E-2</v>
      </c>
      <c r="F27">
        <v>11</v>
      </c>
      <c r="G27">
        <v>-13.848000000000001</v>
      </c>
      <c r="H27">
        <v>4.6399999999999997E-2</v>
      </c>
      <c r="I27">
        <v>0.84</v>
      </c>
      <c r="J27">
        <v>1.64E-4</v>
      </c>
      <c r="K27">
        <v>0.106</v>
      </c>
      <c r="L27">
        <v>0.154</v>
      </c>
      <c r="M27">
        <v>87.347999999999999</v>
      </c>
      <c r="O27" s="3"/>
      <c r="P27" s="1">
        <f t="shared" si="23"/>
        <v>0.3910134526583654</v>
      </c>
      <c r="Q27" s="1">
        <f t="shared" si="10"/>
        <v>0.32258064516129031</v>
      </c>
      <c r="R27" s="1">
        <f t="shared" si="11"/>
        <v>0.42448979591836739</v>
      </c>
      <c r="S27" s="1">
        <f t="shared" si="12"/>
        <v>0</v>
      </c>
      <c r="T27" s="1">
        <f t="shared" si="13"/>
        <v>1</v>
      </c>
      <c r="U27" s="1">
        <f t="shared" si="14"/>
        <v>1.4118596208148324E-2</v>
      </c>
      <c r="V27" s="1">
        <f t="shared" si="15"/>
        <v>0.26873385012919893</v>
      </c>
      <c r="W27" s="1">
        <f t="shared" si="16"/>
        <v>0.89152974956133357</v>
      </c>
      <c r="X27" s="1">
        <f t="shared" si="17"/>
        <v>2.7242524916943523E-3</v>
      </c>
      <c r="Y27" s="1">
        <f t="shared" si="18"/>
        <v>8.8421658986175114E-2</v>
      </c>
      <c r="Z27" s="1">
        <f t="shared" si="19"/>
        <v>8.6546152615581504E-2</v>
      </c>
      <c r="AA27" s="8">
        <f t="shared" si="20"/>
        <v>0.1589257339341999</v>
      </c>
      <c r="AB27" s="1"/>
      <c r="AC27" s="15">
        <f t="shared" si="36"/>
        <v>1.531325350053653</v>
      </c>
      <c r="AD27" s="16">
        <f t="shared" si="24"/>
        <v>2.6545789783670464</v>
      </c>
      <c r="AE27" s="1">
        <f t="shared" si="25"/>
        <v>1.531325350053653</v>
      </c>
      <c r="AF27">
        <f t="shared" si="26"/>
        <v>1</v>
      </c>
      <c r="AG27">
        <f t="shared" si="27"/>
        <v>0</v>
      </c>
      <c r="AS27" s="34">
        <f t="shared" si="21"/>
        <v>0.99201281025201105</v>
      </c>
      <c r="AT27" s="16">
        <f t="shared" si="22"/>
        <v>1.9151884346416299</v>
      </c>
      <c r="AU27" s="1">
        <f t="shared" si="28"/>
        <v>0.99201281025201105</v>
      </c>
      <c r="AV27">
        <f t="shared" si="29"/>
        <v>1</v>
      </c>
      <c r="AW27" s="4">
        <f t="shared" si="30"/>
        <v>0</v>
      </c>
      <c r="BH27" s="34">
        <f t="shared" si="31"/>
        <v>1.0001101938042365</v>
      </c>
      <c r="BI27" s="16">
        <f t="shared" si="32"/>
        <v>1.9151884346416299</v>
      </c>
      <c r="BJ27" s="1">
        <f t="shared" si="33"/>
        <v>1.0001101938042365</v>
      </c>
      <c r="BK27">
        <f t="shared" si="34"/>
        <v>1</v>
      </c>
      <c r="BL27" s="4">
        <f t="shared" si="35"/>
        <v>0</v>
      </c>
    </row>
    <row r="28" spans="1:64" x14ac:dyDescent="0.3">
      <c r="A28" s="3"/>
      <c r="B28">
        <v>221813</v>
      </c>
      <c r="C28">
        <v>49</v>
      </c>
      <c r="D28">
        <v>0.60199999999999998</v>
      </c>
      <c r="E28">
        <v>0.61899999999999999</v>
      </c>
      <c r="F28">
        <v>5</v>
      </c>
      <c r="G28">
        <v>-8.1940000000000008</v>
      </c>
      <c r="H28">
        <v>3.56E-2</v>
      </c>
      <c r="I28">
        <v>7.7100000000000002E-2</v>
      </c>
      <c r="J28">
        <v>0</v>
      </c>
      <c r="K28">
        <v>8.8700000000000001E-2</v>
      </c>
      <c r="L28">
        <v>0.22800000000000001</v>
      </c>
      <c r="M28">
        <v>107.428</v>
      </c>
      <c r="O28" s="3"/>
      <c r="P28" s="1">
        <f t="shared" si="23"/>
        <v>0.37633609248643057</v>
      </c>
      <c r="Q28" s="1">
        <f t="shared" si="10"/>
        <v>0.29032258064516131</v>
      </c>
      <c r="R28" s="1">
        <f t="shared" si="11"/>
        <v>0.74693877551020404</v>
      </c>
      <c r="S28" s="1">
        <f t="shared" si="12"/>
        <v>0.71056439942112881</v>
      </c>
      <c r="T28" s="1">
        <f t="shared" si="13"/>
        <v>0.45454545454545453</v>
      </c>
      <c r="U28" s="1">
        <f t="shared" si="14"/>
        <v>0.5843081887858006</v>
      </c>
      <c r="V28" s="1">
        <f t="shared" si="15"/>
        <v>0.12919896640826872</v>
      </c>
      <c r="W28" s="1">
        <f t="shared" si="16"/>
        <v>8.0236082309778287E-2</v>
      </c>
      <c r="X28" s="1">
        <f t="shared" si="17"/>
        <v>0</v>
      </c>
      <c r="Y28" s="1">
        <f t="shared" si="18"/>
        <v>6.3508064516129031E-2</v>
      </c>
      <c r="Z28" s="1">
        <f t="shared" si="19"/>
        <v>0.20492721164613661</v>
      </c>
      <c r="AA28" s="8">
        <f t="shared" si="20"/>
        <v>0.33328123507602003</v>
      </c>
      <c r="AB28" s="1"/>
      <c r="AC28" s="15">
        <f t="shared" si="36"/>
        <v>1.4202105495195843</v>
      </c>
      <c r="AD28" s="16">
        <f t="shared" si="24"/>
        <v>2.4634658313574587</v>
      </c>
      <c r="AE28" s="1">
        <f t="shared" si="25"/>
        <v>1.4202105495195843</v>
      </c>
      <c r="AF28">
        <f t="shared" si="26"/>
        <v>1</v>
      </c>
      <c r="AG28">
        <f t="shared" si="27"/>
        <v>0</v>
      </c>
      <c r="AS28" s="34">
        <f t="shared" si="21"/>
        <v>0.64119711871265916</v>
      </c>
      <c r="AT28" s="16">
        <f t="shared" si="22"/>
        <v>1.5295151003781196</v>
      </c>
      <c r="AU28" s="1">
        <f t="shared" si="28"/>
        <v>0.64119711871265916</v>
      </c>
      <c r="AV28">
        <f t="shared" si="29"/>
        <v>1</v>
      </c>
      <c r="AW28" s="4">
        <f t="shared" si="30"/>
        <v>0</v>
      </c>
      <c r="BH28" s="34">
        <f t="shared" si="31"/>
        <v>0.64989599332070214</v>
      </c>
      <c r="BI28" s="16">
        <f t="shared" si="32"/>
        <v>1.5295151003781196</v>
      </c>
      <c r="BJ28" s="1">
        <f t="shared" si="33"/>
        <v>0.64989599332070214</v>
      </c>
      <c r="BK28">
        <f t="shared" si="34"/>
        <v>1</v>
      </c>
      <c r="BL28" s="4">
        <f t="shared" si="35"/>
        <v>0</v>
      </c>
    </row>
    <row r="29" spans="1:64" x14ac:dyDescent="0.3">
      <c r="A29" s="3"/>
      <c r="B29">
        <v>207600</v>
      </c>
      <c r="C29">
        <v>52</v>
      </c>
      <c r="D29">
        <v>0.36199999999999999</v>
      </c>
      <c r="E29">
        <v>0.54300000000000004</v>
      </c>
      <c r="F29">
        <v>5</v>
      </c>
      <c r="G29">
        <v>-7.069</v>
      </c>
      <c r="H29">
        <v>3.8600000000000002E-2</v>
      </c>
      <c r="I29">
        <v>0.6</v>
      </c>
      <c r="J29">
        <v>3.2899999999999997E-4</v>
      </c>
      <c r="K29">
        <v>0.10100000000000001</v>
      </c>
      <c r="L29">
        <v>0.35399999999999998</v>
      </c>
      <c r="M29">
        <v>179.44300000000001</v>
      </c>
      <c r="O29" s="3"/>
      <c r="P29" s="1">
        <f t="shared" si="23"/>
        <v>0.30860579374496655</v>
      </c>
      <c r="Q29" s="1">
        <f t="shared" si="10"/>
        <v>0.38709677419354838</v>
      </c>
      <c r="R29" s="1">
        <f t="shared" si="11"/>
        <v>0.25714285714285717</v>
      </c>
      <c r="S29" s="1">
        <f t="shared" si="12"/>
        <v>0.61057755558479154</v>
      </c>
      <c r="T29" s="1">
        <f t="shared" si="13"/>
        <v>0.45454545454545453</v>
      </c>
      <c r="U29" s="1">
        <f t="shared" si="14"/>
        <v>0.69776119402985071</v>
      </c>
      <c r="V29" s="1">
        <f t="shared" si="15"/>
        <v>0.16795865633074938</v>
      </c>
      <c r="W29" s="1">
        <f t="shared" si="16"/>
        <v>0.63630563088211833</v>
      </c>
      <c r="X29" s="1">
        <f t="shared" si="17"/>
        <v>5.4651162790697672E-3</v>
      </c>
      <c r="Y29" s="1">
        <f t="shared" si="18"/>
        <v>8.1221198156682037E-2</v>
      </c>
      <c r="Z29" s="1">
        <f t="shared" si="19"/>
        <v>0.40649496080627101</v>
      </c>
      <c r="AA29" s="8">
        <f t="shared" si="20"/>
        <v>0.95859056847881796</v>
      </c>
      <c r="AB29" s="1"/>
      <c r="AC29" s="15">
        <f t="shared" si="36"/>
        <v>1.7033340397061014</v>
      </c>
      <c r="AD29" s="16">
        <f t="shared" si="24"/>
        <v>2.2266152183238019</v>
      </c>
      <c r="AE29" s="1">
        <f t="shared" si="25"/>
        <v>1.7033340397061014</v>
      </c>
      <c r="AF29">
        <f t="shared" si="26"/>
        <v>1</v>
      </c>
      <c r="AG29">
        <f t="shared" si="27"/>
        <v>0</v>
      </c>
      <c r="AS29" s="34">
        <f t="shared" si="21"/>
        <v>0.65792871069699421</v>
      </c>
      <c r="AT29" s="16">
        <f t="shared" si="22"/>
        <v>1.2818790029538536</v>
      </c>
      <c r="AU29" s="1">
        <f t="shared" si="28"/>
        <v>0.65792871069699421</v>
      </c>
      <c r="AV29">
        <f t="shared" si="29"/>
        <v>1</v>
      </c>
      <c r="AW29" s="4">
        <f t="shared" si="30"/>
        <v>0</v>
      </c>
      <c r="BH29" s="34">
        <f t="shared" si="31"/>
        <v>0.65333681772687435</v>
      </c>
      <c r="BI29" s="16">
        <f t="shared" si="32"/>
        <v>1.2818790029538536</v>
      </c>
      <c r="BJ29" s="1">
        <f t="shared" si="33"/>
        <v>0.65333681772687435</v>
      </c>
      <c r="BK29">
        <f t="shared" si="34"/>
        <v>1</v>
      </c>
      <c r="BL29" s="4">
        <f t="shared" si="35"/>
        <v>0</v>
      </c>
    </row>
    <row r="30" spans="1:64" x14ac:dyDescent="0.3">
      <c r="A30" s="3"/>
      <c r="B30">
        <v>142840</v>
      </c>
      <c r="C30">
        <v>49</v>
      </c>
      <c r="D30">
        <v>0.58599999999999997</v>
      </c>
      <c r="E30">
        <v>0.70899999999999996</v>
      </c>
      <c r="F30">
        <v>11</v>
      </c>
      <c r="G30">
        <v>-5.24</v>
      </c>
      <c r="H30">
        <v>5.4699999999999999E-2</v>
      </c>
      <c r="I30">
        <v>0.28199999999999997</v>
      </c>
      <c r="J30">
        <v>0</v>
      </c>
      <c r="K30">
        <v>0.16500000000000001</v>
      </c>
      <c r="L30">
        <v>0.45100000000000001</v>
      </c>
      <c r="M30">
        <v>93.296999999999997</v>
      </c>
      <c r="O30" s="3"/>
      <c r="P30" s="1">
        <f t="shared" si="23"/>
        <v>0</v>
      </c>
      <c r="Q30" s="1">
        <f t="shared" si="10"/>
        <v>0.29032258064516131</v>
      </c>
      <c r="R30" s="1">
        <f t="shared" si="11"/>
        <v>0.7142857142857143</v>
      </c>
      <c r="S30" s="1">
        <f t="shared" si="12"/>
        <v>0.82896987238521247</v>
      </c>
      <c r="T30" s="1">
        <f t="shared" si="13"/>
        <v>1</v>
      </c>
      <c r="U30" s="1">
        <f t="shared" si="14"/>
        <v>0.88221056877773285</v>
      </c>
      <c r="V30" s="1">
        <f t="shared" si="15"/>
        <v>0.37596899224806202</v>
      </c>
      <c r="W30" s="1">
        <f t="shared" si="16"/>
        <v>0.29813367363215826</v>
      </c>
      <c r="X30" s="1">
        <f t="shared" si="17"/>
        <v>0</v>
      </c>
      <c r="Y30" s="1">
        <f t="shared" si="18"/>
        <v>0.17338709677419356</v>
      </c>
      <c r="Z30" s="1">
        <f t="shared" si="19"/>
        <v>0.56167013277875544</v>
      </c>
      <c r="AA30" s="8">
        <f t="shared" si="20"/>
        <v>0.21058115606032976</v>
      </c>
      <c r="AB30" s="1"/>
      <c r="AC30" s="15">
        <f t="shared" si="36"/>
        <v>1.9183573797932514</v>
      </c>
      <c r="AD30" s="16">
        <f t="shared" si="24"/>
        <v>2.2380874561626469</v>
      </c>
      <c r="AE30" s="1">
        <f t="shared" si="25"/>
        <v>1.9183573797932514</v>
      </c>
      <c r="AF30">
        <f t="shared" si="26"/>
        <v>1</v>
      </c>
      <c r="AG30">
        <f t="shared" si="27"/>
        <v>0</v>
      </c>
      <c r="AS30" s="34">
        <f t="shared" si="21"/>
        <v>0.87634315042320243</v>
      </c>
      <c r="AT30" s="16">
        <f t="shared" si="22"/>
        <v>1.3919627507204251</v>
      </c>
      <c r="AU30" s="1">
        <f t="shared" si="28"/>
        <v>0.87634315042320243</v>
      </c>
      <c r="AV30">
        <f t="shared" si="29"/>
        <v>1</v>
      </c>
      <c r="AW30" s="4">
        <f t="shared" si="30"/>
        <v>0</v>
      </c>
      <c r="BH30" s="34">
        <f t="shared" si="31"/>
        <v>0.86780372504080927</v>
      </c>
      <c r="BI30" s="16">
        <f t="shared" si="32"/>
        <v>1.3919627507204251</v>
      </c>
      <c r="BJ30" s="1">
        <f t="shared" si="33"/>
        <v>0.86780372504080927</v>
      </c>
      <c r="BK30">
        <f t="shared" si="34"/>
        <v>1</v>
      </c>
      <c r="BL30" s="4">
        <f t="shared" si="35"/>
        <v>0</v>
      </c>
    </row>
    <row r="31" spans="1:64" x14ac:dyDescent="0.3">
      <c r="A31" s="3"/>
      <c r="B31">
        <v>270426</v>
      </c>
      <c r="C31">
        <v>47</v>
      </c>
      <c r="D31">
        <v>0.55800000000000005</v>
      </c>
      <c r="E31">
        <v>0.39800000000000002</v>
      </c>
      <c r="F31">
        <v>5</v>
      </c>
      <c r="G31">
        <v>-7.5990000000000002</v>
      </c>
      <c r="H31">
        <v>2.98E-2</v>
      </c>
      <c r="I31">
        <v>0.68100000000000005</v>
      </c>
      <c r="J31">
        <v>0</v>
      </c>
      <c r="K31">
        <v>8.5900000000000004E-2</v>
      </c>
      <c r="L31">
        <v>0.183</v>
      </c>
      <c r="M31">
        <v>139.785</v>
      </c>
      <c r="O31" s="3"/>
      <c r="P31" s="1">
        <f t="shared" si="23"/>
        <v>0.60799534899236107</v>
      </c>
      <c r="Q31" s="1">
        <f t="shared" si="10"/>
        <v>0.22580645161290322</v>
      </c>
      <c r="R31" s="1">
        <f t="shared" si="11"/>
        <v>0.65714285714285725</v>
      </c>
      <c r="S31" s="1">
        <f t="shared" si="12"/>
        <v>0.41981318247599009</v>
      </c>
      <c r="T31" s="1">
        <f t="shared" si="13"/>
        <v>0.45454545454545453</v>
      </c>
      <c r="U31" s="1">
        <f t="shared" si="14"/>
        <v>0.64431222267043153</v>
      </c>
      <c r="V31" s="1">
        <f t="shared" si="15"/>
        <v>5.4263565891472854E-2</v>
      </c>
      <c r="W31" s="1">
        <f t="shared" si="16"/>
        <v>0.72244377093635359</v>
      </c>
      <c r="X31" s="1">
        <f t="shared" si="17"/>
        <v>0</v>
      </c>
      <c r="Y31" s="1">
        <f t="shared" si="18"/>
        <v>5.9475806451612906E-2</v>
      </c>
      <c r="Z31" s="1">
        <f t="shared" si="19"/>
        <v>0.13293872980323149</v>
      </c>
      <c r="AA31" s="8">
        <f t="shared" si="20"/>
        <v>0.61423845372372299</v>
      </c>
      <c r="AB31" s="1"/>
      <c r="AC31" s="15">
        <f t="shared" si="36"/>
        <v>1.6043207421232728</v>
      </c>
      <c r="AD31" s="16">
        <f t="shared" si="24"/>
        <v>2.3211836108145745</v>
      </c>
      <c r="AE31" s="1">
        <f t="shared" si="25"/>
        <v>1.6043207421232728</v>
      </c>
      <c r="AF31">
        <f t="shared" si="26"/>
        <v>1</v>
      </c>
      <c r="AG31">
        <f t="shared" si="27"/>
        <v>0</v>
      </c>
      <c r="AS31" s="34">
        <f t="shared" si="21"/>
        <v>0.50145548840431531</v>
      </c>
      <c r="AT31" s="16">
        <f t="shared" si="22"/>
        <v>1.5125712175412593</v>
      </c>
      <c r="AU31" s="1">
        <f t="shared" si="28"/>
        <v>0.50145548840431531</v>
      </c>
      <c r="AV31">
        <f t="shared" si="29"/>
        <v>1</v>
      </c>
      <c r="AW31" s="4">
        <f t="shared" si="30"/>
        <v>0</v>
      </c>
      <c r="BH31" s="34">
        <f t="shared" si="31"/>
        <v>0.49835549600962492</v>
      </c>
      <c r="BI31" s="16">
        <f t="shared" si="32"/>
        <v>1.5125712175412593</v>
      </c>
      <c r="BJ31" s="1">
        <f t="shared" si="33"/>
        <v>0.49835549600962492</v>
      </c>
      <c r="BK31">
        <f t="shared" si="34"/>
        <v>1</v>
      </c>
      <c r="BL31" s="4">
        <f t="shared" si="35"/>
        <v>0</v>
      </c>
    </row>
    <row r="32" spans="1:64" x14ac:dyDescent="0.3">
      <c r="A32" s="3"/>
      <c r="B32">
        <v>303593</v>
      </c>
      <c r="C32">
        <v>51</v>
      </c>
      <c r="D32">
        <v>0.44400000000000001</v>
      </c>
      <c r="E32">
        <v>0.72899999999999998</v>
      </c>
      <c r="F32">
        <v>2</v>
      </c>
      <c r="G32">
        <v>-5.4420000000000002</v>
      </c>
      <c r="H32">
        <v>2.81E-2</v>
      </c>
      <c r="I32">
        <v>6.9499999999999996E-3</v>
      </c>
      <c r="J32">
        <v>1.7999999999999999E-6</v>
      </c>
      <c r="K32">
        <v>7.0300000000000001E-2</v>
      </c>
      <c r="L32">
        <v>0.38800000000000001</v>
      </c>
      <c r="M32">
        <v>95.257999999999996</v>
      </c>
      <c r="O32" s="3"/>
      <c r="P32" s="1">
        <f t="shared" si="23"/>
        <v>0.76604859731137442</v>
      </c>
      <c r="Q32" s="1">
        <f t="shared" si="10"/>
        <v>0.35483870967741937</v>
      </c>
      <c r="R32" s="1">
        <f t="shared" si="11"/>
        <v>0.42448979591836739</v>
      </c>
      <c r="S32" s="1">
        <f t="shared" si="12"/>
        <v>0.85528219971056441</v>
      </c>
      <c r="T32" s="1">
        <f t="shared" si="13"/>
        <v>0.18181818181818182</v>
      </c>
      <c r="U32" s="1">
        <f t="shared" si="14"/>
        <v>0.86183945139169005</v>
      </c>
      <c r="V32" s="1">
        <f t="shared" si="15"/>
        <v>3.2299741602067167E-2</v>
      </c>
      <c r="W32" s="1">
        <f t="shared" si="16"/>
        <v>5.6361992874993348E-3</v>
      </c>
      <c r="X32" s="1">
        <f t="shared" si="17"/>
        <v>2.9900332225913621E-5</v>
      </c>
      <c r="Y32" s="1">
        <f t="shared" si="18"/>
        <v>3.7010368663594473E-2</v>
      </c>
      <c r="Z32" s="1">
        <f t="shared" si="19"/>
        <v>0.46088625819868828</v>
      </c>
      <c r="AA32" s="8">
        <f t="shared" si="20"/>
        <v>0.22760860315889098</v>
      </c>
      <c r="AB32" s="1"/>
      <c r="AC32" s="15">
        <f t="shared" si="36"/>
        <v>1.633074373714976</v>
      </c>
      <c r="AD32" s="16">
        <f t="shared" si="24"/>
        <v>2.5002711644826512</v>
      </c>
      <c r="AE32" s="1">
        <f t="shared" si="25"/>
        <v>1.633074373714976</v>
      </c>
      <c r="AF32">
        <f t="shared" si="26"/>
        <v>1</v>
      </c>
      <c r="AG32">
        <f t="shared" si="27"/>
        <v>0</v>
      </c>
      <c r="AS32" s="34">
        <f t="shared" si="21"/>
        <v>0.97526203390432586</v>
      </c>
      <c r="AT32" s="16">
        <f t="shared" si="22"/>
        <v>1.5991973325490056</v>
      </c>
      <c r="AU32" s="1">
        <f t="shared" si="28"/>
        <v>0.97526203390432586</v>
      </c>
      <c r="AV32">
        <f t="shared" si="29"/>
        <v>1</v>
      </c>
      <c r="AW32" s="4">
        <f t="shared" si="30"/>
        <v>0</v>
      </c>
      <c r="BH32" s="34">
        <f t="shared" si="31"/>
        <v>0.9798818599996264</v>
      </c>
      <c r="BI32" s="16">
        <f t="shared" si="32"/>
        <v>1.5991973325490056</v>
      </c>
      <c r="BJ32" s="1">
        <f t="shared" si="33"/>
        <v>0.9798818599996264</v>
      </c>
      <c r="BK32">
        <f t="shared" si="34"/>
        <v>1</v>
      </c>
      <c r="BL32" s="4">
        <f t="shared" si="35"/>
        <v>0</v>
      </c>
    </row>
    <row r="33" spans="1:70" x14ac:dyDescent="0.3">
      <c r="A33" s="3"/>
      <c r="B33">
        <v>230108</v>
      </c>
      <c r="C33">
        <v>47</v>
      </c>
      <c r="D33">
        <v>0.54200000000000004</v>
      </c>
      <c r="E33">
        <v>0.58399999999999996</v>
      </c>
      <c r="F33">
        <v>9</v>
      </c>
      <c r="G33">
        <v>-6.7839999999999998</v>
      </c>
      <c r="H33">
        <v>5.8700000000000002E-2</v>
      </c>
      <c r="I33">
        <v>0.38300000000000001</v>
      </c>
      <c r="J33">
        <v>3.2400000000000001E-5</v>
      </c>
      <c r="K33">
        <v>0.29699999999999999</v>
      </c>
      <c r="L33">
        <v>0.247</v>
      </c>
      <c r="M33">
        <v>91.647999999999996</v>
      </c>
      <c r="O33" s="3"/>
      <c r="P33" s="1">
        <f t="shared" si="23"/>
        <v>0.41586489204039134</v>
      </c>
      <c r="Q33" s="1">
        <f t="shared" si="10"/>
        <v>0.22580645161290322</v>
      </c>
      <c r="R33" s="1">
        <f t="shared" si="11"/>
        <v>0.62448979591836751</v>
      </c>
      <c r="S33" s="1">
        <f t="shared" si="12"/>
        <v>0.66451782660176295</v>
      </c>
      <c r="T33" s="1">
        <f t="shared" si="13"/>
        <v>0.81818181818181823</v>
      </c>
      <c r="U33" s="1">
        <f t="shared" si="14"/>
        <v>0.72650262202501004</v>
      </c>
      <c r="V33" s="1">
        <f t="shared" si="15"/>
        <v>0.42764857881136958</v>
      </c>
      <c r="W33" s="1">
        <f t="shared" si="16"/>
        <v>0.40554049024299471</v>
      </c>
      <c r="X33" s="1">
        <f t="shared" si="17"/>
        <v>5.3820598006644525E-4</v>
      </c>
      <c r="Y33" s="1">
        <f t="shared" si="18"/>
        <v>0.363479262672811</v>
      </c>
      <c r="Z33" s="1">
        <f t="shared" si="19"/>
        <v>0.23532234842425215</v>
      </c>
      <c r="AA33" s="8">
        <f t="shared" si="20"/>
        <v>0.19626281834205977</v>
      </c>
      <c r="AB33" s="1"/>
      <c r="AC33" s="15">
        <f t="shared" si="36"/>
        <v>1.6810980692060249</v>
      </c>
      <c r="AD33" s="16">
        <f t="shared" si="24"/>
        <v>2.1489021607743366</v>
      </c>
      <c r="AE33" s="1">
        <f t="shared" si="25"/>
        <v>1.6810980692060249</v>
      </c>
      <c r="AF33">
        <f t="shared" si="26"/>
        <v>1</v>
      </c>
      <c r="AG33">
        <f t="shared" si="27"/>
        <v>0</v>
      </c>
      <c r="AS33" s="34">
        <f t="shared" si="21"/>
        <v>0.58770933048236762</v>
      </c>
      <c r="AT33" s="16">
        <f t="shared" si="22"/>
        <v>1.2937770998329745</v>
      </c>
      <c r="AU33" s="1">
        <f t="shared" si="28"/>
        <v>0.58770933048236762</v>
      </c>
      <c r="AV33">
        <f t="shared" si="29"/>
        <v>1</v>
      </c>
      <c r="AW33" s="4">
        <f t="shared" si="30"/>
        <v>0</v>
      </c>
      <c r="BH33" s="34">
        <f t="shared" si="31"/>
        <v>0.58235455712160522</v>
      </c>
      <c r="BI33" s="16">
        <f t="shared" si="32"/>
        <v>1.2937770998329745</v>
      </c>
      <c r="BJ33" s="1">
        <f t="shared" si="33"/>
        <v>0.58235455712160522</v>
      </c>
      <c r="BK33">
        <f t="shared" si="34"/>
        <v>1</v>
      </c>
      <c r="BL33" s="4">
        <f t="shared" si="35"/>
        <v>0</v>
      </c>
    </row>
    <row r="34" spans="1:70" x14ac:dyDescent="0.3">
      <c r="A34" s="3"/>
      <c r="B34">
        <v>193373</v>
      </c>
      <c r="C34">
        <v>48</v>
      </c>
      <c r="D34">
        <v>0.44400000000000001</v>
      </c>
      <c r="E34">
        <v>0.55800000000000005</v>
      </c>
      <c r="F34">
        <v>8</v>
      </c>
      <c r="G34">
        <v>-5.6840000000000002</v>
      </c>
      <c r="H34">
        <v>3.9E-2</v>
      </c>
      <c r="I34">
        <v>0.28199999999999997</v>
      </c>
      <c r="J34">
        <v>1.4899999999999999E-6</v>
      </c>
      <c r="K34">
        <v>0.10199999999999999</v>
      </c>
      <c r="L34">
        <v>0.24399999999999999</v>
      </c>
      <c r="M34">
        <v>119.22</v>
      </c>
      <c r="O34" s="3"/>
      <c r="P34" s="1">
        <f t="shared" si="23"/>
        <v>0.24080877972999376</v>
      </c>
      <c r="Q34" s="1">
        <f t="shared" si="10"/>
        <v>0.25806451612903225</v>
      </c>
      <c r="R34" s="1">
        <f t="shared" si="11"/>
        <v>0.42448979591836739</v>
      </c>
      <c r="S34" s="1">
        <f t="shared" si="12"/>
        <v>0.63031180107880558</v>
      </c>
      <c r="T34" s="1">
        <f t="shared" si="13"/>
        <v>0.72727272727272729</v>
      </c>
      <c r="U34" s="1">
        <f t="shared" si="14"/>
        <v>0.83743444937474765</v>
      </c>
      <c r="V34" s="1">
        <f t="shared" si="15"/>
        <v>0.1731266149870801</v>
      </c>
      <c r="W34" s="1">
        <f t="shared" si="16"/>
        <v>0.29813367363215826</v>
      </c>
      <c r="X34" s="1">
        <f t="shared" si="17"/>
        <v>2.4750830564784055E-5</v>
      </c>
      <c r="Y34" s="1">
        <f t="shared" si="18"/>
        <v>8.2661290322580627E-2</v>
      </c>
      <c r="Z34" s="1">
        <f t="shared" si="19"/>
        <v>0.2305231163013918</v>
      </c>
      <c r="AA34" s="8">
        <f t="shared" si="20"/>
        <v>0.43567167678241164</v>
      </c>
      <c r="AB34" s="1"/>
      <c r="AC34" s="15">
        <f t="shared" si="36"/>
        <v>1.5168826295836715</v>
      </c>
      <c r="AD34" s="16">
        <f t="shared" si="24"/>
        <v>2.3714734928337173</v>
      </c>
      <c r="AE34" s="1">
        <f t="shared" si="25"/>
        <v>1.5168826295836715</v>
      </c>
      <c r="AF34">
        <f t="shared" si="26"/>
        <v>1</v>
      </c>
      <c r="AG34">
        <f t="shared" si="27"/>
        <v>0</v>
      </c>
      <c r="AS34" s="34">
        <f t="shared" si="21"/>
        <v>0.50172109026291911</v>
      </c>
      <c r="AT34" s="16">
        <f t="shared" si="22"/>
        <v>1.3968264148669571</v>
      </c>
      <c r="AU34" s="1">
        <f t="shared" si="28"/>
        <v>0.50172109026291911</v>
      </c>
      <c r="AV34">
        <f t="shared" si="29"/>
        <v>1</v>
      </c>
      <c r="AW34" s="4">
        <f t="shared" si="30"/>
        <v>0</v>
      </c>
      <c r="BH34" s="34">
        <f t="shared" si="31"/>
        <v>0.50407163926525678</v>
      </c>
      <c r="BI34" s="16">
        <f t="shared" si="32"/>
        <v>1.3968264148669571</v>
      </c>
      <c r="BJ34" s="1">
        <f t="shared" si="33"/>
        <v>0.50407163926525678</v>
      </c>
      <c r="BK34">
        <f t="shared" si="34"/>
        <v>1</v>
      </c>
      <c r="BL34" s="4">
        <f t="shared" si="35"/>
        <v>0</v>
      </c>
    </row>
    <row r="35" spans="1:70" x14ac:dyDescent="0.3">
      <c r="A35" s="3"/>
      <c r="B35">
        <v>222293</v>
      </c>
      <c r="C35">
        <v>47</v>
      </c>
      <c r="D35">
        <v>0.54300000000000004</v>
      </c>
      <c r="E35">
        <v>0.32700000000000001</v>
      </c>
      <c r="F35">
        <v>9</v>
      </c>
      <c r="G35">
        <v>-6.8129999999999997</v>
      </c>
      <c r="H35">
        <v>3.6799999999999999E-2</v>
      </c>
      <c r="I35">
        <v>0.78500000000000003</v>
      </c>
      <c r="J35">
        <v>0</v>
      </c>
      <c r="K35">
        <v>8.8800000000000004E-2</v>
      </c>
      <c r="L35">
        <v>0.249</v>
      </c>
      <c r="M35">
        <v>135.25700000000001</v>
      </c>
      <c r="O35" s="3"/>
      <c r="P35" s="1">
        <f t="shared" si="23"/>
        <v>0.37862347329244639</v>
      </c>
      <c r="Q35" s="1">
        <f t="shared" si="10"/>
        <v>0.22580645161290322</v>
      </c>
      <c r="R35" s="1">
        <f t="shared" si="11"/>
        <v>0.62653061224489803</v>
      </c>
      <c r="S35" s="1">
        <f t="shared" si="12"/>
        <v>0.32640442047099066</v>
      </c>
      <c r="T35" s="1">
        <f t="shared" si="13"/>
        <v>0.81818181818181823</v>
      </c>
      <c r="U35" s="1">
        <f t="shared" si="14"/>
        <v>0.72357805566760791</v>
      </c>
      <c r="V35" s="1">
        <f t="shared" si="15"/>
        <v>0.14470284237726097</v>
      </c>
      <c r="W35" s="1">
        <f t="shared" si="16"/>
        <v>0.83304088903068019</v>
      </c>
      <c r="X35" s="1">
        <f t="shared" si="17"/>
        <v>0</v>
      </c>
      <c r="Y35" s="1">
        <f t="shared" si="18"/>
        <v>6.3652073732718903E-2</v>
      </c>
      <c r="Z35" s="1">
        <f t="shared" si="19"/>
        <v>0.23852183650615905</v>
      </c>
      <c r="AA35" s="8">
        <f t="shared" si="20"/>
        <v>0.57492163553795805</v>
      </c>
      <c r="AB35" s="1"/>
      <c r="AC35" s="15">
        <f t="shared" si="36"/>
        <v>1.7299672272986877</v>
      </c>
      <c r="AD35" s="16">
        <f t="shared" si="24"/>
        <v>2.2549630573950932</v>
      </c>
      <c r="AE35" s="1">
        <f t="shared" si="25"/>
        <v>1.7299672272986877</v>
      </c>
      <c r="AF35">
        <f t="shared" si="26"/>
        <v>1</v>
      </c>
      <c r="AG35">
        <f t="shared" si="27"/>
        <v>0</v>
      </c>
      <c r="AS35" s="34">
        <f t="shared" si="21"/>
        <v>0.489241041001998</v>
      </c>
      <c r="AT35" s="16">
        <f t="shared" si="22"/>
        <v>1.4664074756818202</v>
      </c>
      <c r="AU35" s="1">
        <f t="shared" si="28"/>
        <v>0.489241041001998</v>
      </c>
      <c r="AV35">
        <f t="shared" si="29"/>
        <v>1</v>
      </c>
      <c r="AW35" s="4">
        <f t="shared" si="30"/>
        <v>0</v>
      </c>
      <c r="BH35" s="34">
        <f t="shared" si="31"/>
        <v>0.47711271442028752</v>
      </c>
      <c r="BI35" s="16">
        <f t="shared" si="32"/>
        <v>1.4664074756818202</v>
      </c>
      <c r="BJ35" s="1">
        <f t="shared" si="33"/>
        <v>0.47711271442028752</v>
      </c>
      <c r="BK35">
        <f t="shared" si="34"/>
        <v>1</v>
      </c>
      <c r="BL35" s="4">
        <f t="shared" si="35"/>
        <v>0</v>
      </c>
    </row>
    <row r="36" spans="1:70" x14ac:dyDescent="0.3">
      <c r="A36" s="3"/>
      <c r="B36">
        <v>220720</v>
      </c>
      <c r="C36">
        <v>46</v>
      </c>
      <c r="D36">
        <v>0.45700000000000002</v>
      </c>
      <c r="E36">
        <v>0.36599999999999999</v>
      </c>
      <c r="F36">
        <v>2</v>
      </c>
      <c r="G36">
        <v>-7.3780000000000001</v>
      </c>
      <c r="H36">
        <v>4.1300000000000003E-2</v>
      </c>
      <c r="I36">
        <v>0.79200000000000004</v>
      </c>
      <c r="J36">
        <v>3.0700000000000001E-5</v>
      </c>
      <c r="K36">
        <v>8.8099999999999998E-2</v>
      </c>
      <c r="L36">
        <v>0.26300000000000001</v>
      </c>
      <c r="M36">
        <v>141.36000000000001</v>
      </c>
      <c r="O36" s="3"/>
      <c r="P36" s="1">
        <f t="shared" si="23"/>
        <v>0.37112753577606544</v>
      </c>
      <c r="Q36" s="1">
        <f t="shared" si="10"/>
        <v>0.19354838709677419</v>
      </c>
      <c r="R36" s="1">
        <f t="shared" si="11"/>
        <v>0.45102040816326538</v>
      </c>
      <c r="S36" s="1">
        <f t="shared" si="12"/>
        <v>0.37771345875542695</v>
      </c>
      <c r="T36" s="1">
        <f t="shared" si="13"/>
        <v>0.18181818181818182</v>
      </c>
      <c r="U36" s="1">
        <f t="shared" si="14"/>
        <v>0.66659943525615162</v>
      </c>
      <c r="V36" s="1">
        <f t="shared" si="15"/>
        <v>0.20284237726098195</v>
      </c>
      <c r="W36" s="1">
        <f t="shared" si="16"/>
        <v>0.84048492582549061</v>
      </c>
      <c r="X36" s="1">
        <f t="shared" si="17"/>
        <v>5.0996677740863794E-4</v>
      </c>
      <c r="Y36" s="1">
        <f t="shared" si="18"/>
        <v>6.2644009216589858E-2</v>
      </c>
      <c r="Z36" s="1">
        <f t="shared" si="19"/>
        <v>0.26091825307950733</v>
      </c>
      <c r="AA36" s="8">
        <f t="shared" si="20"/>
        <v>0.62791424626846248</v>
      </c>
      <c r="AB36" s="1"/>
      <c r="AC36" s="15">
        <f t="shared" si="36"/>
        <v>1.4874593297814147</v>
      </c>
      <c r="AD36" s="16">
        <f t="shared" si="24"/>
        <v>2.3954650669891144</v>
      </c>
      <c r="AE36" s="1">
        <f t="shared" si="25"/>
        <v>1.4874593297814147</v>
      </c>
      <c r="AF36">
        <f t="shared" si="26"/>
        <v>1</v>
      </c>
      <c r="AG36">
        <f t="shared" si="27"/>
        <v>0</v>
      </c>
      <c r="AS36" s="34">
        <f t="shared" si="21"/>
        <v>0.59275636583177937</v>
      </c>
      <c r="AT36" s="16">
        <f t="shared" si="22"/>
        <v>1.5644658844158845</v>
      </c>
      <c r="AU36" s="1">
        <f t="shared" si="28"/>
        <v>0.59275636583177937</v>
      </c>
      <c r="AV36">
        <f t="shared" si="29"/>
        <v>1</v>
      </c>
      <c r="AW36" s="4">
        <f t="shared" si="30"/>
        <v>0</v>
      </c>
      <c r="BH36" s="34">
        <f t="shared" si="31"/>
        <v>0.59790045036863515</v>
      </c>
      <c r="BI36" s="16">
        <f t="shared" si="32"/>
        <v>1.5644658844158845</v>
      </c>
      <c r="BJ36" s="1">
        <f t="shared" si="33"/>
        <v>0.59790045036863515</v>
      </c>
      <c r="BK36">
        <f t="shared" si="34"/>
        <v>1</v>
      </c>
      <c r="BL36" s="4">
        <f t="shared" si="35"/>
        <v>0</v>
      </c>
    </row>
    <row r="37" spans="1:70" x14ac:dyDescent="0.3">
      <c r="A37" s="3"/>
      <c r="B37">
        <v>231693</v>
      </c>
      <c r="C37">
        <v>45</v>
      </c>
      <c r="D37">
        <v>0.42199999999999999</v>
      </c>
      <c r="E37">
        <v>0.47499999999999998</v>
      </c>
      <c r="F37">
        <v>11</v>
      </c>
      <c r="G37">
        <v>-5.9489999999999998</v>
      </c>
      <c r="H37">
        <v>3.6900000000000002E-2</v>
      </c>
      <c r="I37">
        <v>0.45500000000000002</v>
      </c>
      <c r="J37">
        <v>0</v>
      </c>
      <c r="K37">
        <v>0.14399999999999999</v>
      </c>
      <c r="L37">
        <v>0.28899999999999998</v>
      </c>
      <c r="M37">
        <v>167.64699999999999</v>
      </c>
      <c r="O37" s="3"/>
      <c r="P37" s="1">
        <f t="shared" si="23"/>
        <v>0.4234180140769227</v>
      </c>
      <c r="Q37" s="1">
        <f t="shared" si="10"/>
        <v>0.16129032258064516</v>
      </c>
      <c r="R37" s="1">
        <f t="shared" si="11"/>
        <v>0.37959183673469388</v>
      </c>
      <c r="S37" s="1">
        <f t="shared" si="12"/>
        <v>0.52111564267859489</v>
      </c>
      <c r="T37" s="1">
        <f t="shared" si="13"/>
        <v>1</v>
      </c>
      <c r="U37" s="1">
        <f t="shared" si="14"/>
        <v>0.81070996369503823</v>
      </c>
      <c r="V37" s="1">
        <f t="shared" si="15"/>
        <v>0.1459948320413437</v>
      </c>
      <c r="W37" s="1">
        <f t="shared" si="16"/>
        <v>0.48210772584675926</v>
      </c>
      <c r="X37" s="1">
        <f t="shared" si="17"/>
        <v>0</v>
      </c>
      <c r="Y37" s="1">
        <f t="shared" si="18"/>
        <v>0.14314516129032256</v>
      </c>
      <c r="Z37" s="1">
        <f t="shared" si="19"/>
        <v>0.3025115981442969</v>
      </c>
      <c r="AA37" s="8">
        <f t="shared" si="20"/>
        <v>0.85616539460088392</v>
      </c>
      <c r="AB37" s="1"/>
      <c r="AC37" s="15">
        <f t="shared" si="36"/>
        <v>1.8376519912720193</v>
      </c>
      <c r="AD37" s="16">
        <f t="shared" si="24"/>
        <v>2.2192034286308715</v>
      </c>
      <c r="AE37" s="1">
        <f t="shared" si="25"/>
        <v>1.8376519912720193</v>
      </c>
      <c r="AF37">
        <f t="shared" si="26"/>
        <v>1</v>
      </c>
      <c r="AG37">
        <f t="shared" si="27"/>
        <v>0</v>
      </c>
      <c r="AS37" s="34">
        <f t="shared" si="21"/>
        <v>0.68337005832509534</v>
      </c>
      <c r="AT37" s="16">
        <f t="shared" si="22"/>
        <v>1.3456934772598834</v>
      </c>
      <c r="AU37" s="1">
        <f t="shared" si="28"/>
        <v>0.68337005832509534</v>
      </c>
      <c r="AV37">
        <f t="shared" si="29"/>
        <v>1</v>
      </c>
      <c r="AW37" s="4">
        <f t="shared" si="30"/>
        <v>0</v>
      </c>
      <c r="BH37" s="34">
        <f t="shared" si="31"/>
        <v>0.67241622140928503</v>
      </c>
      <c r="BI37" s="16">
        <f t="shared" si="32"/>
        <v>1.3456934772598834</v>
      </c>
      <c r="BJ37" s="1">
        <f t="shared" si="33"/>
        <v>0.67241622140928503</v>
      </c>
      <c r="BK37">
        <f t="shared" si="34"/>
        <v>1</v>
      </c>
      <c r="BL37" s="4">
        <f t="shared" si="35"/>
        <v>0</v>
      </c>
    </row>
    <row r="38" spans="1:70" x14ac:dyDescent="0.3">
      <c r="A38" s="3"/>
      <c r="B38">
        <v>174933</v>
      </c>
      <c r="C38">
        <v>49</v>
      </c>
      <c r="D38">
        <v>0.57899999999999996</v>
      </c>
      <c r="E38">
        <v>0.621</v>
      </c>
      <c r="F38">
        <v>5</v>
      </c>
      <c r="G38">
        <v>-5.9340000000000002</v>
      </c>
      <c r="H38">
        <v>3.5299999999999998E-2</v>
      </c>
      <c r="I38">
        <v>0.27</v>
      </c>
      <c r="J38">
        <v>0</v>
      </c>
      <c r="K38">
        <v>9.6500000000000002E-2</v>
      </c>
      <c r="L38">
        <v>0.61099999999999999</v>
      </c>
      <c r="M38">
        <v>139.38999999999999</v>
      </c>
      <c r="O38" s="3"/>
      <c r="P38" s="1">
        <f t="shared" si="23"/>
        <v>0.15293523376555299</v>
      </c>
      <c r="Q38" s="1">
        <f t="shared" ref="Q38:Q56" si="37">(C38 - $C$2)/($C$3 - $C$2)</f>
        <v>0.29032258064516131</v>
      </c>
      <c r="R38" s="1">
        <f t="shared" ref="R38:R56" si="38">(D38 - $D$2)/($D$3 - $D$2)</f>
        <v>0.7</v>
      </c>
      <c r="S38" s="1">
        <f t="shared" si="12"/>
        <v>0.71319563215366399</v>
      </c>
      <c r="T38" s="1">
        <f t="shared" ref="T38:T56" si="39">(F38 - $F$2)/($F$3- $F$2)</f>
        <v>0.45454545454545453</v>
      </c>
      <c r="U38" s="1">
        <f t="shared" ref="U38:U56" si="40">(G38 - $G$2)/($G$3- $G$2)</f>
        <v>0.81222267043162544</v>
      </c>
      <c r="V38" s="1">
        <f t="shared" ref="V38:V56" si="41">(H38 - $H$2)/($H$3- $H$2)</f>
        <v>0.12532299741602063</v>
      </c>
      <c r="W38" s="1">
        <f t="shared" ref="W38:W56" si="42">(I38 - $I$2)/($I$3- $I$2)</f>
        <v>0.28537246769819752</v>
      </c>
      <c r="X38" s="1">
        <f t="shared" ref="X38:X56" si="43">(J38 - $J$2)/($J$3- $J$2)</f>
        <v>0</v>
      </c>
      <c r="Y38" s="1">
        <f t="shared" ref="Y38:Y56" si="44">(K38 - $K$2)/($K$3- $K$2)</f>
        <v>7.4740783410138248E-2</v>
      </c>
      <c r="Z38" s="1">
        <f t="shared" ref="Z38:Z56" si="45">(L38 - $L$2)/($L$3- $L$2)</f>
        <v>0.81762917933130697</v>
      </c>
      <c r="AA38" s="8">
        <f t="shared" ref="AA38:AA56" si="46">(M38 - $M$2)/($M$3- $M$2)</f>
        <v>0.61080865178393107</v>
      </c>
      <c r="AB38" s="1"/>
      <c r="AC38" s="15">
        <f t="shared" si="36"/>
        <v>1.7654959078366099</v>
      </c>
      <c r="AD38" s="16">
        <f t="shared" si="24"/>
        <v>2.2456145034768791</v>
      </c>
      <c r="AE38" s="1">
        <f t="shared" si="25"/>
        <v>1.7654959078366099</v>
      </c>
      <c r="AF38">
        <f t="shared" si="26"/>
        <v>1</v>
      </c>
      <c r="AG38">
        <f t="shared" si="27"/>
        <v>0</v>
      </c>
      <c r="AS38" s="34">
        <f t="shared" ref="AS38:AS56" si="47">SQRT(
($AE$2 - P38)^2 +
($AF$2 -Q38)^2 +
($AG$2 - R38)^2 +
($AH$2 - S38)^2 +
($AI$2 - T38)^2 +
($AJ$2 - U38)^2 +
($AK$2 - V38)^2 +
($AL$2 - W38)^2 +
($AM$2 - X38)^2 +
($AN$2 - Y38)^2 +
($AO$2 - Z38)^2 +
($AP$2 - AA38)^2)</f>
        <v>0.72643268656260096</v>
      </c>
      <c r="AT38" s="16">
        <f t="shared" ref="AT38:AT56" si="48">SQRT(
($AE$3 - P38)^2 +
($AF$3 -Q38)^2 +
($AG$3 - R38)^2 +
($AH$3 - S38)^2 +
($AI$3 - T38)^2 +
($AJ$3 - U38)^2 +
($AK$3 - V38)^2 +
($AL$3 - W38)^2 +
($AM$3 - X38)^2 +
($AN$3 - Y38)^2 +
($AO$3 - Z38)^2 +
($AP$3 - AA38)^2)</f>
        <v>1.4047700507280374</v>
      </c>
      <c r="AU38" s="1">
        <f t="shared" si="28"/>
        <v>0.72643268656260096</v>
      </c>
      <c r="AV38">
        <f t="shared" si="29"/>
        <v>1</v>
      </c>
      <c r="AW38" s="4">
        <f t="shared" si="30"/>
        <v>0</v>
      </c>
      <c r="BH38" s="34">
        <f t="shared" si="31"/>
        <v>0.72060208391611313</v>
      </c>
      <c r="BI38" s="16">
        <f t="shared" si="32"/>
        <v>1.4047700507280374</v>
      </c>
      <c r="BJ38" s="1">
        <f t="shared" si="33"/>
        <v>0.72060208391611313</v>
      </c>
      <c r="BK38">
        <f t="shared" si="34"/>
        <v>1</v>
      </c>
      <c r="BL38" s="4">
        <f t="shared" si="35"/>
        <v>0</v>
      </c>
      <c r="BR38" t="s">
        <v>30</v>
      </c>
    </row>
    <row r="39" spans="1:70" x14ac:dyDescent="0.3">
      <c r="A39" s="3"/>
      <c r="B39">
        <v>291533</v>
      </c>
      <c r="C39">
        <v>49</v>
      </c>
      <c r="D39">
        <v>0.41699999999999998</v>
      </c>
      <c r="E39">
        <v>0.63400000000000001</v>
      </c>
      <c r="F39">
        <v>9</v>
      </c>
      <c r="G39">
        <v>-7.181</v>
      </c>
      <c r="H39">
        <v>4.82E-2</v>
      </c>
      <c r="I39">
        <v>1.7299999999999999E-2</v>
      </c>
      <c r="J39">
        <v>2.02E-5</v>
      </c>
      <c r="K39">
        <v>0.113</v>
      </c>
      <c r="L39">
        <v>0.32100000000000001</v>
      </c>
      <c r="M39">
        <v>152.65100000000001</v>
      </c>
      <c r="O39" s="3"/>
      <c r="P39" s="1">
        <f t="shared" si="23"/>
        <v>0.70857815456022721</v>
      </c>
      <c r="Q39" s="1">
        <f t="shared" si="37"/>
        <v>0.29032258064516131</v>
      </c>
      <c r="R39" s="1">
        <f t="shared" si="38"/>
        <v>0.3693877551020408</v>
      </c>
      <c r="S39" s="1">
        <f t="shared" si="12"/>
        <v>0.73029864491514285</v>
      </c>
      <c r="T39" s="1">
        <f t="shared" si="39"/>
        <v>0.81818181818181823</v>
      </c>
      <c r="U39" s="1">
        <f t="shared" si="40"/>
        <v>0.68646631706333194</v>
      </c>
      <c r="V39" s="1">
        <f t="shared" si="41"/>
        <v>0.29198966408268734</v>
      </c>
      <c r="W39" s="1">
        <f t="shared" si="42"/>
        <v>1.6642739405540494E-2</v>
      </c>
      <c r="X39" s="1">
        <f t="shared" si="43"/>
        <v>3.3554817275747512E-4</v>
      </c>
      <c r="Y39" s="1">
        <f t="shared" si="44"/>
        <v>9.8502304147465441E-2</v>
      </c>
      <c r="Z39" s="1">
        <f t="shared" si="45"/>
        <v>0.35370340745480727</v>
      </c>
      <c r="AA39" s="8">
        <f t="shared" si="46"/>
        <v>0.72595448348919411</v>
      </c>
      <c r="AB39" s="1"/>
      <c r="AC39" s="15">
        <f t="shared" si="36"/>
        <v>1.7731793175442365</v>
      </c>
      <c r="AD39" s="16">
        <f t="shared" si="24"/>
        <v>2.2278774781675712</v>
      </c>
      <c r="AE39" s="1">
        <f t="shared" si="25"/>
        <v>1.7731793175442365</v>
      </c>
      <c r="AF39">
        <f t="shared" si="26"/>
        <v>1</v>
      </c>
      <c r="AG39">
        <f t="shared" si="27"/>
        <v>0</v>
      </c>
      <c r="AS39" s="34">
        <f t="shared" si="47"/>
        <v>0.80639892069455643</v>
      </c>
      <c r="AT39" s="16">
        <f t="shared" si="48"/>
        <v>1.2303683394643476</v>
      </c>
      <c r="AU39" s="1">
        <f t="shared" si="28"/>
        <v>0.80639892069455643</v>
      </c>
      <c r="AV39">
        <f t="shared" si="29"/>
        <v>1</v>
      </c>
      <c r="AW39" s="4">
        <f t="shared" si="30"/>
        <v>0</v>
      </c>
      <c r="BH39" s="34">
        <f t="shared" si="31"/>
        <v>0.80234023215047079</v>
      </c>
      <c r="BI39" s="16">
        <f t="shared" si="32"/>
        <v>1.2303683394643476</v>
      </c>
      <c r="BJ39" s="1">
        <f t="shared" si="33"/>
        <v>0.80234023215047079</v>
      </c>
      <c r="BK39">
        <f t="shared" si="34"/>
        <v>1</v>
      </c>
      <c r="BL39" s="4">
        <f t="shared" si="35"/>
        <v>0</v>
      </c>
    </row>
    <row r="40" spans="1:70" x14ac:dyDescent="0.3">
      <c r="A40" s="3"/>
      <c r="B40">
        <v>287346</v>
      </c>
      <c r="C40">
        <v>45</v>
      </c>
      <c r="D40">
        <v>0.53900000000000003</v>
      </c>
      <c r="E40">
        <v>0.187</v>
      </c>
      <c r="F40">
        <v>5</v>
      </c>
      <c r="G40">
        <v>-11.756</v>
      </c>
      <c r="H40">
        <v>3.5299999999999998E-2</v>
      </c>
      <c r="I40">
        <v>0.83299999999999996</v>
      </c>
      <c r="J40">
        <v>0</v>
      </c>
      <c r="K40">
        <v>0.11899999999999999</v>
      </c>
      <c r="L40">
        <v>0.35599999999999998</v>
      </c>
      <c r="M40">
        <v>128.96899999999999</v>
      </c>
      <c r="O40" s="3"/>
      <c r="P40" s="1">
        <f t="shared" si="23"/>
        <v>0.68862552240441843</v>
      </c>
      <c r="Q40" s="1">
        <f t="shared" si="37"/>
        <v>0.16129032258064516</v>
      </c>
      <c r="R40" s="1">
        <f t="shared" si="38"/>
        <v>0.6183673469387756</v>
      </c>
      <c r="S40" s="1">
        <f t="shared" si="12"/>
        <v>0.14221812919352717</v>
      </c>
      <c r="T40" s="1">
        <f t="shared" si="39"/>
        <v>0.45454545454545453</v>
      </c>
      <c r="U40" s="1">
        <f t="shared" si="40"/>
        <v>0.22509076240419515</v>
      </c>
      <c r="V40" s="1">
        <f t="shared" si="41"/>
        <v>0.12532299741602063</v>
      </c>
      <c r="W40" s="1">
        <f t="shared" si="42"/>
        <v>0.88408571276652315</v>
      </c>
      <c r="X40" s="1">
        <f t="shared" si="43"/>
        <v>0</v>
      </c>
      <c r="Y40" s="1">
        <f t="shared" si="44"/>
        <v>0.10714285714285714</v>
      </c>
      <c r="Z40" s="1">
        <f t="shared" si="45"/>
        <v>0.40969444888817791</v>
      </c>
      <c r="AA40" s="8">
        <f t="shared" si="46"/>
        <v>0.52032266187362697</v>
      </c>
      <c r="AB40" s="1"/>
      <c r="AC40" s="15">
        <f t="shared" si="36"/>
        <v>1.5516054520428109</v>
      </c>
      <c r="AD40" s="16">
        <f t="shared" si="24"/>
        <v>2.3945912065529122</v>
      </c>
      <c r="AE40" s="1">
        <f t="shared" si="25"/>
        <v>1.5516054520428109</v>
      </c>
      <c r="AF40">
        <f t="shared" si="26"/>
        <v>1</v>
      </c>
      <c r="AG40">
        <f t="shared" si="27"/>
        <v>0</v>
      </c>
      <c r="AS40" s="34">
        <f t="shared" si="47"/>
        <v>0.69294385931898161</v>
      </c>
      <c r="AT40" s="16">
        <f t="shared" si="48"/>
        <v>1.7138954247903826</v>
      </c>
      <c r="AU40" s="1">
        <f t="shared" si="28"/>
        <v>0.69294385931898161</v>
      </c>
      <c r="AV40">
        <f t="shared" si="29"/>
        <v>1</v>
      </c>
      <c r="AW40" s="4">
        <f t="shared" si="30"/>
        <v>0</v>
      </c>
      <c r="BH40" s="34">
        <f t="shared" si="31"/>
        <v>0.69640029345368215</v>
      </c>
      <c r="BI40" s="16">
        <f t="shared" si="32"/>
        <v>1.7138954247903826</v>
      </c>
      <c r="BJ40" s="1">
        <f t="shared" si="33"/>
        <v>0.69640029345368215</v>
      </c>
      <c r="BK40">
        <f t="shared" si="34"/>
        <v>1</v>
      </c>
      <c r="BL40" s="4">
        <f t="shared" si="35"/>
        <v>0</v>
      </c>
    </row>
    <row r="41" spans="1:70" x14ac:dyDescent="0.3">
      <c r="A41" s="3"/>
      <c r="B41">
        <v>182186</v>
      </c>
      <c r="C41">
        <v>45</v>
      </c>
      <c r="D41">
        <v>0.55700000000000005</v>
      </c>
      <c r="E41">
        <v>0.185</v>
      </c>
      <c r="F41">
        <v>8</v>
      </c>
      <c r="G41">
        <v>-12.173999999999999</v>
      </c>
      <c r="H41">
        <v>4.3900000000000002E-2</v>
      </c>
      <c r="I41">
        <v>0.91300000000000003</v>
      </c>
      <c r="J41">
        <v>2.2200000000000001E-5</v>
      </c>
      <c r="K41">
        <v>0.15</v>
      </c>
      <c r="L41">
        <v>0.41799999999999998</v>
      </c>
      <c r="M41">
        <v>145.77199999999999</v>
      </c>
      <c r="O41" s="3"/>
      <c r="P41" s="1">
        <f t="shared" si="23"/>
        <v>0.18749851081978774</v>
      </c>
      <c r="Q41" s="1">
        <f t="shared" si="37"/>
        <v>0.16129032258064516</v>
      </c>
      <c r="R41" s="1">
        <f t="shared" si="38"/>
        <v>0.65510204081632673</v>
      </c>
      <c r="S41" s="1">
        <f t="shared" si="12"/>
        <v>0.13958689646099198</v>
      </c>
      <c r="T41" s="1">
        <f t="shared" si="39"/>
        <v>0.72727272727272729</v>
      </c>
      <c r="U41" s="1">
        <f t="shared" si="40"/>
        <v>0.18293666801129488</v>
      </c>
      <c r="V41" s="1">
        <f t="shared" si="41"/>
        <v>0.23643410852713179</v>
      </c>
      <c r="W41" s="1">
        <f t="shared" si="42"/>
        <v>0.96916041899292826</v>
      </c>
      <c r="X41" s="1">
        <f t="shared" si="43"/>
        <v>3.6877076411960134E-4</v>
      </c>
      <c r="Y41" s="1">
        <f t="shared" si="44"/>
        <v>0.15178571428571427</v>
      </c>
      <c r="Z41" s="1">
        <f t="shared" si="45"/>
        <v>0.50887857942729164</v>
      </c>
      <c r="AA41" s="8">
        <f t="shared" si="46"/>
        <v>0.6662238314795037</v>
      </c>
      <c r="AB41" s="1"/>
      <c r="AC41" s="15">
        <f t="shared" si="36"/>
        <v>1.6712954664878252</v>
      </c>
      <c r="AD41" s="16">
        <f t="shared" si="24"/>
        <v>2.3706858411493141</v>
      </c>
      <c r="AE41" s="1">
        <f t="shared" si="25"/>
        <v>1.6712954664878252</v>
      </c>
      <c r="AF41">
        <f t="shared" si="26"/>
        <v>1</v>
      </c>
      <c r="AG41">
        <f t="shared" si="27"/>
        <v>0</v>
      </c>
      <c r="AS41" s="34">
        <f t="shared" si="47"/>
        <v>0.76984117985698708</v>
      </c>
      <c r="AT41" s="16">
        <f t="shared" si="48"/>
        <v>1.6993240662192992</v>
      </c>
      <c r="AU41" s="1">
        <f t="shared" si="28"/>
        <v>0.76984117985698708</v>
      </c>
      <c r="AV41">
        <f t="shared" si="29"/>
        <v>1</v>
      </c>
      <c r="AW41" s="4">
        <f t="shared" si="30"/>
        <v>0</v>
      </c>
      <c r="BH41" s="34">
        <f t="shared" si="31"/>
        <v>0.76941037334372253</v>
      </c>
      <c r="BI41" s="16">
        <f t="shared" si="32"/>
        <v>1.6993240662192992</v>
      </c>
      <c r="BJ41" s="1">
        <f t="shared" si="33"/>
        <v>0.76941037334372253</v>
      </c>
      <c r="BK41">
        <f t="shared" si="34"/>
        <v>1</v>
      </c>
      <c r="BL41" s="4">
        <f t="shared" si="35"/>
        <v>0</v>
      </c>
    </row>
    <row r="42" spans="1:70" x14ac:dyDescent="0.3">
      <c r="A42" s="3"/>
      <c r="B42">
        <v>169920</v>
      </c>
      <c r="C42">
        <v>46</v>
      </c>
      <c r="D42">
        <v>0.40300000000000002</v>
      </c>
      <c r="E42">
        <v>0.59599999999999997</v>
      </c>
      <c r="F42">
        <v>2</v>
      </c>
      <c r="G42">
        <v>-6.7469999999999999</v>
      </c>
      <c r="H42">
        <v>3.2099999999999997E-2</v>
      </c>
      <c r="I42">
        <v>0.255</v>
      </c>
      <c r="J42">
        <v>0</v>
      </c>
      <c r="K42">
        <v>0.307</v>
      </c>
      <c r="L42">
        <v>0.59399999999999997</v>
      </c>
      <c r="M42">
        <v>171.92</v>
      </c>
      <c r="O42" s="3"/>
      <c r="P42" s="1">
        <f t="shared" si="23"/>
        <v>0.12904640047272536</v>
      </c>
      <c r="Q42" s="1">
        <f t="shared" si="37"/>
        <v>0.19354838709677419</v>
      </c>
      <c r="R42" s="1">
        <f t="shared" si="38"/>
        <v>0.34081632653061233</v>
      </c>
      <c r="S42" s="1">
        <f t="shared" si="12"/>
        <v>0.68030522299697405</v>
      </c>
      <c r="T42" s="1">
        <f t="shared" si="39"/>
        <v>0.18181818181818182</v>
      </c>
      <c r="U42" s="1">
        <f t="shared" si="40"/>
        <v>0.73023396530859208</v>
      </c>
      <c r="V42" s="1">
        <f t="shared" si="41"/>
        <v>8.3979328165374623E-2</v>
      </c>
      <c r="W42" s="1">
        <f t="shared" si="42"/>
        <v>0.26942096028074658</v>
      </c>
      <c r="X42" s="1">
        <f t="shared" si="43"/>
        <v>0</v>
      </c>
      <c r="Y42" s="1">
        <f t="shared" si="44"/>
        <v>0.37788018433179715</v>
      </c>
      <c r="Z42" s="1">
        <f t="shared" si="45"/>
        <v>0.79043353063509836</v>
      </c>
      <c r="AA42" s="8">
        <f t="shared" si="46"/>
        <v>0.893268036850834</v>
      </c>
      <c r="AB42" s="1"/>
      <c r="AC42" s="15">
        <f t="shared" si="36"/>
        <v>1.6865737395499323</v>
      </c>
      <c r="AD42" s="16">
        <f t="shared" si="24"/>
        <v>2.3458537742075958</v>
      </c>
      <c r="AE42" s="1">
        <f t="shared" si="25"/>
        <v>1.6865737395499323</v>
      </c>
      <c r="AF42">
        <f t="shared" si="26"/>
        <v>1</v>
      </c>
      <c r="AG42">
        <f t="shared" si="27"/>
        <v>0</v>
      </c>
      <c r="AS42" s="34">
        <f t="shared" si="47"/>
        <v>0.94419196091181345</v>
      </c>
      <c r="AT42" s="16">
        <f t="shared" si="48"/>
        <v>1.5406535133627044</v>
      </c>
      <c r="AU42" s="1">
        <f t="shared" si="28"/>
        <v>0.94419196091181345</v>
      </c>
      <c r="AV42">
        <f t="shared" si="29"/>
        <v>1</v>
      </c>
      <c r="AW42" s="4">
        <f t="shared" si="30"/>
        <v>0</v>
      </c>
      <c r="BH42" s="34">
        <f t="shared" si="31"/>
        <v>0.94645979890327547</v>
      </c>
      <c r="BI42" s="16">
        <f t="shared" si="32"/>
        <v>1.5406535133627044</v>
      </c>
      <c r="BJ42" s="1">
        <f t="shared" si="33"/>
        <v>0.94645979890327547</v>
      </c>
      <c r="BK42">
        <f t="shared" si="34"/>
        <v>1</v>
      </c>
      <c r="BL42" s="4">
        <f t="shared" si="35"/>
        <v>0</v>
      </c>
    </row>
    <row r="43" spans="1:70" x14ac:dyDescent="0.3">
      <c r="A43" s="3"/>
      <c r="B43">
        <v>156146</v>
      </c>
      <c r="C43">
        <v>43</v>
      </c>
      <c r="D43">
        <v>0.65</v>
      </c>
      <c r="E43">
        <v>0.188</v>
      </c>
      <c r="F43">
        <v>9</v>
      </c>
      <c r="G43">
        <v>-11.04</v>
      </c>
      <c r="H43">
        <v>3.9199999999999999E-2</v>
      </c>
      <c r="I43">
        <v>0.88200000000000001</v>
      </c>
      <c r="J43">
        <v>0</v>
      </c>
      <c r="K43">
        <v>0.114</v>
      </c>
      <c r="L43">
        <v>0.254</v>
      </c>
      <c r="M43">
        <v>114.142</v>
      </c>
      <c r="O43" s="3"/>
      <c r="P43" s="1">
        <f t="shared" si="23"/>
        <v>6.340810209342998E-2</v>
      </c>
      <c r="Q43" s="1">
        <f t="shared" si="37"/>
        <v>9.6774193548387094E-2</v>
      </c>
      <c r="R43" s="1">
        <f t="shared" si="38"/>
        <v>0.84489795918367361</v>
      </c>
      <c r="S43" s="1">
        <f t="shared" si="12"/>
        <v>0.14353374555979476</v>
      </c>
      <c r="T43" s="1">
        <f t="shared" si="39"/>
        <v>0.81818181818181823</v>
      </c>
      <c r="U43" s="1">
        <f t="shared" si="40"/>
        <v>0.29729729729729731</v>
      </c>
      <c r="V43" s="1">
        <f t="shared" si="41"/>
        <v>0.17571059431524547</v>
      </c>
      <c r="W43" s="1">
        <f t="shared" si="42"/>
        <v>0.93619397033019625</v>
      </c>
      <c r="X43" s="1">
        <f t="shared" si="43"/>
        <v>0</v>
      </c>
      <c r="Y43" s="1">
        <f t="shared" si="44"/>
        <v>9.994239631336406E-2</v>
      </c>
      <c r="Z43" s="1">
        <f t="shared" si="45"/>
        <v>0.24652055671092629</v>
      </c>
      <c r="AA43" s="8">
        <f t="shared" si="46"/>
        <v>0.39157918500959477</v>
      </c>
      <c r="AB43" s="1"/>
      <c r="AC43" s="15">
        <f t="shared" si="36"/>
        <v>1.6239076293652632</v>
      </c>
      <c r="AD43" s="16">
        <f t="shared" si="24"/>
        <v>2.531599563837704</v>
      </c>
      <c r="AE43" s="1">
        <f t="shared" si="25"/>
        <v>1.6239076293652632</v>
      </c>
      <c r="AF43">
        <f t="shared" si="26"/>
        <v>1</v>
      </c>
      <c r="AG43">
        <f t="shared" si="27"/>
        <v>0</v>
      </c>
      <c r="AS43" s="34">
        <f t="shared" si="47"/>
        <v>0.80530122137704008</v>
      </c>
      <c r="AT43" s="16">
        <f t="shared" si="48"/>
        <v>1.8514022260086467</v>
      </c>
      <c r="AU43" s="1">
        <f t="shared" si="28"/>
        <v>0.80530122137704008</v>
      </c>
      <c r="AV43">
        <f t="shared" si="29"/>
        <v>1</v>
      </c>
      <c r="AW43" s="4">
        <f t="shared" si="30"/>
        <v>0</v>
      </c>
      <c r="BH43" s="34">
        <f t="shared" si="31"/>
        <v>0.80751909005761424</v>
      </c>
      <c r="BI43" s="16">
        <f t="shared" si="32"/>
        <v>1.8514022260086467</v>
      </c>
      <c r="BJ43" s="1">
        <f t="shared" si="33"/>
        <v>0.80751909005761424</v>
      </c>
      <c r="BK43">
        <f t="shared" si="34"/>
        <v>1</v>
      </c>
      <c r="BL43" s="4">
        <f t="shared" si="35"/>
        <v>0</v>
      </c>
    </row>
    <row r="44" spans="1:70" x14ac:dyDescent="0.3">
      <c r="A44" s="3"/>
      <c r="B44">
        <v>286093</v>
      </c>
      <c r="C44">
        <v>46</v>
      </c>
      <c r="D44">
        <v>0.42399999999999999</v>
      </c>
      <c r="E44">
        <v>0.25900000000000001</v>
      </c>
      <c r="F44">
        <v>9</v>
      </c>
      <c r="G44">
        <v>-13.585000000000001</v>
      </c>
      <c r="H44">
        <v>4.4400000000000002E-2</v>
      </c>
      <c r="I44">
        <v>0.93600000000000005</v>
      </c>
      <c r="J44">
        <v>2.0899999999999999E-6</v>
      </c>
      <c r="K44">
        <v>0.73899999999999999</v>
      </c>
      <c r="L44">
        <v>0.48699999999999999</v>
      </c>
      <c r="M44">
        <v>69.045000000000002</v>
      </c>
      <c r="O44" s="3"/>
      <c r="P44" s="1">
        <f t="shared" si="23"/>
        <v>0.68265450542538131</v>
      </c>
      <c r="Q44" s="1">
        <f t="shared" si="37"/>
        <v>0.19354838709677419</v>
      </c>
      <c r="R44" s="1">
        <f t="shared" si="38"/>
        <v>0.3836734693877551</v>
      </c>
      <c r="S44" s="1">
        <f t="shared" si="12"/>
        <v>0.23694250756479412</v>
      </c>
      <c r="T44" s="1">
        <f t="shared" si="39"/>
        <v>0.81818181818181823</v>
      </c>
      <c r="U44" s="1">
        <f t="shared" si="40"/>
        <v>4.0641387656312894E-2</v>
      </c>
      <c r="V44" s="1">
        <f t="shared" si="41"/>
        <v>0.24289405684754525</v>
      </c>
      <c r="W44" s="1">
        <f t="shared" si="42"/>
        <v>0.99361939703301971</v>
      </c>
      <c r="X44" s="1">
        <f t="shared" si="43"/>
        <v>3.4717607973421925E-5</v>
      </c>
      <c r="Y44" s="1">
        <f t="shared" si="44"/>
        <v>1</v>
      </c>
      <c r="Z44" s="1">
        <f t="shared" si="45"/>
        <v>0.6192609182530795</v>
      </c>
      <c r="AA44" s="8">
        <f t="shared" si="46"/>
        <v>0</v>
      </c>
      <c r="AB44" s="1"/>
      <c r="AC44" s="15">
        <f t="shared" si="36"/>
        <v>1.95132251563279</v>
      </c>
      <c r="AD44" s="16">
        <f t="shared" si="24"/>
        <v>2.3205079680765097</v>
      </c>
      <c r="AE44" s="1">
        <f t="shared" si="25"/>
        <v>1.95132251563279</v>
      </c>
      <c r="AF44">
        <f t="shared" si="26"/>
        <v>1</v>
      </c>
      <c r="AG44">
        <f t="shared" si="27"/>
        <v>0</v>
      </c>
      <c r="AS44" s="34">
        <f t="shared" si="47"/>
        <v>1.2981132027439723</v>
      </c>
      <c r="AT44" s="16">
        <f t="shared" si="48"/>
        <v>1.9359313202699804</v>
      </c>
      <c r="AU44" s="1">
        <f t="shared" si="28"/>
        <v>1.2981132027439723</v>
      </c>
      <c r="AV44">
        <f t="shared" si="29"/>
        <v>1</v>
      </c>
      <c r="AW44" s="4">
        <f t="shared" si="30"/>
        <v>0</v>
      </c>
      <c r="BH44" s="34">
        <f t="shared" si="31"/>
        <v>1.2984587001395078</v>
      </c>
      <c r="BI44" s="16">
        <f t="shared" si="32"/>
        <v>1.9359313202699804</v>
      </c>
      <c r="BJ44" s="1">
        <f t="shared" si="33"/>
        <v>1.2984587001395078</v>
      </c>
      <c r="BK44">
        <f t="shared" si="34"/>
        <v>1</v>
      </c>
      <c r="BL44" s="4">
        <f t="shared" si="35"/>
        <v>0</v>
      </c>
    </row>
    <row r="45" spans="1:70" x14ac:dyDescent="0.3">
      <c r="A45" s="3"/>
      <c r="B45">
        <v>206268</v>
      </c>
      <c r="C45">
        <v>44</v>
      </c>
      <c r="D45">
        <v>0.68700000000000006</v>
      </c>
      <c r="E45">
        <v>0.79800000000000004</v>
      </c>
      <c r="F45">
        <v>3</v>
      </c>
      <c r="G45">
        <v>-5.548</v>
      </c>
      <c r="H45">
        <v>6.3700000000000007E-2</v>
      </c>
      <c r="I45">
        <v>0.13900000000000001</v>
      </c>
      <c r="J45">
        <v>2.0999999999999999E-5</v>
      </c>
      <c r="K45">
        <v>8.9800000000000005E-2</v>
      </c>
      <c r="L45">
        <v>0.68</v>
      </c>
      <c r="M45">
        <v>118.68600000000001</v>
      </c>
      <c r="O45" s="3"/>
      <c r="P45" s="1">
        <f t="shared" si="23"/>
        <v>0.30225831200827269</v>
      </c>
      <c r="Q45" s="1">
        <f t="shared" si="37"/>
        <v>0.12903225806451613</v>
      </c>
      <c r="R45" s="1">
        <f t="shared" si="38"/>
        <v>0.92040816326530628</v>
      </c>
      <c r="S45" s="1">
        <f t="shared" si="12"/>
        <v>0.94605972898302859</v>
      </c>
      <c r="T45" s="1">
        <f t="shared" si="39"/>
        <v>0.27272727272727271</v>
      </c>
      <c r="U45" s="1">
        <f t="shared" si="40"/>
        <v>0.85114965711980628</v>
      </c>
      <c r="V45" s="1">
        <f t="shared" si="41"/>
        <v>0.49224806201550403</v>
      </c>
      <c r="W45" s="1">
        <f t="shared" si="42"/>
        <v>0.14606263625245922</v>
      </c>
      <c r="X45" s="1">
        <f t="shared" si="43"/>
        <v>3.4883720930232559E-4</v>
      </c>
      <c r="Y45" s="1">
        <f t="shared" si="44"/>
        <v>6.5092165898617521E-2</v>
      </c>
      <c r="Z45" s="1">
        <f t="shared" si="45"/>
        <v>0.92801151815709493</v>
      </c>
      <c r="AA45" s="8">
        <f t="shared" si="46"/>
        <v>0.43103493188152864</v>
      </c>
      <c r="AB45" s="1"/>
      <c r="AC45" s="15">
        <f t="shared" si="36"/>
        <v>1.9909549374766757</v>
      </c>
      <c r="AD45" s="16">
        <f t="shared" si="24"/>
        <v>2.2349573767518107</v>
      </c>
      <c r="AE45" s="1">
        <f t="shared" si="25"/>
        <v>1.9909549374766757</v>
      </c>
      <c r="AF45">
        <f t="shared" si="26"/>
        <v>1</v>
      </c>
      <c r="AG45">
        <f t="shared" si="27"/>
        <v>0</v>
      </c>
      <c r="AS45" s="34">
        <f t="shared" si="47"/>
        <v>1.0791730629547838</v>
      </c>
      <c r="AT45" s="16">
        <f t="shared" si="48"/>
        <v>1.4642529195694804</v>
      </c>
      <c r="AU45" s="1">
        <f t="shared" si="28"/>
        <v>1.0791730629547838</v>
      </c>
      <c r="AV45">
        <f t="shared" si="29"/>
        <v>1</v>
      </c>
      <c r="AW45" s="4">
        <f t="shared" si="30"/>
        <v>0</v>
      </c>
      <c r="BH45" s="34">
        <f t="shared" si="31"/>
        <v>1.0733019616256232</v>
      </c>
      <c r="BI45" s="16">
        <f t="shared" si="32"/>
        <v>1.4642529195694804</v>
      </c>
      <c r="BJ45" s="1">
        <f t="shared" si="33"/>
        <v>1.0733019616256232</v>
      </c>
      <c r="BK45">
        <f t="shared" si="34"/>
        <v>1</v>
      </c>
      <c r="BL45" s="4">
        <f t="shared" si="35"/>
        <v>0</v>
      </c>
    </row>
    <row r="46" spans="1:70" x14ac:dyDescent="0.3">
      <c r="A46" s="3"/>
      <c r="B46">
        <v>151333</v>
      </c>
      <c r="C46">
        <v>41</v>
      </c>
      <c r="D46">
        <v>0.55500000000000005</v>
      </c>
      <c r="E46">
        <v>0.37</v>
      </c>
      <c r="F46">
        <v>10</v>
      </c>
      <c r="G46">
        <v>-9.827</v>
      </c>
      <c r="H46">
        <v>3.04E-2</v>
      </c>
      <c r="I46">
        <v>0.85099999999999998</v>
      </c>
      <c r="J46">
        <v>2.0599999999999999E-4</v>
      </c>
      <c r="K46">
        <v>0.129</v>
      </c>
      <c r="L46">
        <v>0.53300000000000003</v>
      </c>
      <c r="M46">
        <v>80.338999999999999</v>
      </c>
      <c r="O46" s="3"/>
      <c r="P46" s="1">
        <f t="shared" si="23"/>
        <v>4.0472344136442268E-2</v>
      </c>
      <c r="Q46" s="1">
        <f t="shared" si="37"/>
        <v>3.2258064516129031E-2</v>
      </c>
      <c r="R46" s="1">
        <f t="shared" si="38"/>
        <v>0.65102040816326545</v>
      </c>
      <c r="S46" s="1">
        <f t="shared" si="12"/>
        <v>0.38297592422049731</v>
      </c>
      <c r="T46" s="1">
        <f t="shared" si="39"/>
        <v>0.90909090909090906</v>
      </c>
      <c r="U46" s="1">
        <f t="shared" si="40"/>
        <v>0.41962484872932626</v>
      </c>
      <c r="V46" s="1">
        <f t="shared" si="41"/>
        <v>6.2015503875968978E-2</v>
      </c>
      <c r="W46" s="1">
        <f t="shared" si="42"/>
        <v>0.90322752166746423</v>
      </c>
      <c r="X46" s="1">
        <f t="shared" si="43"/>
        <v>3.4219269102990033E-3</v>
      </c>
      <c r="Y46" s="1">
        <f t="shared" si="44"/>
        <v>0.12154377880184332</v>
      </c>
      <c r="Z46" s="1">
        <f t="shared" si="45"/>
        <v>0.69284914413693821</v>
      </c>
      <c r="AA46" s="8">
        <f t="shared" si="46"/>
        <v>9.8066286349388257E-2</v>
      </c>
      <c r="AB46" s="1"/>
      <c r="AC46" s="15">
        <f t="shared" si="36"/>
        <v>1.7028844440607467</v>
      </c>
      <c r="AD46" s="16">
        <f t="shared" si="24"/>
        <v>2.5033341983497004</v>
      </c>
      <c r="AE46" s="1">
        <f t="shared" si="25"/>
        <v>1.7028844440607467</v>
      </c>
      <c r="AF46">
        <f t="shared" si="26"/>
        <v>1</v>
      </c>
      <c r="AG46">
        <f t="shared" si="27"/>
        <v>0</v>
      </c>
      <c r="AS46" s="34">
        <f t="shared" si="47"/>
        <v>0.82669465669974074</v>
      </c>
      <c r="AT46" s="16">
        <f t="shared" si="48"/>
        <v>1.8631572492022612</v>
      </c>
      <c r="AU46" s="1">
        <f t="shared" si="28"/>
        <v>0.82669465669974074</v>
      </c>
      <c r="AV46">
        <f t="shared" si="29"/>
        <v>1</v>
      </c>
      <c r="AW46" s="4">
        <f t="shared" si="30"/>
        <v>0</v>
      </c>
      <c r="BH46" s="34">
        <f t="shared" si="31"/>
        <v>0.82610203377975677</v>
      </c>
      <c r="BI46" s="16">
        <f t="shared" si="32"/>
        <v>1.8631572492022612</v>
      </c>
      <c r="BJ46" s="1">
        <f t="shared" si="33"/>
        <v>0.82610203377975677</v>
      </c>
      <c r="BK46">
        <f t="shared" si="34"/>
        <v>1</v>
      </c>
      <c r="BL46" s="4">
        <f t="shared" si="35"/>
        <v>0</v>
      </c>
    </row>
    <row r="47" spans="1:70" x14ac:dyDescent="0.3">
      <c r="A47" s="3"/>
      <c r="B47">
        <v>209051</v>
      </c>
      <c r="C47">
        <v>45</v>
      </c>
      <c r="D47">
        <v>0.41499999999999998</v>
      </c>
      <c r="E47">
        <v>0.59899999999999998</v>
      </c>
      <c r="F47">
        <v>2</v>
      </c>
      <c r="G47">
        <v>-5.891</v>
      </c>
      <c r="H47">
        <v>3.1800000000000002E-2</v>
      </c>
      <c r="I47">
        <v>0.219</v>
      </c>
      <c r="J47">
        <v>1.11E-6</v>
      </c>
      <c r="K47">
        <v>0.32800000000000001</v>
      </c>
      <c r="L47">
        <v>0.55300000000000005</v>
      </c>
      <c r="M47">
        <v>172.709</v>
      </c>
      <c r="O47" s="3"/>
      <c r="P47" s="1">
        <f t="shared" si="23"/>
        <v>0.3155203553064852</v>
      </c>
      <c r="Q47" s="1">
        <f t="shared" si="37"/>
        <v>0.16129032258064516</v>
      </c>
      <c r="R47" s="1">
        <f t="shared" si="38"/>
        <v>0.36530612244897959</v>
      </c>
      <c r="S47" s="1">
        <f t="shared" si="12"/>
        <v>0.68425207209577688</v>
      </c>
      <c r="T47" s="1">
        <f t="shared" si="39"/>
        <v>0.18181818181818182</v>
      </c>
      <c r="U47" s="1">
        <f t="shared" si="40"/>
        <v>0.81655909640984259</v>
      </c>
      <c r="V47" s="1">
        <f t="shared" si="41"/>
        <v>8.0103359173126623E-2</v>
      </c>
      <c r="W47" s="1">
        <f t="shared" si="42"/>
        <v>0.23113734247886425</v>
      </c>
      <c r="X47" s="1">
        <f t="shared" si="43"/>
        <v>1.8438538205980066E-5</v>
      </c>
      <c r="Y47" s="1">
        <f t="shared" si="44"/>
        <v>0.40812211981566815</v>
      </c>
      <c r="Z47" s="1">
        <f t="shared" si="45"/>
        <v>0.72484402495600719</v>
      </c>
      <c r="AA47" s="8">
        <f t="shared" si="46"/>
        <v>0.90011895768753214</v>
      </c>
      <c r="AB47" s="1"/>
      <c r="AC47" s="15">
        <f t="shared" si="36"/>
        <v>1.7288902266977622</v>
      </c>
      <c r="AD47" s="16">
        <f t="shared" si="24"/>
        <v>2.2914800084993994</v>
      </c>
      <c r="AE47" s="1">
        <f t="shared" si="25"/>
        <v>1.7288902266977622</v>
      </c>
      <c r="AF47">
        <f t="shared" si="26"/>
        <v>1</v>
      </c>
      <c r="AG47">
        <f t="shared" si="27"/>
        <v>0</v>
      </c>
      <c r="AS47" s="34">
        <f t="shared" si="47"/>
        <v>0.92934144369275296</v>
      </c>
      <c r="AT47" s="16">
        <f t="shared" si="48"/>
        <v>1.4948567625684801</v>
      </c>
      <c r="AU47" s="1">
        <f t="shared" si="28"/>
        <v>0.92934144369275296</v>
      </c>
      <c r="AV47">
        <f t="shared" si="29"/>
        <v>1</v>
      </c>
      <c r="AW47" s="4">
        <f t="shared" si="30"/>
        <v>0</v>
      </c>
      <c r="BH47" s="34">
        <f t="shared" si="31"/>
        <v>0.92979360253344412</v>
      </c>
      <c r="BI47" s="16">
        <f t="shared" si="32"/>
        <v>1.4948567625684801</v>
      </c>
      <c r="BJ47" s="1">
        <f t="shared" si="33"/>
        <v>0.92979360253344412</v>
      </c>
      <c r="BK47">
        <f t="shared" si="34"/>
        <v>1</v>
      </c>
      <c r="BL47" s="4">
        <f t="shared" si="35"/>
        <v>0</v>
      </c>
    </row>
    <row r="48" spans="1:70" x14ac:dyDescent="0.3">
      <c r="A48" s="3"/>
      <c r="B48">
        <v>211600</v>
      </c>
      <c r="C48">
        <v>42</v>
      </c>
      <c r="D48">
        <v>0.56699999999999995</v>
      </c>
      <c r="E48">
        <v>0.66500000000000004</v>
      </c>
      <c r="F48">
        <v>11</v>
      </c>
      <c r="G48">
        <v>-4.4649999999999999</v>
      </c>
      <c r="H48">
        <v>2.5600000000000001E-2</v>
      </c>
      <c r="I48">
        <v>7.1400000000000005E-2</v>
      </c>
      <c r="J48">
        <v>0</v>
      </c>
      <c r="K48">
        <v>0.17699999999999999</v>
      </c>
      <c r="L48">
        <v>0.59799999999999998</v>
      </c>
      <c r="M48">
        <v>97.814999999999998</v>
      </c>
      <c r="O48" s="3"/>
      <c r="P48" s="1">
        <f t="shared" si="23"/>
        <v>0.32766730046176501</v>
      </c>
      <c r="Q48" s="1">
        <f t="shared" si="37"/>
        <v>6.4516129032258063E-2</v>
      </c>
      <c r="R48" s="1">
        <f t="shared" si="38"/>
        <v>0.67551020408163254</v>
      </c>
      <c r="S48" s="1">
        <f t="shared" si="12"/>
        <v>0.77108275226943834</v>
      </c>
      <c r="T48" s="1">
        <f t="shared" si="39"/>
        <v>1</v>
      </c>
      <c r="U48" s="1">
        <f t="shared" si="40"/>
        <v>0.96036708350141176</v>
      </c>
      <c r="V48" s="1">
        <f t="shared" si="41"/>
        <v>0</v>
      </c>
      <c r="W48" s="1">
        <f t="shared" si="42"/>
        <v>7.4174509491146928E-2</v>
      </c>
      <c r="X48" s="1">
        <f t="shared" si="43"/>
        <v>0</v>
      </c>
      <c r="Y48" s="1">
        <f t="shared" si="44"/>
        <v>0.19066820276497695</v>
      </c>
      <c r="Z48" s="1">
        <f t="shared" si="45"/>
        <v>0.79683250679891215</v>
      </c>
      <c r="AA48" s="8">
        <f t="shared" si="46"/>
        <v>0.24981114381723932</v>
      </c>
      <c r="AB48" s="1"/>
      <c r="AC48" s="15">
        <f t="shared" si="36"/>
        <v>1.9554845039801849</v>
      </c>
      <c r="AD48" s="16">
        <f t="shared" si="24"/>
        <v>2.3669938700531246</v>
      </c>
      <c r="AE48" s="1">
        <f t="shared" si="25"/>
        <v>1.9554845039801849</v>
      </c>
      <c r="AF48">
        <f t="shared" si="26"/>
        <v>1</v>
      </c>
      <c r="AG48">
        <f t="shared" si="27"/>
        <v>0</v>
      </c>
      <c r="AS48" s="34">
        <f t="shared" si="47"/>
        <v>0.98559839361601997</v>
      </c>
      <c r="AT48" s="16">
        <f t="shared" si="48"/>
        <v>1.6367675220419731</v>
      </c>
      <c r="AU48" s="1">
        <f t="shared" si="28"/>
        <v>0.98559839361601997</v>
      </c>
      <c r="AV48">
        <f t="shared" si="29"/>
        <v>1</v>
      </c>
      <c r="AW48" s="4">
        <f t="shared" si="30"/>
        <v>0</v>
      </c>
      <c r="BH48" s="34">
        <f t="shared" si="31"/>
        <v>0.97862261712553322</v>
      </c>
      <c r="BI48" s="16">
        <f t="shared" si="32"/>
        <v>1.6367675220419731</v>
      </c>
      <c r="BJ48" s="1">
        <f t="shared" si="33"/>
        <v>0.97862261712553322</v>
      </c>
      <c r="BK48">
        <f t="shared" si="34"/>
        <v>1</v>
      </c>
      <c r="BL48" s="4">
        <f t="shared" si="35"/>
        <v>0</v>
      </c>
    </row>
    <row r="49" spans="1:77" x14ac:dyDescent="0.3">
      <c r="A49" s="3"/>
      <c r="B49">
        <v>309746</v>
      </c>
      <c r="C49">
        <v>45</v>
      </c>
      <c r="D49">
        <v>0.32</v>
      </c>
      <c r="E49">
        <v>0.438</v>
      </c>
      <c r="F49">
        <v>0</v>
      </c>
      <c r="G49">
        <v>-7.5529999999999999</v>
      </c>
      <c r="H49">
        <v>8.8999999999999996E-2</v>
      </c>
      <c r="I49">
        <v>0.70299999999999996</v>
      </c>
      <c r="J49">
        <v>1.26E-5</v>
      </c>
      <c r="K49">
        <v>0.10100000000000001</v>
      </c>
      <c r="L49">
        <v>0.46500000000000002</v>
      </c>
      <c r="M49">
        <v>184.21199999999999</v>
      </c>
      <c r="O49" s="3"/>
      <c r="P49" s="1">
        <f t="shared" si="23"/>
        <v>0.7953699600184897</v>
      </c>
      <c r="Q49" s="1">
        <f t="shared" si="37"/>
        <v>0.16129032258064516</v>
      </c>
      <c r="R49" s="1">
        <f t="shared" si="38"/>
        <v>0.17142857142857146</v>
      </c>
      <c r="S49" s="1">
        <f t="shared" si="12"/>
        <v>0.47243783712669385</v>
      </c>
      <c r="T49" s="1">
        <f t="shared" si="39"/>
        <v>0</v>
      </c>
      <c r="U49" s="1">
        <f t="shared" si="40"/>
        <v>0.64895118999596602</v>
      </c>
      <c r="V49" s="1">
        <f t="shared" si="41"/>
        <v>0.81912144702842382</v>
      </c>
      <c r="W49" s="1">
        <f t="shared" si="42"/>
        <v>0.7458393151486149</v>
      </c>
      <c r="X49" s="1">
        <f t="shared" si="43"/>
        <v>2.0930232558139536E-4</v>
      </c>
      <c r="Y49" s="1">
        <f t="shared" si="44"/>
        <v>8.1221198156682037E-2</v>
      </c>
      <c r="Z49" s="1">
        <f t="shared" si="45"/>
        <v>0.58406654935210378</v>
      </c>
      <c r="AA49" s="8">
        <f t="shared" si="46"/>
        <v>1</v>
      </c>
      <c r="AB49" s="1"/>
      <c r="AC49" s="15">
        <f t="shared" si="36"/>
        <v>1.9766936392417995</v>
      </c>
      <c r="AD49" s="16">
        <f t="shared" si="24"/>
        <v>2.2242855835291127</v>
      </c>
      <c r="AE49" s="1">
        <f t="shared" si="25"/>
        <v>1.9766936392417995</v>
      </c>
      <c r="AF49">
        <f t="shared" si="26"/>
        <v>1</v>
      </c>
      <c r="AG49">
        <f t="shared" si="27"/>
        <v>0</v>
      </c>
      <c r="AS49" s="34">
        <f t="shared" si="47"/>
        <v>1.209885569100849</v>
      </c>
      <c r="AT49" s="16">
        <f t="shared" si="48"/>
        <v>1.4223805346557925</v>
      </c>
      <c r="AU49" s="1">
        <f t="shared" si="28"/>
        <v>1.209885569100849</v>
      </c>
      <c r="AV49">
        <f t="shared" si="29"/>
        <v>1</v>
      </c>
      <c r="AW49" s="4">
        <f t="shared" si="30"/>
        <v>0</v>
      </c>
      <c r="BH49" s="34">
        <f t="shared" si="31"/>
        <v>1.2076015648978715</v>
      </c>
      <c r="BI49" s="16">
        <f t="shared" si="32"/>
        <v>1.4223805346557925</v>
      </c>
      <c r="BJ49" s="1">
        <f t="shared" si="33"/>
        <v>1.2076015648978715</v>
      </c>
      <c r="BK49">
        <f t="shared" si="34"/>
        <v>1</v>
      </c>
      <c r="BL49" s="4">
        <f t="shared" si="35"/>
        <v>0</v>
      </c>
    </row>
    <row r="50" spans="1:77" x14ac:dyDescent="0.3">
      <c r="A50" s="3"/>
      <c r="B50">
        <v>200040</v>
      </c>
      <c r="C50">
        <v>43</v>
      </c>
      <c r="D50">
        <v>0.47899999999999998</v>
      </c>
      <c r="E50">
        <v>0.502</v>
      </c>
      <c r="F50">
        <v>6</v>
      </c>
      <c r="G50">
        <v>-5.1639999999999997</v>
      </c>
      <c r="H50">
        <v>5.1900000000000002E-2</v>
      </c>
      <c r="I50">
        <v>0.223</v>
      </c>
      <c r="J50">
        <v>0</v>
      </c>
      <c r="K50">
        <v>7.9899999999999999E-2</v>
      </c>
      <c r="L50">
        <v>0.57799999999999996</v>
      </c>
      <c r="M50">
        <v>176.49</v>
      </c>
      <c r="O50" s="3"/>
      <c r="P50" s="1">
        <f t="shared" si="23"/>
        <v>0.27257954605021756</v>
      </c>
      <c r="Q50" s="1">
        <f t="shared" si="37"/>
        <v>9.6774193548387094E-2</v>
      </c>
      <c r="R50" s="1">
        <f t="shared" si="38"/>
        <v>0.49591836734693878</v>
      </c>
      <c r="S50" s="1">
        <f t="shared" si="12"/>
        <v>0.55663728456782002</v>
      </c>
      <c r="T50" s="1">
        <f t="shared" si="39"/>
        <v>0.54545454545454541</v>
      </c>
      <c r="U50" s="1">
        <f t="shared" si="40"/>
        <v>0.88987494957644209</v>
      </c>
      <c r="V50" s="1">
        <f t="shared" si="41"/>
        <v>0.33979328165374678</v>
      </c>
      <c r="W50" s="1">
        <f t="shared" si="42"/>
        <v>0.23539107779018453</v>
      </c>
      <c r="X50" s="1">
        <f t="shared" si="43"/>
        <v>0</v>
      </c>
      <c r="Y50" s="1">
        <f t="shared" si="44"/>
        <v>5.0835253456221197E-2</v>
      </c>
      <c r="Z50" s="1">
        <f t="shared" si="45"/>
        <v>0.76483762597984317</v>
      </c>
      <c r="AA50" s="8">
        <f t="shared" si="46"/>
        <v>0.93294954283779219</v>
      </c>
      <c r="AB50" s="1"/>
      <c r="AC50" s="15">
        <f t="shared" si="36"/>
        <v>1.8323938262545001</v>
      </c>
      <c r="AD50" s="16">
        <f t="shared" si="24"/>
        <v>2.2350784769155934</v>
      </c>
      <c r="AE50" s="1">
        <f t="shared" si="25"/>
        <v>1.8323938262545001</v>
      </c>
      <c r="AF50">
        <f t="shared" si="26"/>
        <v>1</v>
      </c>
      <c r="AG50">
        <f t="shared" si="27"/>
        <v>0</v>
      </c>
      <c r="AS50" s="34">
        <f t="shared" si="47"/>
        <v>0.83620969463515149</v>
      </c>
      <c r="AT50" s="16">
        <f t="shared" si="48"/>
        <v>1.3575749706580997</v>
      </c>
      <c r="AU50" s="1">
        <f t="shared" si="28"/>
        <v>0.83620969463515149</v>
      </c>
      <c r="AV50">
        <f t="shared" si="29"/>
        <v>1</v>
      </c>
      <c r="AW50" s="4">
        <f t="shared" si="30"/>
        <v>0</v>
      </c>
      <c r="BH50" s="34">
        <f t="shared" si="31"/>
        <v>0.8303171599258018</v>
      </c>
      <c r="BI50" s="16">
        <f t="shared" si="32"/>
        <v>1.3575749706580997</v>
      </c>
      <c r="BJ50" s="1">
        <f t="shared" si="33"/>
        <v>0.8303171599258018</v>
      </c>
      <c r="BK50">
        <f t="shared" si="34"/>
        <v>1</v>
      </c>
      <c r="BL50" s="4">
        <f t="shared" si="35"/>
        <v>0</v>
      </c>
    </row>
    <row r="51" spans="1:77" x14ac:dyDescent="0.3">
      <c r="A51" s="3"/>
      <c r="B51">
        <v>345026</v>
      </c>
      <c r="C51">
        <v>44</v>
      </c>
      <c r="D51">
        <v>0.38800000000000001</v>
      </c>
      <c r="E51">
        <v>0.57499999999999996</v>
      </c>
      <c r="F51">
        <v>5</v>
      </c>
      <c r="G51">
        <v>-7.2720000000000002</v>
      </c>
      <c r="H51">
        <v>2.93E-2</v>
      </c>
      <c r="I51">
        <v>0.26600000000000001</v>
      </c>
      <c r="J51">
        <v>2.2499999999999998E-3</v>
      </c>
      <c r="K51">
        <v>9.5600000000000004E-2</v>
      </c>
      <c r="L51">
        <v>0.218</v>
      </c>
      <c r="M51">
        <v>86.582999999999998</v>
      </c>
      <c r="O51" s="3"/>
      <c r="P51" s="1">
        <f t="shared" si="23"/>
        <v>0.96349244926065181</v>
      </c>
      <c r="Q51" s="1">
        <f t="shared" si="37"/>
        <v>0.12903225806451613</v>
      </c>
      <c r="R51" s="1">
        <f t="shared" si="38"/>
        <v>0.31020408163265312</v>
      </c>
      <c r="S51" s="1">
        <f t="shared" si="12"/>
        <v>0.65267727930535457</v>
      </c>
      <c r="T51" s="1">
        <f t="shared" si="39"/>
        <v>0.45454545454545453</v>
      </c>
      <c r="U51" s="1">
        <f t="shared" si="40"/>
        <v>0.67728922952803539</v>
      </c>
      <c r="V51" s="1">
        <f t="shared" si="41"/>
        <v>4.7803617571059415E-2</v>
      </c>
      <c r="W51" s="1">
        <f t="shared" si="42"/>
        <v>0.28111873238687729</v>
      </c>
      <c r="X51" s="1">
        <f t="shared" si="43"/>
        <v>3.7375415282392029E-2</v>
      </c>
      <c r="Y51" s="1">
        <f t="shared" si="44"/>
        <v>7.3444700460829501E-2</v>
      </c>
      <c r="Z51" s="1">
        <f t="shared" si="45"/>
        <v>0.18892977123660215</v>
      </c>
      <c r="AA51" s="8">
        <f t="shared" si="46"/>
        <v>0.15228320612675506</v>
      </c>
      <c r="AB51" s="1"/>
      <c r="AC51" s="15">
        <f t="shared" si="36"/>
        <v>1.5098020081593098</v>
      </c>
      <c r="AD51" s="16">
        <f t="shared" si="24"/>
        <v>2.5185530991105831</v>
      </c>
      <c r="AE51" s="1">
        <f t="shared" si="25"/>
        <v>1.5098020081593098</v>
      </c>
      <c r="AF51">
        <f t="shared" si="26"/>
        <v>1</v>
      </c>
      <c r="AG51">
        <f t="shared" si="27"/>
        <v>0</v>
      </c>
      <c r="AS51" s="34">
        <f t="shared" si="47"/>
        <v>0.83131693713896304</v>
      </c>
      <c r="AT51" s="16">
        <f t="shared" si="48"/>
        <v>1.6706039166947204</v>
      </c>
      <c r="AU51" s="1">
        <f t="shared" si="28"/>
        <v>0.83131693713896304</v>
      </c>
      <c r="AV51">
        <f t="shared" si="29"/>
        <v>1</v>
      </c>
      <c r="AW51" s="4">
        <f t="shared" si="30"/>
        <v>0</v>
      </c>
      <c r="BH51" s="34">
        <f t="shared" si="31"/>
        <v>0.83825288975586787</v>
      </c>
      <c r="BI51" s="16">
        <f t="shared" si="32"/>
        <v>1.6706039166947204</v>
      </c>
      <c r="BJ51" s="1">
        <f t="shared" si="33"/>
        <v>0.83825288975586787</v>
      </c>
      <c r="BK51">
        <f t="shared" si="34"/>
        <v>1</v>
      </c>
      <c r="BL51" s="4">
        <f t="shared" si="35"/>
        <v>0</v>
      </c>
    </row>
    <row r="52" spans="1:77" x14ac:dyDescent="0.3">
      <c r="A52" s="3"/>
      <c r="B52">
        <v>159173</v>
      </c>
      <c r="C52">
        <v>40</v>
      </c>
      <c r="D52">
        <v>0.57199999999999995</v>
      </c>
      <c r="E52">
        <v>0.191</v>
      </c>
      <c r="F52">
        <v>11</v>
      </c>
      <c r="G52">
        <v>-10.545</v>
      </c>
      <c r="H52">
        <v>3.7999999999999999E-2</v>
      </c>
      <c r="I52">
        <v>0.94</v>
      </c>
      <c r="J52">
        <v>6.2500000000000001E-5</v>
      </c>
      <c r="K52">
        <v>0.221</v>
      </c>
      <c r="L52">
        <v>0.48399999999999999</v>
      </c>
      <c r="M52">
        <v>139.797</v>
      </c>
      <c r="O52" s="3"/>
      <c r="P52" s="1">
        <f t="shared" si="23"/>
        <v>7.7832897301367193E-2</v>
      </c>
      <c r="Q52" s="1">
        <f t="shared" si="37"/>
        <v>0</v>
      </c>
      <c r="R52" s="1">
        <f t="shared" si="38"/>
        <v>0.68571428571428561</v>
      </c>
      <c r="S52" s="1">
        <f t="shared" si="12"/>
        <v>0.14748059465859756</v>
      </c>
      <c r="T52" s="1">
        <f t="shared" si="39"/>
        <v>1</v>
      </c>
      <c r="U52" s="1">
        <f t="shared" si="40"/>
        <v>0.34721661960467926</v>
      </c>
      <c r="V52" s="1">
        <f t="shared" si="41"/>
        <v>0.16020671834625322</v>
      </c>
      <c r="W52" s="1">
        <f t="shared" si="42"/>
        <v>0.99787313234433983</v>
      </c>
      <c r="X52" s="1">
        <f t="shared" si="43"/>
        <v>1.0382059800664453E-3</v>
      </c>
      <c r="Y52" s="1">
        <f t="shared" si="44"/>
        <v>0.25403225806451613</v>
      </c>
      <c r="Z52" s="1">
        <f t="shared" si="45"/>
        <v>0.61446168613021912</v>
      </c>
      <c r="AA52" s="8">
        <f t="shared" si="46"/>
        <v>0.61434265023834955</v>
      </c>
      <c r="AB52" s="1"/>
      <c r="AC52" s="15">
        <f t="shared" si="36"/>
        <v>1.8599737769002005</v>
      </c>
      <c r="AD52" s="16">
        <f t="shared" si="24"/>
        <v>2.3788872091780746</v>
      </c>
      <c r="AE52" s="1">
        <f t="shared" si="25"/>
        <v>1.8599737769002005</v>
      </c>
      <c r="AF52">
        <f t="shared" si="26"/>
        <v>1</v>
      </c>
      <c r="AG52">
        <f t="shared" si="27"/>
        <v>0</v>
      </c>
      <c r="AS52" s="34">
        <f t="shared" si="47"/>
        <v>0.90905919263524215</v>
      </c>
      <c r="AT52" s="16">
        <f t="shared" si="48"/>
        <v>1.7981516947376999</v>
      </c>
      <c r="AU52" s="1">
        <f t="shared" si="28"/>
        <v>0.90905919263524215</v>
      </c>
      <c r="AV52">
        <f t="shared" si="29"/>
        <v>1</v>
      </c>
      <c r="AW52" s="4">
        <f t="shared" si="30"/>
        <v>0</v>
      </c>
      <c r="BH52" s="34">
        <f t="shared" si="31"/>
        <v>0.90392183362341405</v>
      </c>
      <c r="BI52" s="16">
        <f t="shared" si="32"/>
        <v>1.7981516947376999</v>
      </c>
      <c r="BJ52" s="1">
        <f t="shared" si="33"/>
        <v>0.90392183362341405</v>
      </c>
      <c r="BK52">
        <f t="shared" si="34"/>
        <v>1</v>
      </c>
      <c r="BL52" s="4">
        <f t="shared" si="35"/>
        <v>0</v>
      </c>
    </row>
    <row r="53" spans="1:77" x14ac:dyDescent="0.3">
      <c r="A53" s="3"/>
      <c r="B53">
        <v>346397</v>
      </c>
      <c r="C53">
        <v>45</v>
      </c>
      <c r="D53">
        <v>0.28799999999999998</v>
      </c>
      <c r="E53">
        <v>0.18</v>
      </c>
      <c r="F53">
        <v>7</v>
      </c>
      <c r="G53">
        <v>-10.987</v>
      </c>
      <c r="H53">
        <v>4.0300000000000002E-2</v>
      </c>
      <c r="I53">
        <v>0.90500000000000003</v>
      </c>
      <c r="J53">
        <v>0</v>
      </c>
      <c r="K53">
        <v>0.159</v>
      </c>
      <c r="L53">
        <v>0.20200000000000001</v>
      </c>
      <c r="M53">
        <v>88.054000000000002</v>
      </c>
      <c r="O53" s="3"/>
      <c r="P53" s="1">
        <f t="shared" si="23"/>
        <v>0.97002578068783452</v>
      </c>
      <c r="Q53" s="1">
        <f t="shared" si="37"/>
        <v>0.16129032258064516</v>
      </c>
      <c r="R53" s="1">
        <f t="shared" si="38"/>
        <v>0.10612244897959182</v>
      </c>
      <c r="S53" s="1">
        <f t="shared" si="12"/>
        <v>0.133008814629654</v>
      </c>
      <c r="T53" s="1">
        <f t="shared" si="39"/>
        <v>0.63636363636363635</v>
      </c>
      <c r="U53" s="1">
        <f t="shared" si="40"/>
        <v>0.30264219443323914</v>
      </c>
      <c r="V53" s="1">
        <f t="shared" si="41"/>
        <v>0.18992248062015507</v>
      </c>
      <c r="W53" s="1">
        <f t="shared" si="42"/>
        <v>0.9606529483702877</v>
      </c>
      <c r="X53" s="1">
        <f t="shared" si="43"/>
        <v>0</v>
      </c>
      <c r="Y53" s="1">
        <f t="shared" si="44"/>
        <v>0.16474654377880185</v>
      </c>
      <c r="Z53" s="1">
        <f t="shared" si="45"/>
        <v>0.16333386658134699</v>
      </c>
      <c r="AA53" s="8">
        <f t="shared" si="46"/>
        <v>0.16505596221139737</v>
      </c>
      <c r="AB53" s="1"/>
      <c r="AC53" s="15">
        <f t="shared" si="36"/>
        <v>1.5913693348872802</v>
      </c>
      <c r="AD53" s="16">
        <f t="shared" si="24"/>
        <v>2.574126329756643</v>
      </c>
      <c r="AE53" s="1">
        <f t="shared" si="25"/>
        <v>1.5913693348872802</v>
      </c>
      <c r="AF53">
        <f t="shared" si="26"/>
        <v>1</v>
      </c>
      <c r="AG53">
        <f t="shared" si="27"/>
        <v>0</v>
      </c>
      <c r="AS53" s="34">
        <f t="shared" si="47"/>
        <v>1.0015158476774189</v>
      </c>
      <c r="AT53" s="16">
        <f t="shared" si="48"/>
        <v>1.8703459006611247</v>
      </c>
      <c r="AU53" s="1">
        <f t="shared" si="28"/>
        <v>1.0015158476774189</v>
      </c>
      <c r="AV53">
        <f t="shared" si="29"/>
        <v>1</v>
      </c>
      <c r="AW53" s="4">
        <f t="shared" si="30"/>
        <v>0</v>
      </c>
      <c r="BH53" s="34">
        <f t="shared" si="31"/>
        <v>1.0078660070162697</v>
      </c>
      <c r="BI53" s="16">
        <f t="shared" si="32"/>
        <v>1.8703459006611247</v>
      </c>
      <c r="BJ53" s="1">
        <f t="shared" si="33"/>
        <v>1.0078660070162697</v>
      </c>
      <c r="BK53">
        <f t="shared" si="34"/>
        <v>1</v>
      </c>
      <c r="BL53" s="4">
        <f t="shared" si="35"/>
        <v>0</v>
      </c>
    </row>
    <row r="54" spans="1:77" x14ac:dyDescent="0.3">
      <c r="A54" s="3"/>
      <c r="B54">
        <v>247133</v>
      </c>
      <c r="C54">
        <v>42</v>
      </c>
      <c r="D54">
        <v>0.40600000000000003</v>
      </c>
      <c r="E54">
        <v>0.34100000000000003</v>
      </c>
      <c r="F54">
        <v>7</v>
      </c>
      <c r="G54">
        <v>-7.7469999999999999</v>
      </c>
      <c r="H54">
        <v>3.49E-2</v>
      </c>
      <c r="I54">
        <v>0.68100000000000005</v>
      </c>
      <c r="J54">
        <v>5.6800000000000004E-4</v>
      </c>
      <c r="K54">
        <v>7.8899999999999998E-2</v>
      </c>
      <c r="L54">
        <v>0.28599999999999998</v>
      </c>
      <c r="M54">
        <v>148.654</v>
      </c>
      <c r="O54" s="3"/>
      <c r="P54" s="1">
        <f t="shared" si="23"/>
        <v>0.49699543000376467</v>
      </c>
      <c r="Q54" s="1">
        <f t="shared" si="37"/>
        <v>6.4516129032258063E-2</v>
      </c>
      <c r="R54" s="1">
        <f t="shared" si="38"/>
        <v>0.34693877551020419</v>
      </c>
      <c r="S54" s="1">
        <f t="shared" si="12"/>
        <v>0.344823049598737</v>
      </c>
      <c r="T54" s="1">
        <f t="shared" si="39"/>
        <v>0.63636363636363635</v>
      </c>
      <c r="U54" s="1">
        <f t="shared" si="40"/>
        <v>0.62938684953610324</v>
      </c>
      <c r="V54" s="1">
        <f t="shared" si="41"/>
        <v>0.12015503875968991</v>
      </c>
      <c r="W54" s="1">
        <f t="shared" si="42"/>
        <v>0.72244377093635359</v>
      </c>
      <c r="X54" s="1">
        <f t="shared" si="43"/>
        <v>9.4352159468438553E-3</v>
      </c>
      <c r="Y54" s="1">
        <f t="shared" si="44"/>
        <v>4.9395161290322578E-2</v>
      </c>
      <c r="Z54" s="1">
        <f t="shared" si="45"/>
        <v>0.29771236602143658</v>
      </c>
      <c r="AA54" s="8">
        <f t="shared" si="46"/>
        <v>0.69124836107565535</v>
      </c>
      <c r="AB54" s="1"/>
      <c r="AC54" s="15">
        <f t="shared" si="36"/>
        <v>1.5481830680597051</v>
      </c>
      <c r="AD54" s="16">
        <f t="shared" si="24"/>
        <v>2.3617881454687568</v>
      </c>
      <c r="AE54" s="1">
        <f t="shared" si="25"/>
        <v>1.5481830680597051</v>
      </c>
      <c r="AF54">
        <f t="shared" si="26"/>
        <v>1</v>
      </c>
      <c r="AG54">
        <f t="shared" si="27"/>
        <v>0</v>
      </c>
      <c r="AS54" s="34">
        <f t="shared" si="47"/>
        <v>0.4882361595348868</v>
      </c>
      <c r="AT54" s="16">
        <f t="shared" si="48"/>
        <v>1.5308391889536428</v>
      </c>
      <c r="AU54" s="1">
        <f t="shared" si="28"/>
        <v>0.4882361595348868</v>
      </c>
      <c r="AV54">
        <f t="shared" si="29"/>
        <v>1</v>
      </c>
      <c r="AW54" s="4">
        <f t="shared" si="30"/>
        <v>0</v>
      </c>
      <c r="BH54" s="34">
        <f t="shared" si="31"/>
        <v>0.48841884123127322</v>
      </c>
      <c r="BI54" s="16">
        <f t="shared" si="32"/>
        <v>1.5308391889536428</v>
      </c>
      <c r="BJ54" s="1">
        <f t="shared" si="33"/>
        <v>0.48841884123127322</v>
      </c>
      <c r="BK54">
        <f t="shared" si="34"/>
        <v>1</v>
      </c>
      <c r="BL54" s="4">
        <f t="shared" si="35"/>
        <v>0</v>
      </c>
    </row>
    <row r="55" spans="1:77" x14ac:dyDescent="0.3">
      <c r="A55" s="3"/>
      <c r="B55">
        <v>206636</v>
      </c>
      <c r="C55">
        <v>42</v>
      </c>
      <c r="D55">
        <v>0.68400000000000005</v>
      </c>
      <c r="E55">
        <v>0.53600000000000003</v>
      </c>
      <c r="F55">
        <v>5</v>
      </c>
      <c r="G55">
        <v>-7.6349999999999998</v>
      </c>
      <c r="H55">
        <v>4.02E-2</v>
      </c>
      <c r="I55">
        <v>1.65E-3</v>
      </c>
      <c r="J55">
        <v>6.0199999999999997E-2</v>
      </c>
      <c r="K55">
        <v>0.106</v>
      </c>
      <c r="L55">
        <v>0.40899999999999997</v>
      </c>
      <c r="M55">
        <v>107.98099999999999</v>
      </c>
      <c r="O55" s="3"/>
      <c r="P55" s="1">
        <f t="shared" si="23"/>
        <v>0.30401197062621815</v>
      </c>
      <c r="Q55" s="1">
        <f t="shared" si="37"/>
        <v>6.4516129032258063E-2</v>
      </c>
      <c r="R55" s="1">
        <f t="shared" si="38"/>
        <v>0.91428571428571448</v>
      </c>
      <c r="S55" s="1">
        <f t="shared" si="12"/>
        <v>0.60136824102091835</v>
      </c>
      <c r="T55" s="1">
        <f t="shared" si="39"/>
        <v>0.45454545454545453</v>
      </c>
      <c r="U55" s="1">
        <f t="shared" si="40"/>
        <v>0.64068172650262201</v>
      </c>
      <c r="V55" s="1">
        <f t="shared" si="41"/>
        <v>0.18863049095607234</v>
      </c>
      <c r="W55" s="1">
        <f t="shared" si="42"/>
        <v>0</v>
      </c>
      <c r="X55" s="1">
        <f t="shared" si="43"/>
        <v>1</v>
      </c>
      <c r="Y55" s="1">
        <f t="shared" si="44"/>
        <v>8.8421658986175114E-2</v>
      </c>
      <c r="Z55" s="1">
        <f t="shared" si="45"/>
        <v>0.49448088305871057</v>
      </c>
      <c r="AA55" s="8">
        <f t="shared" si="46"/>
        <v>0.33808295779172853</v>
      </c>
      <c r="AB55" s="1"/>
      <c r="AC55" s="15">
        <f t="shared" si="36"/>
        <v>1.8202866984964519</v>
      </c>
      <c r="AD55" s="16">
        <f t="shared" si="24"/>
        <v>2.2661405982664373</v>
      </c>
      <c r="AE55" s="1">
        <f t="shared" si="25"/>
        <v>1.8202866984964519</v>
      </c>
      <c r="AF55">
        <f t="shared" si="26"/>
        <v>1</v>
      </c>
      <c r="AG55">
        <f t="shared" si="27"/>
        <v>0</v>
      </c>
      <c r="AS55" s="34">
        <f t="shared" si="47"/>
        <v>1.2229893422578741</v>
      </c>
      <c r="AT55" s="16">
        <f t="shared" si="48"/>
        <v>1.7443891455867795</v>
      </c>
      <c r="AU55" s="1">
        <f t="shared" si="28"/>
        <v>1.2229893422578741</v>
      </c>
      <c r="AV55">
        <f t="shared" si="29"/>
        <v>1</v>
      </c>
      <c r="AW55" s="4">
        <f t="shared" si="30"/>
        <v>0</v>
      </c>
      <c r="BH55" s="34">
        <f t="shared" si="31"/>
        <v>1.2258452018483916</v>
      </c>
      <c r="BI55" s="16">
        <f t="shared" si="32"/>
        <v>1.7443891455867795</v>
      </c>
      <c r="BJ55" s="1">
        <f t="shared" si="33"/>
        <v>1.2258452018483916</v>
      </c>
      <c r="BK55">
        <f t="shared" si="34"/>
        <v>1</v>
      </c>
      <c r="BL55" s="4">
        <f t="shared" si="35"/>
        <v>0</v>
      </c>
    </row>
    <row r="56" spans="1:77" ht="15" thickBot="1" x14ac:dyDescent="0.35">
      <c r="A56" s="5"/>
      <c r="B56">
        <v>276146</v>
      </c>
      <c r="C56">
        <v>40</v>
      </c>
      <c r="D56">
        <v>0.46300000000000002</v>
      </c>
      <c r="E56">
        <v>0.248</v>
      </c>
      <c r="F56">
        <v>10</v>
      </c>
      <c r="G56">
        <v>-10.246</v>
      </c>
      <c r="H56">
        <v>4.48E-2</v>
      </c>
      <c r="I56">
        <v>0.871</v>
      </c>
      <c r="J56">
        <v>2.83E-5</v>
      </c>
      <c r="K56">
        <v>0.10299999999999999</v>
      </c>
      <c r="L56">
        <v>0.18099999999999999</v>
      </c>
      <c r="M56">
        <v>139.31</v>
      </c>
      <c r="O56" s="5"/>
      <c r="P56" s="9">
        <f t="shared" si="23"/>
        <v>0.63525330359738286</v>
      </c>
      <c r="Q56" s="9">
        <f t="shared" si="37"/>
        <v>0</v>
      </c>
      <c r="R56" s="9">
        <f t="shared" si="38"/>
        <v>0.46326530612244904</v>
      </c>
      <c r="S56" s="1">
        <f t="shared" si="12"/>
        <v>0.22247072753585054</v>
      </c>
      <c r="T56" s="9">
        <f t="shared" si="39"/>
        <v>0.90909090909090906</v>
      </c>
      <c r="U56" s="9">
        <f t="shared" si="40"/>
        <v>0.37736990722065339</v>
      </c>
      <c r="V56" s="9">
        <f t="shared" si="41"/>
        <v>0.24806201550387597</v>
      </c>
      <c r="W56" s="9">
        <f t="shared" si="42"/>
        <v>0.92449619822406559</v>
      </c>
      <c r="X56" s="9">
        <f t="shared" si="43"/>
        <v>4.7009966777408643E-4</v>
      </c>
      <c r="Y56" s="9">
        <f t="shared" si="44"/>
        <v>8.4101382488479245E-2</v>
      </c>
      <c r="Z56" s="9">
        <f t="shared" si="45"/>
        <v>0.12973924172132459</v>
      </c>
      <c r="AA56" s="10">
        <f t="shared" si="46"/>
        <v>0.61011400835308738</v>
      </c>
      <c r="AB56" s="1"/>
      <c r="AC56" s="15">
        <f t="shared" si="36"/>
        <v>1.7172308166620376</v>
      </c>
      <c r="AD56" s="16">
        <f t="shared" si="24"/>
        <v>2.3958329404701959</v>
      </c>
      <c r="AE56" s="1">
        <f t="shared" si="25"/>
        <v>1.7172308166620376</v>
      </c>
      <c r="AF56">
        <f t="shared" si="26"/>
        <v>1</v>
      </c>
      <c r="AG56">
        <f t="shared" si="27"/>
        <v>0</v>
      </c>
      <c r="AS56" s="34">
        <f t="shared" si="47"/>
        <v>0.76878029470569298</v>
      </c>
      <c r="AT56" s="16">
        <f t="shared" si="48"/>
        <v>1.6696116022259699</v>
      </c>
      <c r="AU56" s="9">
        <f t="shared" si="28"/>
        <v>0.76878029470569298</v>
      </c>
      <c r="AV56" s="6">
        <f t="shared" si="29"/>
        <v>1</v>
      </c>
      <c r="AW56" s="7">
        <f t="shared" si="30"/>
        <v>0</v>
      </c>
      <c r="BH56" s="34">
        <f t="shared" si="31"/>
        <v>0.76629910158616532</v>
      </c>
      <c r="BI56" s="16">
        <f t="shared" si="32"/>
        <v>1.6696116022259699</v>
      </c>
      <c r="BJ56" s="1">
        <f t="shared" si="33"/>
        <v>0.76629910158616532</v>
      </c>
      <c r="BK56">
        <f t="shared" si="34"/>
        <v>1</v>
      </c>
      <c r="BL56" s="4">
        <f t="shared" si="35"/>
        <v>0</v>
      </c>
    </row>
    <row r="57" spans="1:77" x14ac:dyDescent="0.3">
      <c r="AE57">
        <f>SUM(AE6:AE56)</f>
        <v>86.929696532993802</v>
      </c>
      <c r="AF57">
        <f>SUM(AF6:AF56)</f>
        <v>49</v>
      </c>
      <c r="AG57">
        <f>SUM(AG6:AG56)</f>
        <v>2</v>
      </c>
      <c r="AU57" s="1">
        <f>SUM(AU6:AU56)</f>
        <v>41.05482362115287</v>
      </c>
      <c r="AV57">
        <f>SUM(AV6:AV56)</f>
        <v>49</v>
      </c>
      <c r="AW57" s="4">
        <f>SUM(AW6:AW56)</f>
        <v>2</v>
      </c>
      <c r="BJ57" s="1">
        <f>SUM(BJ6:BJ56)</f>
        <v>41.014704846137732</v>
      </c>
      <c r="BK57">
        <f>IF(BJ57=BO5, 1, 0)</f>
        <v>0</v>
      </c>
      <c r="BY57" s="35" t="s">
        <v>24</v>
      </c>
    </row>
  </sheetData>
  <mergeCells count="3">
    <mergeCell ref="AC1:AC3"/>
    <mergeCell ref="AS1:AS3"/>
    <mergeCell ref="BH1:BH3"/>
  </mergeCells>
  <conditionalFormatting sqref="AF6:AG56 AG57">
    <cfRule type="cellIs" dxfId="27" priority="18" operator="equal">
      <formula>0</formula>
    </cfRule>
    <cfRule type="cellIs" dxfId="26" priority="19" operator="equal">
      <formula>1</formula>
    </cfRule>
  </conditionalFormatting>
  <conditionalFormatting sqref="AV6:AW57">
    <cfRule type="cellIs" dxfId="25" priority="16" operator="equal">
      <formula>0</formula>
    </cfRule>
    <cfRule type="cellIs" dxfId="24" priority="17" operator="equal">
      <formula>1</formula>
    </cfRule>
  </conditionalFormatting>
  <conditionalFormatting sqref="BJ6:BJ56">
    <cfRule type="cellIs" dxfId="23" priority="7" operator="equal">
      <formula>$BP$6</formula>
    </cfRule>
    <cfRule type="cellIs" dxfId="22" priority="9" operator="equal">
      <formula>$BN$6</formula>
    </cfRule>
  </conditionalFormatting>
  <conditionalFormatting sqref="BK6:BL56 BK57">
    <cfRule type="cellIs" dxfId="21" priority="14" operator="equal">
      <formula>0</formula>
    </cfRule>
    <cfRule type="cellIs" dxfId="20" priority="15" operator="equal">
      <formula>1</formula>
    </cfRule>
  </conditionalFormatting>
  <conditionalFormatting sqref="BN6">
    <cfRule type="cellIs" dxfId="19" priority="1" operator="equal">
      <formula>$BP$6</formula>
    </cfRule>
    <cfRule type="cellIs" dxfId="18" priority="2" operator="equal">
      <formula>$BN$6</formula>
    </cfRule>
  </conditionalFormatting>
  <conditionalFormatting sqref="BP5:BP6">
    <cfRule type="cellIs" dxfId="17" priority="3" operator="equal">
      <formula>$BP$6</formula>
    </cfRule>
    <cfRule type="cellIs" dxfId="16" priority="4" operator="equal">
      <formula>$BN$6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BK87"/>
  <sheetViews>
    <sheetView tabSelected="1" zoomScale="25" zoomScaleNormal="25" workbookViewId="0">
      <selection activeCell="B62" sqref="B62:O87"/>
    </sheetView>
  </sheetViews>
  <sheetFormatPr baseColWidth="10" defaultRowHeight="14.4" x14ac:dyDescent="0.3"/>
  <cols>
    <col min="4" max="11" width="15.44140625" bestFit="1" customWidth="1"/>
    <col min="12" max="12" width="18.109375" bestFit="1" customWidth="1"/>
    <col min="13" max="15" width="15.44140625" bestFit="1" customWidth="1"/>
  </cols>
  <sheetData>
    <row r="5" spans="3:63" ht="15" thickBot="1" x14ac:dyDescent="0.35"/>
    <row r="6" spans="3:63" x14ac:dyDescent="0.3">
      <c r="C6" s="2" t="s">
        <v>0</v>
      </c>
      <c r="D6" s="11">
        <v>0.37862347329244639</v>
      </c>
      <c r="E6" s="11">
        <v>0.22580645161290322</v>
      </c>
      <c r="F6" s="11">
        <v>0.62653061224489803</v>
      </c>
      <c r="G6" s="11">
        <v>0.32640442047099066</v>
      </c>
      <c r="H6" s="11">
        <v>0.81818181818181823</v>
      </c>
      <c r="I6" s="11">
        <v>0.72357805566760791</v>
      </c>
      <c r="J6" s="11">
        <v>0.14470284237726097</v>
      </c>
      <c r="K6" s="11">
        <v>0.83304088903068019</v>
      </c>
      <c r="L6" s="11">
        <v>0</v>
      </c>
      <c r="M6" s="11">
        <v>6.3652073732718903E-2</v>
      </c>
      <c r="N6" s="11">
        <v>0.23852183650615905</v>
      </c>
      <c r="O6" s="12">
        <v>0.57492163553795805</v>
      </c>
    </row>
    <row r="7" spans="3:63" x14ac:dyDescent="0.3">
      <c r="C7" s="3" t="s">
        <v>1</v>
      </c>
      <c r="D7" s="13">
        <v>0.42011560803823739</v>
      </c>
      <c r="E7" s="13">
        <v>0.90322580645161288</v>
      </c>
      <c r="F7" s="13">
        <v>0.54489795918367356</v>
      </c>
      <c r="G7" s="13">
        <v>0.84607288514669121</v>
      </c>
      <c r="H7" s="13">
        <v>0.81818181818181823</v>
      </c>
      <c r="I7" s="13">
        <v>0.64471561113352149</v>
      </c>
      <c r="J7" s="13">
        <v>1</v>
      </c>
      <c r="K7" s="13">
        <v>0.21624926888924337</v>
      </c>
      <c r="L7" s="13">
        <v>5.8471760797342194E-4</v>
      </c>
      <c r="M7" s="13">
        <v>5.7459677419354843E-2</v>
      </c>
      <c r="N7" s="13">
        <v>0.40649496080627101</v>
      </c>
      <c r="O7" s="14">
        <v>0.89401477853899125</v>
      </c>
    </row>
    <row r="8" spans="3:63" x14ac:dyDescent="0.3">
      <c r="C8" s="3"/>
      <c r="O8" s="4"/>
    </row>
    <row r="9" spans="3:63" x14ac:dyDescent="0.3">
      <c r="C9" s="3"/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N9" t="s">
        <v>12</v>
      </c>
      <c r="O9" s="4" t="s">
        <v>13</v>
      </c>
      <c r="Q9" t="s">
        <v>19</v>
      </c>
      <c r="R9" t="s">
        <v>20</v>
      </c>
      <c r="S9" t="s">
        <v>27</v>
      </c>
      <c r="T9" t="s">
        <v>21</v>
      </c>
      <c r="U9" t="s">
        <v>22</v>
      </c>
      <c r="W9" t="s">
        <v>19</v>
      </c>
      <c r="X9" t="s">
        <v>20</v>
      </c>
      <c r="Y9" t="s">
        <v>27</v>
      </c>
      <c r="Z9" t="s">
        <v>21</v>
      </c>
      <c r="AA9" t="s">
        <v>22</v>
      </c>
      <c r="AC9" t="s">
        <v>19</v>
      </c>
      <c r="AD9" t="s">
        <v>20</v>
      </c>
      <c r="AE9" t="s">
        <v>27</v>
      </c>
      <c r="AF9" t="s">
        <v>21</v>
      </c>
      <c r="AG9" t="s">
        <v>22</v>
      </c>
    </row>
    <row r="10" spans="3:63" x14ac:dyDescent="0.3">
      <c r="C10" s="3"/>
      <c r="D10" s="1">
        <v>0.58359662039485916</v>
      </c>
      <c r="E10" s="1">
        <v>0.64516129032258063</v>
      </c>
      <c r="F10" s="1">
        <v>0.44081632653061231</v>
      </c>
      <c r="G10" s="1">
        <v>0.32903565320352585</v>
      </c>
      <c r="H10" s="1">
        <v>0.72727272727272729</v>
      </c>
      <c r="I10" s="1">
        <v>0.16196046793061716</v>
      </c>
      <c r="J10" s="1">
        <v>0.2183462532299742</v>
      </c>
      <c r="K10" s="1">
        <v>1</v>
      </c>
      <c r="L10" s="1">
        <v>2.1262458471760802E-2</v>
      </c>
      <c r="M10" s="1">
        <v>7.6756912442396311E-2</v>
      </c>
      <c r="N10" s="1">
        <v>0.1569348904175332</v>
      </c>
      <c r="O10" s="8">
        <v>0.11914871447550075</v>
      </c>
      <c r="Q10" s="24">
        <f t="shared" ref="Q10:Q41" si="0">SQRT(
($D$6 - D10)^2 +
($E$6 -E10)^2 +
($F$6 - F10)^2 +
($G$6 - G10)^2 +
($H$6 - H10)^2 +
($I$6 - I10)^2 +
($J$6 - J10)^2 +
($K$6 - K10)^2 +
($L$6 - L10)^2 +
($M$6 - M10)^2 +
($N$6 - N10)^2 +
($O$6 - O10)^2)</f>
        <v>0.90794046045608701</v>
      </c>
      <c r="R10" s="13">
        <f t="shared" ref="R10:R41" si="1">SQRT(
($D$7 - D10)^2 +
($E$7 -E10)^2 +
($F$7 - F10)^2 +
($G$7 - G10)^2 +
($H$7 - H10)^2 +
($I$7 - I10)^2 +
($J$7 - J10)^2 +
($K$7 - K10)^2 +
($L$7 - L10)^2 +
($M$7 - M10)^2 +
($N$7 - N10)^2 +
($O$7 - O10)^2)</f>
        <v>1.5816277055706616</v>
      </c>
      <c r="S10">
        <f>MIN(Q10:R10)</f>
        <v>0.90794046045608701</v>
      </c>
      <c r="T10">
        <f>IF(S10 =Q10,1,0)</f>
        <v>1</v>
      </c>
      <c r="U10">
        <f>IF(S10 = R10, 1, 0)</f>
        <v>0</v>
      </c>
      <c r="W10" s="24">
        <f t="shared" ref="W10:W41" si="2">SQRT(
($D$62 - D10)^2 +
($E$62 -E10)^2 +
($F$62- F10)^2 +
($G$62 - G10)^2 +
($H$62 - H10)^2 +
($I$62 - I10)^2 +
($J$62 - J10)^2 +
($K$62 - K10)^2 +
($L$62 - L10)^2 +
($M$62 - M10)^2 +
($N$62 - N10)^2 +
($O$62 - O10)^2)</f>
        <v>0.81372849578403661</v>
      </c>
      <c r="X10" s="13">
        <f t="shared" ref="X10:X41" si="3">SQRT(
($D$63 - D10)^2 +
($E$63 -E10)^2 +
($F$63- F10)^2 +
($G$63 - G10)^2 +
($H$63 - H10)^2 +
($I$63 - I10)^2 +
($J$63 - J10)^2 +
($K$63 - K10)^2 +
($L$63 - L10)^2 +
($M$63 - M10)^2 +
($N$63 - N10)^2 +
($O$63 - O10)^2)</f>
        <v>1.4246299822798127</v>
      </c>
      <c r="Y10">
        <f t="shared" ref="Y10:Y41" si="4">MIN(W10:X10)</f>
        <v>0.81372849578403661</v>
      </c>
      <c r="Z10">
        <f t="shared" ref="Z10:Z41" si="5">IF(Y10 =W10,1,0)</f>
        <v>1</v>
      </c>
      <c r="AA10">
        <f t="shared" ref="AA10:AA41" si="6">IF(Y10 = X10, 1, 0)</f>
        <v>0</v>
      </c>
      <c r="AC10" s="24">
        <f t="shared" ref="AC10:AC41" si="7">SQRT(
($D$66 - D10)^2 +
($E$66 -E10)^2 +
($F$66- F10)^2 +
($G$66 - G10)^2 +
($H$66 - H10)^2 +
($I$66 - I10)^2 +
($J$66 - J10)^2 +
($K$66 - K10)^2 +
($L$66 - L10)^2 +
($M$66 - M10)^2 +
($N$66 - N10)^2 +
($O$66 - O10)^2)</f>
        <v>0.73171502474888916</v>
      </c>
      <c r="AD10" s="13">
        <f t="shared" ref="AD10:AD41" si="8">SQRT(
($D$67 - D10)^2 +
($E$67 -E10)^2 +
($F$67- F10)^2 +
($G$67 - G10)^2 +
($H$67 - H10)^2 +
($I$67 - I10)^2 +
($J$67 - J10)^2 +
($K$67 - K10)^2 +
($L$67 - L10)^2 +
($M$67 - M10)^2 +
($N$67 - N10)^2 +
($O$67 - O10)^2)</f>
        <v>1.4095194387610315</v>
      </c>
      <c r="AE10">
        <f t="shared" ref="AE10:AE41" si="9">MIN(AC10:AD10)</f>
        <v>0.73171502474888916</v>
      </c>
      <c r="AF10">
        <f t="shared" ref="AF10:AF41" si="10">IF(AE10 =AC10,1,0)</f>
        <v>1</v>
      </c>
      <c r="AG10">
        <f t="shared" ref="AG10:AG41" si="11">IF(AE10 = AD10, 1, 0)</f>
        <v>0</v>
      </c>
      <c r="AI10" s="24">
        <f t="shared" ref="AI10:AI41" si="12">SQRT(
($D$70 - D10)^2 +
($E$70 -E10)^2 +
($F$70 - F10)^2 +
($G$70 - G10)^2 +
($H$70 - H10)^2 +
($I$70 - I10)^2 +
($J$70 - J10)^2 +
($K$70 - K10)^2 +
($L$70 - L10)^2 +
($M$70 - M10)^2 +
($N$70 - N10)^2 +
($O$70 - O10)^2)</f>
        <v>0.71269166687903007</v>
      </c>
      <c r="AJ10" s="13">
        <f t="shared" ref="AJ10:AJ41" si="13">SQRT(
($D$71 - D10)^2 +
($E$71 -E10)^2 +
($F$71 - F10)^2 +
($G$71 - G10)^2 +
($H$71 - H10)^2 +
($I$71 - I10)^2 +
($J$71 - J10)^2 +
($K$71 - K10)^2 +
($L$71 - L10)^2 +
($M$71 - M10)^2 +
($N$71 - N10)^2 +
($O$71 - O10)^2)</f>
        <v>1.3709893661367643</v>
      </c>
      <c r="AK10">
        <f>MIN(AI10:AJ10)</f>
        <v>0.71269166687903007</v>
      </c>
      <c r="AL10">
        <f>IF(AK10 =AI10,1,0)</f>
        <v>1</v>
      </c>
      <c r="AM10">
        <f>IF(AK10 = AJ10, 1, 0)</f>
        <v>0</v>
      </c>
      <c r="AO10" s="24">
        <f>SQRT(
($D$74 - D10)^2 +
($E$74 -E10)^2 +
($F$74 - F10)^2 +
($G$74 - G10)^2 +
($H$74 - H10)^2 +
($I$74 - I10)^2 +
($J$74 - J10)^2 +
($K$74 - K10)^2 +
($L$74 - L10)^2 +
($M$74 - M10)^2 +
($N$74 - N10)^2 +
($O$74 - O10)^2)</f>
        <v>0.67739839805979607</v>
      </c>
      <c r="AP10" s="13">
        <f>SQRT(
($D$75 - D10)^2 +
($E$75 -E10)^2 +
($F$75 - F10)^2 +
($G$75 - G10)^2 +
($H$75 - H10)^2 +
($I$75 - I10)^2 +
($J$75 - J10)^2 +
($K$75 - K10)^2 +
($L$75 - L10)^2 +
($M$75 - M10)^2 +
($N$75 - N10)^2 +
($O$75 - O10)^2)</f>
        <v>1.3181415073313432</v>
      </c>
      <c r="AQ10">
        <f>MIN(AO10:AP10)</f>
        <v>0.67739839805979607</v>
      </c>
      <c r="AR10">
        <f>IF(AQ10 =AO10,1,0)</f>
        <v>1</v>
      </c>
      <c r="AS10">
        <f>IF(AQ10 = AP10, 1, 0)</f>
        <v>0</v>
      </c>
      <c r="AU10" s="24">
        <f>SQRT(
($D$78 - D10)^2 +
($E$78 -E10)^2 +
($F$78 - F10)^2 +
($G$78 - G10)^2 +
($H$78 - H10)^2 +
($I$78 - I10)^2 +
($J$78 - J10)^2 +
($K$78 - K10)^2 +
($L$78 - L10)^2 +
($M$78 - M10)^2 +
($N$78 - N10)^2 +
($O$78 - O10)^2)</f>
        <v>0.62661493097831122</v>
      </c>
      <c r="AV10" s="13">
        <f>SQRT(
($D$79 - D10)^2 +
($E$79 -E10)^2 +
($F$79 - F10)^2 +
($G$79 - G10)^2 +
($H$79 - H10)^2 +
($I$79 - I10)^2 +
($J$79 - J10)^2 +
($K$79 - K10)^2 +
($L$79 - L10)^2 +
($M$79 - M10)^2 +
($N$79 - N10)^2 +
($O$79 - O10)^2)</f>
        <v>1.2462574431376143</v>
      </c>
      <c r="AW10">
        <f>MIN(AU10:AV10)</f>
        <v>0.62661493097831122</v>
      </c>
      <c r="AX10">
        <f>IF(AW10 =AU10,1,0)</f>
        <v>1</v>
      </c>
      <c r="AY10">
        <f t="shared" ref="AY10:AY60" si="14">IF(AW10 = AV10, 1, 0)</f>
        <v>0</v>
      </c>
      <c r="BA10" s="24">
        <f>SQRT(
($D$82 - D10)^2 +
($E$82 -E10)^2 +
($F$82 - F10)^2 +
($G$82 - G10)^2 +
($H$82 - H10)^2 +
($I$82 - I10)^2 +
($J$82 - J10)^2 +
($K$82 - K10)^2 +
($L$82 - L10)^2 +
($M$82 - M10)^2 +
($N$82 - N10)^2 +
($O$82 - O10)^2)</f>
        <v>0.59465853342472219</v>
      </c>
      <c r="BB10" s="13">
        <f>SQRT(
($D$83 - D10)^2 +
($E$83 -E10)^2 +
($F$83 - F10)^2 +
($G$83 - G10)^2 +
($H$83 - H10)^2 +
($I$83 - I10)^2 +
($J$83 - J10)^2 +
($K$83 - K10)^2 +
($L$83 - L10)^2 +
($M$83 - M10)^2 +
($N$83 - N10)^2 +
($O$83 - O10)^2)</f>
        <v>1.2276149558987537</v>
      </c>
      <c r="BC10">
        <f>MIN(BA10:BB10)</f>
        <v>0.59465853342472219</v>
      </c>
      <c r="BD10">
        <f>IF(BC10 =BA10,1,0)</f>
        <v>1</v>
      </c>
      <c r="BE10">
        <f t="shared" ref="BE10:BE60" si="15">IF(BC10 = BB10, 1, 0)</f>
        <v>0</v>
      </c>
      <c r="BG10" s="24">
        <f>SQRT(
($D$86 - D10)^2 +
($E$86 -E10)^2 +
($F$86 - F10)^2 +
($G$86 - G10)^2 +
($H$86 - H10)^2 +
($I$86 - I10)^2 +
($J$86 - J10)^2 +
($K$86 - K10)^2 +
($L$86 - L10)^2 +
($M$86 - M10)^2 +
($N$86 - N10)^2 +
($O$86 - O10)^2)</f>
        <v>0.58812307595671021</v>
      </c>
      <c r="BH10" s="13">
        <f>SQRT(
($D$87 - D10)^2 +
($E$87 -E10)^2 +
($F$87 - F10)^2 +
($G$87 - G10)^2 +
($H$87 - H10)^2 +
($I$87 - I10)^2 +
($J$87 - J10)^2 +
($K$87 - K10)^2 +
($L$87 - L10)^2 +
($M$87 - M10)^2 +
($N$87 - N10)^2 +
($O$87 - O10)^2)</f>
        <v>1.2158504395651906</v>
      </c>
      <c r="BI10">
        <f>MIN(BG10:BH10)</f>
        <v>0.58812307595671021</v>
      </c>
      <c r="BJ10">
        <f>IF(BI10 =BG10,1,0)</f>
        <v>1</v>
      </c>
      <c r="BK10">
        <f t="shared" ref="BK10:BK60" si="16">IF(BI10 = BH10, 1, 0)</f>
        <v>0</v>
      </c>
    </row>
    <row r="11" spans="3:63" x14ac:dyDescent="0.3">
      <c r="C11" s="3"/>
      <c r="D11" s="1">
        <v>0.59954633614014019</v>
      </c>
      <c r="E11" s="1">
        <v>1</v>
      </c>
      <c r="F11" s="1">
        <v>0.12448979591836734</v>
      </c>
      <c r="G11" s="1">
        <v>1</v>
      </c>
      <c r="H11" s="1">
        <v>0.63636363636363635</v>
      </c>
      <c r="I11" s="1">
        <v>0.962081484469544</v>
      </c>
      <c r="J11" s="1">
        <v>0.76485788113695097</v>
      </c>
      <c r="K11" s="1">
        <v>0.42255543148827573</v>
      </c>
      <c r="L11" s="1">
        <v>0</v>
      </c>
      <c r="M11" s="1">
        <v>7.4740783410138248E-2</v>
      </c>
      <c r="N11" s="1">
        <v>0.32490801471764519</v>
      </c>
      <c r="O11" s="8">
        <v>0.72895881632759407</v>
      </c>
      <c r="Q11" s="24">
        <f t="shared" si="0"/>
        <v>1.4241853291578843</v>
      </c>
      <c r="R11" s="13">
        <f t="shared" si="1"/>
        <v>0.71262127928625907</v>
      </c>
      <c r="S11">
        <f t="shared" ref="S11:S60" si="17">MIN(Q11:R11)</f>
        <v>0.71262127928625907</v>
      </c>
      <c r="T11">
        <f t="shared" ref="T11:T60" si="18">IF(S11 =Q11,1,0)</f>
        <v>0</v>
      </c>
      <c r="U11">
        <f t="shared" ref="U11:U60" si="19">IF(S11 = R11, 1, 0)</f>
        <v>1</v>
      </c>
      <c r="W11" s="24">
        <f t="shared" si="2"/>
        <v>1.2644461670233154</v>
      </c>
      <c r="X11" s="13">
        <f t="shared" si="3"/>
        <v>0.82408318406340919</v>
      </c>
      <c r="Y11">
        <f t="shared" si="4"/>
        <v>0.82408318406340919</v>
      </c>
      <c r="Z11">
        <f t="shared" si="5"/>
        <v>0</v>
      </c>
      <c r="AA11">
        <f t="shared" si="6"/>
        <v>1</v>
      </c>
      <c r="AC11" s="24">
        <f t="shared" si="7"/>
        <v>1.3100212778044311</v>
      </c>
      <c r="AD11" s="13">
        <f t="shared" si="8"/>
        <v>0.99812439014818488</v>
      </c>
      <c r="AE11">
        <f t="shared" si="9"/>
        <v>0.99812439014818488</v>
      </c>
      <c r="AF11">
        <f t="shared" si="10"/>
        <v>0</v>
      </c>
      <c r="AG11">
        <f t="shared" si="11"/>
        <v>1</v>
      </c>
      <c r="AI11" s="24">
        <f t="shared" si="12"/>
        <v>1.3345638981111674</v>
      </c>
      <c r="AJ11" s="13">
        <f t="shared" si="13"/>
        <v>0.97627612183131796</v>
      </c>
      <c r="AK11">
        <f t="shared" ref="AK11:AK60" si="20">MIN(AI11:AJ11)</f>
        <v>0.97627612183131796</v>
      </c>
      <c r="AL11">
        <f t="shared" ref="AL11:AL60" si="21">IF(AK11 =AI11,1,0)</f>
        <v>0</v>
      </c>
      <c r="AM11">
        <f t="shared" ref="AM11:AM60" si="22">IF(AK11 = AJ11, 1, 0)</f>
        <v>1</v>
      </c>
      <c r="AO11" s="24">
        <f t="shared" ref="AO11:AO60" si="23">SQRT(
($D$74 - D11)^2 +
($E$74 -E11)^2 +
($F$74 - F11)^2 +
($G$74 - G11)^2 +
($H$74 - H11)^2 +
($I$74 - I11)^2 +
($J$74 - J11)^2 +
($K$74 - K11)^2 +
($L$74 - L11)^2 +
($M$74 - M11)^2 +
($N$74 - N11)^2 +
($O$74 - O11)^2)</f>
        <v>1.3378567102765131</v>
      </c>
      <c r="AP11" s="13">
        <f t="shared" ref="AP11:AP60" si="24">SQRT(
($D$75 - D11)^2 +
($E$75 -E11)^2 +
($F$75 - F11)^2 +
($G$75 - G11)^2 +
($H$75 - H11)^2 +
($I$75 - I11)^2 +
($J$75 - J11)^2 +
($K$75 - K11)^2 +
($L$75 - L11)^2 +
($M$75 - M11)^2 +
($N$75 - N11)^2 +
($O$75 - O11)^2)</f>
        <v>1.0396784461745969</v>
      </c>
      <c r="AQ11">
        <f t="shared" ref="AQ11:AQ60" si="25">MIN(AO11:AP11)</f>
        <v>1.0396784461745969</v>
      </c>
      <c r="AR11">
        <f t="shared" ref="AR11:AR60" si="26">IF(AQ11 =AO11,1,0)</f>
        <v>0</v>
      </c>
      <c r="AS11">
        <f t="shared" ref="AS11:AS60" si="27">IF(AQ11 = AP11, 1, 0)</f>
        <v>1</v>
      </c>
      <c r="AU11" s="24">
        <f t="shared" ref="AU11:AU60" si="28">SQRT(
($D$78 - D11)^2 +
($E$78 -E11)^2 +
($F$78 - F11)^2 +
($G$78 - G11)^2 +
($H$78 - H11)^2 +
($I$78 - I11)^2 +
($J$78 - J11)^2 +
($K$78 - K11)^2 +
($L$78 - L11)^2 +
($M$78 - M11)^2 +
($N$78 - N11)^2 +
($O$78 - O11)^2)</f>
        <v>1.3752132475859173</v>
      </c>
      <c r="AV11" s="13">
        <f t="shared" ref="AV11:AV60" si="29">SQRT(
($D$79 - D11)^2 +
($E$79 -E11)^2 +
($F$79 - F11)^2 +
($G$79 - G11)^2 +
($H$79 - H11)^2 +
($I$79 - I11)^2 +
($J$79 - J11)^2 +
($K$79 - K11)^2 +
($L$79 - L11)^2 +
($M$79 - M11)^2 +
($N$79 - N11)^2 +
($O$79 - O11)^2)</f>
        <v>1.0369442099847097</v>
      </c>
      <c r="AW11">
        <f t="shared" ref="AW11:AW60" si="30">MIN(AU11:AV11)</f>
        <v>1.0369442099847097</v>
      </c>
      <c r="AX11">
        <f t="shared" ref="AX11:AX60" si="31">IF(AW11 =AU11,1,0)</f>
        <v>0</v>
      </c>
      <c r="AY11">
        <f t="shared" si="14"/>
        <v>1</v>
      </c>
      <c r="BA11" s="24">
        <f t="shared" ref="BA11:BA60" si="32">SQRT(
($D$82 - D11)^2 +
($E$82 -E11)^2 +
($F$82 - F11)^2 +
($G$82 - G11)^2 +
($H$82 - H11)^2 +
($I$82 - I11)^2 +
($J$82 - J11)^2 +
($K$82 - K11)^2 +
($L$82 - L11)^2 +
($M$82 - M11)^2 +
($N$82 - N11)^2 +
($O$82 - O11)^2)</f>
        <v>1.4470172185825598</v>
      </c>
      <c r="BB11" s="13">
        <f t="shared" ref="BB11:BB60" si="33">SQRT(
($D$83 - D11)^2 +
($E$83 -E11)^2 +
($F$83 - F11)^2 +
($G$83 - G11)^2 +
($H$83 - H11)^2 +
($I$83 - I11)^2 +
($J$83 - J11)^2 +
($K$83 - K11)^2 +
($L$83 - L11)^2 +
($M$83 - M11)^2 +
($N$83 - N11)^2 +
($O$83 - O11)^2)</f>
        <v>1.0311194664074368</v>
      </c>
      <c r="BC11">
        <f t="shared" ref="BC11:BC60" si="34">MIN(BA11:BB11)</f>
        <v>1.0311194664074368</v>
      </c>
      <c r="BD11">
        <f t="shared" ref="BD11:BD60" si="35">IF(BC11 =BA11,1,0)</f>
        <v>0</v>
      </c>
      <c r="BE11">
        <f t="shared" si="15"/>
        <v>1</v>
      </c>
      <c r="BG11" s="24">
        <f t="shared" ref="BG11:BG60" si="36">SQRT(
($D$86 - D11)^2 +
($E$86 -E11)^2 +
($F$86 - F11)^2 +
($G$86 - G11)^2 +
($H$86 - H11)^2 +
($I$86 - I11)^2 +
($J$86 - J11)^2 +
($K$86 - K11)^2 +
($L$86 - L11)^2 +
($M$86 - M11)^2 +
($N$86 - N11)^2 +
($O$86 - O11)^2)</f>
        <v>1.4620241444396798</v>
      </c>
      <c r="BH11" s="13">
        <f t="shared" ref="BH11:BH60" si="37">SQRT(
($D$87 - D11)^2 +
($E$87 -E11)^2 +
($F$87 - F11)^2 +
($G$87 - G11)^2 +
($H$87 - H11)^2 +
($I$87 - I11)^2 +
($J$87 - J11)^2 +
($K$87 - K11)^2 +
($L$87 - L11)^2 +
($M$87 - M11)^2 +
($N$87 - N11)^2 +
($O$87 - O11)^2)</f>
        <v>1.0336260418721406</v>
      </c>
      <c r="BI11">
        <f t="shared" ref="BI11:BI60" si="38">MIN(BG11:BH11)</f>
        <v>1.0336260418721406</v>
      </c>
      <c r="BJ11">
        <f t="shared" ref="BJ11:BJ60" si="39">IF(BI11 =BG11,1,0)</f>
        <v>0</v>
      </c>
      <c r="BK11">
        <f t="shared" si="16"/>
        <v>1</v>
      </c>
    </row>
    <row r="12" spans="3:63" x14ac:dyDescent="0.3">
      <c r="C12" s="3"/>
      <c r="D12" s="1">
        <v>0.42011560803823739</v>
      </c>
      <c r="E12" s="1">
        <v>0.90322580645161288</v>
      </c>
      <c r="F12" s="1">
        <v>0.54489795918367356</v>
      </c>
      <c r="G12" s="1">
        <v>0.84607288514669121</v>
      </c>
      <c r="H12" s="1">
        <v>0.81818181818181823</v>
      </c>
      <c r="I12" s="1">
        <v>0.64471561113352149</v>
      </c>
      <c r="J12" s="1">
        <v>1</v>
      </c>
      <c r="K12" s="1">
        <v>0.21624926888924337</v>
      </c>
      <c r="L12" s="1">
        <v>5.8471760797342194E-4</v>
      </c>
      <c r="M12" s="1">
        <v>5.7459677419354843E-2</v>
      </c>
      <c r="N12" s="1">
        <v>0.40649496080627101</v>
      </c>
      <c r="O12" s="8">
        <v>0.89401477853899125</v>
      </c>
      <c r="Q12" s="24">
        <f t="shared" si="0"/>
        <v>1.4091118800565123</v>
      </c>
      <c r="R12" s="13">
        <f t="shared" si="1"/>
        <v>0</v>
      </c>
      <c r="S12">
        <f t="shared" si="17"/>
        <v>0</v>
      </c>
      <c r="T12">
        <f t="shared" si="18"/>
        <v>0</v>
      </c>
      <c r="U12">
        <f t="shared" si="19"/>
        <v>1</v>
      </c>
      <c r="W12" s="24">
        <f t="shared" si="2"/>
        <v>1.2568697601433585</v>
      </c>
      <c r="X12" s="13">
        <f t="shared" si="3"/>
        <v>0.75993973978125096</v>
      </c>
      <c r="Y12">
        <f t="shared" si="4"/>
        <v>0.75993973978125096</v>
      </c>
      <c r="Z12">
        <f t="shared" si="5"/>
        <v>0</v>
      </c>
      <c r="AA12">
        <f t="shared" si="6"/>
        <v>1</v>
      </c>
      <c r="AC12" s="24">
        <f t="shared" si="7"/>
        <v>1.2964021426290337</v>
      </c>
      <c r="AD12" s="13">
        <f t="shared" si="8"/>
        <v>0.99963290805308169</v>
      </c>
      <c r="AE12">
        <f t="shared" si="9"/>
        <v>0.99963290805308169</v>
      </c>
      <c r="AF12">
        <f t="shared" si="10"/>
        <v>0</v>
      </c>
      <c r="AG12">
        <f t="shared" si="11"/>
        <v>1</v>
      </c>
      <c r="AI12" s="24">
        <f t="shared" si="12"/>
        <v>1.3188619978714933</v>
      </c>
      <c r="AJ12" s="13">
        <f t="shared" si="13"/>
        <v>0.983986484175424</v>
      </c>
      <c r="AK12">
        <f t="shared" si="20"/>
        <v>0.983986484175424</v>
      </c>
      <c r="AL12">
        <f t="shared" si="21"/>
        <v>0</v>
      </c>
      <c r="AM12">
        <f t="shared" si="22"/>
        <v>1</v>
      </c>
      <c r="AO12" s="24">
        <f t="shared" si="23"/>
        <v>1.3279847427423574</v>
      </c>
      <c r="AP12" s="13">
        <f t="shared" si="24"/>
        <v>1.024855001658721</v>
      </c>
      <c r="AQ12">
        <f t="shared" si="25"/>
        <v>1.024855001658721</v>
      </c>
      <c r="AR12">
        <f t="shared" si="26"/>
        <v>0</v>
      </c>
      <c r="AS12">
        <f t="shared" si="27"/>
        <v>1</v>
      </c>
      <c r="AU12" s="24">
        <f t="shared" si="28"/>
        <v>1.3709936629226034</v>
      </c>
      <c r="AV12" s="13">
        <f t="shared" si="29"/>
        <v>1.0153415605340073</v>
      </c>
      <c r="AW12">
        <f t="shared" si="30"/>
        <v>1.0153415605340073</v>
      </c>
      <c r="AX12">
        <f t="shared" si="31"/>
        <v>0</v>
      </c>
      <c r="AY12">
        <f t="shared" si="14"/>
        <v>1</v>
      </c>
      <c r="BA12" s="24">
        <f t="shared" si="32"/>
        <v>1.4276461826448477</v>
      </c>
      <c r="BB12" s="13">
        <f t="shared" si="33"/>
        <v>1.0334758902458765</v>
      </c>
      <c r="BC12">
        <f t="shared" si="34"/>
        <v>1.0334758902458765</v>
      </c>
      <c r="BD12">
        <f t="shared" si="35"/>
        <v>0</v>
      </c>
      <c r="BE12">
        <f t="shared" si="15"/>
        <v>1</v>
      </c>
      <c r="BG12" s="24">
        <f t="shared" si="36"/>
        <v>1.4433818864762922</v>
      </c>
      <c r="BH12" s="13">
        <f t="shared" si="37"/>
        <v>1.034042112706187</v>
      </c>
      <c r="BI12">
        <f t="shared" si="38"/>
        <v>1.034042112706187</v>
      </c>
      <c r="BJ12">
        <f t="shared" si="39"/>
        <v>0</v>
      </c>
      <c r="BK12">
        <f t="shared" si="16"/>
        <v>1</v>
      </c>
    </row>
    <row r="13" spans="3:63" x14ac:dyDescent="0.3">
      <c r="C13" s="3"/>
      <c r="D13" s="1">
        <v>0.45582257549548005</v>
      </c>
      <c r="E13" s="1">
        <v>0.83870967741935487</v>
      </c>
      <c r="F13" s="1">
        <v>0.62857142857142867</v>
      </c>
      <c r="G13" s="1">
        <v>0.55400605183528484</v>
      </c>
      <c r="H13" s="1">
        <v>1</v>
      </c>
      <c r="I13" s="1">
        <v>0.57835820895522383</v>
      </c>
      <c r="J13" s="1">
        <v>5.1679586563307183E-3</v>
      </c>
      <c r="K13" s="1">
        <v>3.2806933588557456E-2</v>
      </c>
      <c r="L13" s="1">
        <v>6.2790697674418604E-5</v>
      </c>
      <c r="M13" s="1">
        <v>9.2741935483870969E-2</v>
      </c>
      <c r="N13" s="1">
        <v>0.12334026555751078</v>
      </c>
      <c r="O13" s="8">
        <v>0.21339446195524756</v>
      </c>
      <c r="Q13" s="24">
        <f t="shared" si="0"/>
        <v>1.1367597243817829</v>
      </c>
      <c r="R13" s="13">
        <f t="shared" si="1"/>
        <v>1.3050710122013069</v>
      </c>
      <c r="S13">
        <f t="shared" si="17"/>
        <v>1.1367597243817829</v>
      </c>
      <c r="T13">
        <f t="shared" si="18"/>
        <v>1</v>
      </c>
      <c r="U13">
        <f t="shared" si="19"/>
        <v>0</v>
      </c>
      <c r="W13" s="24">
        <f t="shared" si="2"/>
        <v>0.95191976830075387</v>
      </c>
      <c r="X13" s="13">
        <f t="shared" si="3"/>
        <v>1.1674527973981927</v>
      </c>
      <c r="Y13">
        <f t="shared" si="4"/>
        <v>0.95191976830075387</v>
      </c>
      <c r="Z13">
        <f t="shared" si="5"/>
        <v>1</v>
      </c>
      <c r="AA13">
        <f t="shared" si="6"/>
        <v>0</v>
      </c>
      <c r="AC13" s="24">
        <f t="shared" si="7"/>
        <v>0.93170614050802081</v>
      </c>
      <c r="AD13" s="13">
        <f t="shared" si="8"/>
        <v>1.2224478005789214</v>
      </c>
      <c r="AE13">
        <f t="shared" si="9"/>
        <v>0.93170614050802081</v>
      </c>
      <c r="AF13">
        <f t="shared" si="10"/>
        <v>1</v>
      </c>
      <c r="AG13">
        <f t="shared" si="11"/>
        <v>0</v>
      </c>
      <c r="AI13" s="24">
        <f t="shared" si="12"/>
        <v>0.9387447234263524</v>
      </c>
      <c r="AJ13" s="13">
        <f t="shared" si="13"/>
        <v>1.1812586580512496</v>
      </c>
      <c r="AK13">
        <f t="shared" si="20"/>
        <v>0.9387447234263524</v>
      </c>
      <c r="AL13">
        <f t="shared" si="21"/>
        <v>1</v>
      </c>
      <c r="AM13">
        <f t="shared" si="22"/>
        <v>0</v>
      </c>
      <c r="AO13" s="24">
        <f t="shared" si="23"/>
        <v>0.95878552435277098</v>
      </c>
      <c r="AP13" s="13">
        <f t="shared" si="24"/>
        <v>1.1067360599081235</v>
      </c>
      <c r="AQ13">
        <f t="shared" si="25"/>
        <v>0.95878552435277098</v>
      </c>
      <c r="AR13">
        <f t="shared" si="26"/>
        <v>1</v>
      </c>
      <c r="AS13">
        <f t="shared" si="27"/>
        <v>0</v>
      </c>
      <c r="AU13" s="24">
        <f t="shared" si="28"/>
        <v>1.0118445244516459</v>
      </c>
      <c r="AV13" s="13">
        <f t="shared" si="29"/>
        <v>0.9995849839392924</v>
      </c>
      <c r="AW13">
        <f t="shared" si="30"/>
        <v>0.9995849839392924</v>
      </c>
      <c r="AX13">
        <f t="shared" si="31"/>
        <v>0</v>
      </c>
      <c r="AY13">
        <f t="shared" si="14"/>
        <v>1</v>
      </c>
      <c r="BA13" s="24">
        <f t="shared" si="32"/>
        <v>1.1034832849996554</v>
      </c>
      <c r="BB13" s="13">
        <f t="shared" si="33"/>
        <v>0.92938472382208692</v>
      </c>
      <c r="BC13">
        <f t="shared" si="34"/>
        <v>0.92938472382208692</v>
      </c>
      <c r="BD13">
        <f t="shared" si="35"/>
        <v>0</v>
      </c>
      <c r="BE13">
        <f t="shared" si="15"/>
        <v>1</v>
      </c>
      <c r="BG13" s="24">
        <f t="shared" si="36"/>
        <v>1.1205041906340742</v>
      </c>
      <c r="BH13" s="13">
        <f t="shared" si="37"/>
        <v>0.92081250459908803</v>
      </c>
      <c r="BI13">
        <f t="shared" si="38"/>
        <v>0.92081250459908803</v>
      </c>
      <c r="BJ13">
        <f t="shared" si="39"/>
        <v>0</v>
      </c>
      <c r="BK13">
        <f t="shared" si="16"/>
        <v>1</v>
      </c>
    </row>
    <row r="14" spans="3:63" x14ac:dyDescent="0.3">
      <c r="C14" s="3"/>
      <c r="D14" s="1">
        <v>0.41581723827359934</v>
      </c>
      <c r="E14" s="1">
        <v>0.70967741935483875</v>
      </c>
      <c r="F14" s="1">
        <v>0.67755102040816317</v>
      </c>
      <c r="G14" s="1">
        <v>0.79871069596105781</v>
      </c>
      <c r="H14" s="1">
        <v>9.0909090909090912E-2</v>
      </c>
      <c r="I14" s="1">
        <v>0.74152884227511084</v>
      </c>
      <c r="J14" s="1">
        <v>9.5607235142118871E-2</v>
      </c>
      <c r="K14" s="1">
        <v>0.15776040835858987</v>
      </c>
      <c r="L14" s="1">
        <v>3.0066445182724255E-5</v>
      </c>
      <c r="M14" s="1">
        <v>6.2644009216589858E-2</v>
      </c>
      <c r="N14" s="1">
        <v>1</v>
      </c>
      <c r="O14" s="8">
        <v>0.89461390849809408</v>
      </c>
      <c r="Q14" s="24">
        <f t="shared" si="0"/>
        <v>1.4597622773112484</v>
      </c>
      <c r="R14" s="13">
        <f t="shared" si="1"/>
        <v>1.3301281452095044</v>
      </c>
      <c r="S14">
        <f t="shared" si="17"/>
        <v>1.3301281452095044</v>
      </c>
      <c r="T14">
        <f t="shared" si="18"/>
        <v>0</v>
      </c>
      <c r="U14">
        <f t="shared" si="19"/>
        <v>1</v>
      </c>
      <c r="W14" s="24">
        <f t="shared" si="2"/>
        <v>1.2055069132724194</v>
      </c>
      <c r="X14" s="13">
        <f t="shared" si="3"/>
        <v>0.72582540519845973</v>
      </c>
      <c r="Y14">
        <f t="shared" si="4"/>
        <v>0.72582540519845973</v>
      </c>
      <c r="Z14">
        <f t="shared" si="5"/>
        <v>0</v>
      </c>
      <c r="AA14">
        <f t="shared" si="6"/>
        <v>1</v>
      </c>
      <c r="AC14" s="24">
        <f t="shared" si="7"/>
        <v>1.2992129936277197</v>
      </c>
      <c r="AD14" s="13">
        <f t="shared" si="8"/>
        <v>0.64869277085355759</v>
      </c>
      <c r="AE14">
        <f t="shared" si="9"/>
        <v>0.64869277085355759</v>
      </c>
      <c r="AF14">
        <f t="shared" si="10"/>
        <v>0</v>
      </c>
      <c r="AG14">
        <f t="shared" si="11"/>
        <v>1</v>
      </c>
      <c r="AI14" s="24">
        <f t="shared" si="12"/>
        <v>1.3222919060108571</v>
      </c>
      <c r="AJ14" s="13">
        <f t="shared" si="13"/>
        <v>0.68900591100160213</v>
      </c>
      <c r="AK14">
        <f t="shared" si="20"/>
        <v>0.68900591100160213</v>
      </c>
      <c r="AL14">
        <f t="shared" si="21"/>
        <v>0</v>
      </c>
      <c r="AM14">
        <f t="shared" si="22"/>
        <v>1</v>
      </c>
      <c r="AO14" s="24">
        <f t="shared" si="23"/>
        <v>1.3479359971032054</v>
      </c>
      <c r="AP14" s="13">
        <f t="shared" si="24"/>
        <v>0.7520577594635327</v>
      </c>
      <c r="AQ14">
        <f t="shared" si="25"/>
        <v>0.7520577594635327</v>
      </c>
      <c r="AR14">
        <f t="shared" si="26"/>
        <v>0</v>
      </c>
      <c r="AS14">
        <f t="shared" si="27"/>
        <v>1</v>
      </c>
      <c r="AU14" s="24">
        <f t="shared" si="28"/>
        <v>1.3914858620756323</v>
      </c>
      <c r="AV14" s="13">
        <f t="shared" si="29"/>
        <v>0.81884521044628045</v>
      </c>
      <c r="AW14">
        <f t="shared" si="30"/>
        <v>0.81884521044628045</v>
      </c>
      <c r="AX14">
        <f t="shared" si="31"/>
        <v>0</v>
      </c>
      <c r="AY14">
        <f t="shared" si="14"/>
        <v>1</v>
      </c>
      <c r="BA14" s="24">
        <f t="shared" si="32"/>
        <v>1.4352196342061161</v>
      </c>
      <c r="BB14" s="13">
        <f t="shared" si="33"/>
        <v>0.88921935551387654</v>
      </c>
      <c r="BC14">
        <f t="shared" si="34"/>
        <v>0.88921935551387654</v>
      </c>
      <c r="BD14">
        <f t="shared" si="35"/>
        <v>0</v>
      </c>
      <c r="BE14">
        <f t="shared" si="15"/>
        <v>1</v>
      </c>
      <c r="BG14" s="24">
        <f t="shared" si="36"/>
        <v>1.4426469391707637</v>
      </c>
      <c r="BH14" s="13">
        <f t="shared" si="37"/>
        <v>0.91027382221057596</v>
      </c>
      <c r="BI14">
        <f t="shared" si="38"/>
        <v>0.91027382221057596</v>
      </c>
      <c r="BJ14">
        <f t="shared" si="39"/>
        <v>0</v>
      </c>
      <c r="BK14">
        <f t="shared" si="16"/>
        <v>1</v>
      </c>
    </row>
    <row r="15" spans="3:63" x14ac:dyDescent="0.3">
      <c r="C15" s="3"/>
      <c r="D15" s="1">
        <v>0.34227794536019102</v>
      </c>
      <c r="E15" s="1">
        <v>0.67741935483870963</v>
      </c>
      <c r="F15" s="1">
        <v>0.66938775510204074</v>
      </c>
      <c r="G15" s="1">
        <v>0.17116168925141428</v>
      </c>
      <c r="H15" s="1">
        <v>0.27272727272727271</v>
      </c>
      <c r="I15" s="1">
        <v>0.51089148850342869</v>
      </c>
      <c r="J15" s="1">
        <v>7.8811369509043896E-2</v>
      </c>
      <c r="K15" s="1">
        <v>0.76817142553304618</v>
      </c>
      <c r="L15" s="1">
        <v>6.6279069767441869E-4</v>
      </c>
      <c r="M15" s="1">
        <v>8.9861751152073732E-2</v>
      </c>
      <c r="N15" s="1">
        <v>0.48328267477203651</v>
      </c>
      <c r="O15" s="8">
        <v>0.34713937152135599</v>
      </c>
      <c r="Q15" s="24">
        <f t="shared" si="0"/>
        <v>0.83366554251840608</v>
      </c>
      <c r="R15" s="13">
        <f t="shared" si="1"/>
        <v>1.5174666942450665</v>
      </c>
      <c r="S15">
        <f t="shared" si="17"/>
        <v>0.83366554251840608</v>
      </c>
      <c r="T15">
        <f t="shared" si="18"/>
        <v>1</v>
      </c>
      <c r="U15">
        <f t="shared" si="19"/>
        <v>0</v>
      </c>
      <c r="W15" s="24">
        <f t="shared" si="2"/>
        <v>0.67292444979742938</v>
      </c>
      <c r="X15" s="13">
        <f t="shared" si="3"/>
        <v>1.0912455572774415</v>
      </c>
      <c r="Y15">
        <f t="shared" si="4"/>
        <v>0.67292444979742938</v>
      </c>
      <c r="Z15">
        <f t="shared" si="5"/>
        <v>1</v>
      </c>
      <c r="AA15">
        <f t="shared" si="6"/>
        <v>0</v>
      </c>
      <c r="AC15" s="24">
        <f t="shared" si="7"/>
        <v>0.67528598649116256</v>
      </c>
      <c r="AD15" s="13">
        <f t="shared" si="8"/>
        <v>1.0093753693513277</v>
      </c>
      <c r="AE15">
        <f t="shared" si="9"/>
        <v>0.67528598649116256</v>
      </c>
      <c r="AF15">
        <f t="shared" si="10"/>
        <v>1</v>
      </c>
      <c r="AG15">
        <f t="shared" si="11"/>
        <v>0</v>
      </c>
      <c r="AI15" s="24">
        <f t="shared" si="12"/>
        <v>0.6670482195547015</v>
      </c>
      <c r="AJ15" s="13">
        <f t="shared" si="13"/>
        <v>1.0002017520574507</v>
      </c>
      <c r="AK15">
        <f t="shared" si="20"/>
        <v>0.6670482195547015</v>
      </c>
      <c r="AL15">
        <f t="shared" si="21"/>
        <v>1</v>
      </c>
      <c r="AM15">
        <f t="shared" si="22"/>
        <v>0</v>
      </c>
      <c r="AO15" s="24">
        <f t="shared" si="23"/>
        <v>0.65697122394709573</v>
      </c>
      <c r="AP15" s="13">
        <f t="shared" si="24"/>
        <v>0.95977702308610535</v>
      </c>
      <c r="AQ15">
        <f t="shared" si="25"/>
        <v>0.65697122394709573</v>
      </c>
      <c r="AR15">
        <f t="shared" si="26"/>
        <v>1</v>
      </c>
      <c r="AS15">
        <f t="shared" si="27"/>
        <v>0</v>
      </c>
      <c r="AU15" s="24">
        <f t="shared" si="28"/>
        <v>0.64414704594370464</v>
      </c>
      <c r="AV15" s="13">
        <f t="shared" si="29"/>
        <v>0.9245231813628525</v>
      </c>
      <c r="AW15">
        <f t="shared" si="30"/>
        <v>0.64414704594370464</v>
      </c>
      <c r="AX15">
        <f t="shared" si="31"/>
        <v>1</v>
      </c>
      <c r="AY15">
        <f t="shared" si="14"/>
        <v>0</v>
      </c>
      <c r="BA15" s="24">
        <f t="shared" si="32"/>
        <v>0.62351498177760734</v>
      </c>
      <c r="BB15" s="13">
        <f t="shared" si="33"/>
        <v>0.94421519617951066</v>
      </c>
      <c r="BC15">
        <f t="shared" si="34"/>
        <v>0.62351498177760734</v>
      </c>
      <c r="BD15">
        <f t="shared" si="35"/>
        <v>1</v>
      </c>
      <c r="BE15">
        <f t="shared" si="15"/>
        <v>0</v>
      </c>
      <c r="BG15" s="24">
        <f t="shared" si="36"/>
        <v>0.61707397102040829</v>
      </c>
      <c r="BH15" s="13">
        <f t="shared" si="37"/>
        <v>0.94291735232714491</v>
      </c>
      <c r="BI15">
        <f t="shared" si="38"/>
        <v>0.61707397102040829</v>
      </c>
      <c r="BJ15">
        <f t="shared" si="39"/>
        <v>1</v>
      </c>
      <c r="BK15">
        <f t="shared" si="16"/>
        <v>0</v>
      </c>
    </row>
    <row r="16" spans="3:63" x14ac:dyDescent="0.3">
      <c r="C16" s="3"/>
      <c r="D16" s="1">
        <v>0.31959475236720086</v>
      </c>
      <c r="E16" s="1">
        <v>0.58064516129032262</v>
      </c>
      <c r="F16" s="1">
        <v>0.65918367346938789</v>
      </c>
      <c r="G16" s="1">
        <v>0.63557426654387594</v>
      </c>
      <c r="H16" s="1">
        <v>1</v>
      </c>
      <c r="I16" s="1">
        <v>0.83844292053247271</v>
      </c>
      <c r="J16" s="1">
        <v>8.9147286821705432E-2</v>
      </c>
      <c r="K16" s="1">
        <v>0.21412240123358325</v>
      </c>
      <c r="L16" s="1">
        <v>1.5747508305647844E-4</v>
      </c>
      <c r="M16" s="1">
        <v>0.18058755760368664</v>
      </c>
      <c r="N16" s="1">
        <v>0.52487601983682608</v>
      </c>
      <c r="O16" s="8">
        <v>0.54717931351862958</v>
      </c>
      <c r="Q16" s="24">
        <f t="shared" si="0"/>
        <v>0.86884273924941646</v>
      </c>
      <c r="R16" s="13">
        <f t="shared" si="1"/>
        <v>1.1051011223620493</v>
      </c>
      <c r="S16">
        <f t="shared" si="17"/>
        <v>0.86884273924941646</v>
      </c>
      <c r="T16">
        <f t="shared" si="18"/>
        <v>1</v>
      </c>
      <c r="U16">
        <f t="shared" si="19"/>
        <v>0</v>
      </c>
      <c r="W16" s="24">
        <f t="shared" si="2"/>
        <v>0.73107793565489132</v>
      </c>
      <c r="X16" s="13">
        <f t="shared" si="3"/>
        <v>0.86376481807044669</v>
      </c>
      <c r="Y16">
        <f t="shared" si="4"/>
        <v>0.73107793565489132</v>
      </c>
      <c r="Z16">
        <f t="shared" si="5"/>
        <v>1</v>
      </c>
      <c r="AA16">
        <f t="shared" si="6"/>
        <v>0</v>
      </c>
      <c r="AC16" s="24">
        <f t="shared" si="7"/>
        <v>0.76309704604407502</v>
      </c>
      <c r="AD16" s="13">
        <f t="shared" si="8"/>
        <v>0.83596120825236231</v>
      </c>
      <c r="AE16">
        <f t="shared" si="9"/>
        <v>0.76309704604407502</v>
      </c>
      <c r="AF16">
        <f t="shared" si="10"/>
        <v>1</v>
      </c>
      <c r="AG16">
        <f t="shared" si="11"/>
        <v>0</v>
      </c>
      <c r="AI16" s="24">
        <f t="shared" si="12"/>
        <v>0.78203645851840231</v>
      </c>
      <c r="AJ16" s="13">
        <f t="shared" si="13"/>
        <v>0.79447848151280787</v>
      </c>
      <c r="AK16">
        <f t="shared" si="20"/>
        <v>0.78203645851840231</v>
      </c>
      <c r="AL16">
        <f t="shared" si="21"/>
        <v>1</v>
      </c>
      <c r="AM16">
        <f t="shared" si="22"/>
        <v>0</v>
      </c>
      <c r="AO16" s="24">
        <f t="shared" si="23"/>
        <v>0.81273758317837719</v>
      </c>
      <c r="AP16" s="13">
        <f t="shared" si="24"/>
        <v>0.70362183832992853</v>
      </c>
      <c r="AQ16">
        <f t="shared" si="25"/>
        <v>0.70362183832992853</v>
      </c>
      <c r="AR16">
        <f t="shared" si="26"/>
        <v>0</v>
      </c>
      <c r="AS16">
        <f t="shared" si="27"/>
        <v>1</v>
      </c>
      <c r="AU16" s="24">
        <f t="shared" si="28"/>
        <v>0.88360772219916284</v>
      </c>
      <c r="AV16" s="13">
        <f t="shared" si="29"/>
        <v>0.61769226042853786</v>
      </c>
      <c r="AW16">
        <f t="shared" si="30"/>
        <v>0.61769226042853786</v>
      </c>
      <c r="AX16">
        <f t="shared" si="31"/>
        <v>0</v>
      </c>
      <c r="AY16">
        <f t="shared" si="14"/>
        <v>1</v>
      </c>
      <c r="BA16" s="24">
        <f t="shared" si="32"/>
        <v>0.97624525319719324</v>
      </c>
      <c r="BB16" s="13">
        <f t="shared" si="33"/>
        <v>0.5661826448112246</v>
      </c>
      <c r="BC16">
        <f t="shared" si="34"/>
        <v>0.5661826448112246</v>
      </c>
      <c r="BD16">
        <f t="shared" si="35"/>
        <v>0</v>
      </c>
      <c r="BE16">
        <f t="shared" si="15"/>
        <v>1</v>
      </c>
      <c r="BG16" s="24">
        <f t="shared" si="36"/>
        <v>0.99561700076904647</v>
      </c>
      <c r="BH16" s="13">
        <f t="shared" si="37"/>
        <v>0.56168273353859799</v>
      </c>
      <c r="BI16">
        <f t="shared" si="38"/>
        <v>0.56168273353859799</v>
      </c>
      <c r="BJ16">
        <f t="shared" si="39"/>
        <v>0</v>
      </c>
      <c r="BK16">
        <f t="shared" si="16"/>
        <v>1</v>
      </c>
    </row>
    <row r="17" spans="3:63" x14ac:dyDescent="0.3">
      <c r="C17" s="3"/>
      <c r="D17" s="1">
        <v>0.65063117414116001</v>
      </c>
      <c r="E17" s="1">
        <v>0.58064516129032262</v>
      </c>
      <c r="F17" s="1">
        <v>0</v>
      </c>
      <c r="G17" s="1">
        <v>0.65662412840415729</v>
      </c>
      <c r="H17" s="1">
        <v>0.63636363636363635</v>
      </c>
      <c r="I17" s="1">
        <v>0.85830980233965293</v>
      </c>
      <c r="J17" s="1">
        <v>0.19121447028423769</v>
      </c>
      <c r="K17" s="1">
        <v>0.34598819588451113</v>
      </c>
      <c r="L17" s="1">
        <v>2.4916943521594683E-3</v>
      </c>
      <c r="M17" s="1">
        <v>0.23243087557603684</v>
      </c>
      <c r="N17" s="1">
        <v>0.20332746760518317</v>
      </c>
      <c r="O17" s="8">
        <v>5.489419712243962E-2</v>
      </c>
      <c r="Q17" s="24">
        <f t="shared" si="0"/>
        <v>1.1367665493962202</v>
      </c>
      <c r="R17" s="13">
        <f t="shared" si="1"/>
        <v>1.4197414572412694</v>
      </c>
      <c r="S17">
        <f t="shared" si="17"/>
        <v>1.1367665493962202</v>
      </c>
      <c r="T17">
        <f t="shared" si="18"/>
        <v>1</v>
      </c>
      <c r="U17">
        <f t="shared" si="19"/>
        <v>0</v>
      </c>
      <c r="W17" s="24">
        <f t="shared" si="2"/>
        <v>0.88530857657507889</v>
      </c>
      <c r="X17" s="13">
        <f t="shared" si="3"/>
        <v>1.1267980701683704</v>
      </c>
      <c r="Y17">
        <f t="shared" si="4"/>
        <v>0.88530857657507889</v>
      </c>
      <c r="Z17">
        <f t="shared" si="5"/>
        <v>1</v>
      </c>
      <c r="AA17">
        <f t="shared" si="6"/>
        <v>0</v>
      </c>
      <c r="AC17" s="24">
        <f t="shared" si="7"/>
        <v>0.89932915603718411</v>
      </c>
      <c r="AD17" s="13">
        <f t="shared" si="8"/>
        <v>1.0750755413967694</v>
      </c>
      <c r="AE17">
        <f t="shared" si="9"/>
        <v>0.89932915603718411</v>
      </c>
      <c r="AF17">
        <f t="shared" si="10"/>
        <v>1</v>
      </c>
      <c r="AG17">
        <f t="shared" si="11"/>
        <v>0</v>
      </c>
      <c r="AI17" s="24">
        <f t="shared" si="12"/>
        <v>0.91159156407035391</v>
      </c>
      <c r="AJ17" s="13">
        <f t="shared" si="13"/>
        <v>1.036013476322146</v>
      </c>
      <c r="AK17">
        <f t="shared" si="20"/>
        <v>0.91159156407035391</v>
      </c>
      <c r="AL17">
        <f t="shared" si="21"/>
        <v>1</v>
      </c>
      <c r="AM17">
        <f t="shared" si="22"/>
        <v>0</v>
      </c>
      <c r="AO17" s="24">
        <f t="shared" si="23"/>
        <v>0.92232998357485585</v>
      </c>
      <c r="AP17" s="13">
        <f t="shared" si="24"/>
        <v>1.0009327604524307</v>
      </c>
      <c r="AQ17">
        <f t="shared" si="25"/>
        <v>0.92232998357485585</v>
      </c>
      <c r="AR17">
        <f t="shared" si="26"/>
        <v>1</v>
      </c>
      <c r="AS17">
        <f t="shared" si="27"/>
        <v>0</v>
      </c>
      <c r="AU17" s="24">
        <f t="shared" si="28"/>
        <v>0.95598127027797841</v>
      </c>
      <c r="AV17" s="13">
        <f t="shared" si="29"/>
        <v>0.93223521961122713</v>
      </c>
      <c r="AW17">
        <f t="shared" si="30"/>
        <v>0.93223521961122713</v>
      </c>
      <c r="AX17">
        <f t="shared" si="31"/>
        <v>0</v>
      </c>
      <c r="AY17">
        <f t="shared" si="14"/>
        <v>1</v>
      </c>
      <c r="BA17" s="24">
        <f t="shared" si="32"/>
        <v>1.0476959941477526</v>
      </c>
      <c r="BB17" s="13">
        <f t="shared" si="33"/>
        <v>0.86300184371214439</v>
      </c>
      <c r="BC17">
        <f t="shared" si="34"/>
        <v>0.86300184371214439</v>
      </c>
      <c r="BD17">
        <f t="shared" si="35"/>
        <v>0</v>
      </c>
      <c r="BE17">
        <f t="shared" si="15"/>
        <v>1</v>
      </c>
      <c r="BG17" s="24">
        <f t="shared" si="36"/>
        <v>1.0657686915546047</v>
      </c>
      <c r="BH17" s="13">
        <f t="shared" si="37"/>
        <v>0.85353119619694973</v>
      </c>
      <c r="BI17">
        <f t="shared" si="38"/>
        <v>0.85353119619694973</v>
      </c>
      <c r="BJ17">
        <f t="shared" si="39"/>
        <v>0</v>
      </c>
      <c r="BK17">
        <f t="shared" si="16"/>
        <v>1</v>
      </c>
    </row>
    <row r="18" spans="3:63" x14ac:dyDescent="0.3">
      <c r="C18" s="3"/>
      <c r="D18" s="1">
        <v>0.30225354663159348</v>
      </c>
      <c r="E18" s="1">
        <v>0.58064516129032262</v>
      </c>
      <c r="F18" s="1">
        <v>0.75510204081632648</v>
      </c>
      <c r="G18" s="1">
        <v>0.32508880410472307</v>
      </c>
      <c r="H18" s="1">
        <v>0.90909090909090906</v>
      </c>
      <c r="I18" s="1">
        <v>0.39905203711173848</v>
      </c>
      <c r="J18" s="1">
        <v>4.9095607235142093E-2</v>
      </c>
      <c r="K18" s="1">
        <v>0.8925931833891636</v>
      </c>
      <c r="L18" s="1">
        <v>0</v>
      </c>
      <c r="M18" s="1">
        <v>0.13594470046082952</v>
      </c>
      <c r="N18" s="1">
        <v>0.50247960326347785</v>
      </c>
      <c r="O18" s="8">
        <v>0.19607179139857778</v>
      </c>
      <c r="Q18" s="24">
        <f t="shared" si="0"/>
        <v>0.70211905564138954</v>
      </c>
      <c r="R18" s="13">
        <f t="shared" si="1"/>
        <v>1.538288959097134</v>
      </c>
      <c r="S18">
        <f t="shared" si="17"/>
        <v>0.70211905564138954</v>
      </c>
      <c r="T18">
        <f t="shared" si="18"/>
        <v>1</v>
      </c>
      <c r="U18">
        <f t="shared" si="19"/>
        <v>0</v>
      </c>
      <c r="W18" s="24">
        <f t="shared" si="2"/>
        <v>0.66813868742634575</v>
      </c>
      <c r="X18" s="13">
        <f t="shared" si="3"/>
        <v>1.2941804383834794</v>
      </c>
      <c r="Y18">
        <f t="shared" si="4"/>
        <v>0.66813868742634575</v>
      </c>
      <c r="Z18">
        <f t="shared" si="5"/>
        <v>1</v>
      </c>
      <c r="AA18">
        <f t="shared" si="6"/>
        <v>0</v>
      </c>
      <c r="AC18" s="24">
        <f t="shared" si="7"/>
        <v>0.59534155875791828</v>
      </c>
      <c r="AD18" s="13">
        <f t="shared" si="8"/>
        <v>1.2575449005024963</v>
      </c>
      <c r="AE18">
        <f t="shared" si="9"/>
        <v>0.59534155875791828</v>
      </c>
      <c r="AF18">
        <f t="shared" si="10"/>
        <v>1</v>
      </c>
      <c r="AG18">
        <f t="shared" si="11"/>
        <v>0</v>
      </c>
      <c r="AI18" s="24">
        <f t="shared" si="12"/>
        <v>0.57198098394630625</v>
      </c>
      <c r="AJ18" s="13">
        <f t="shared" si="13"/>
        <v>1.2280851084239095</v>
      </c>
      <c r="AK18">
        <f t="shared" si="20"/>
        <v>0.57198098394630625</v>
      </c>
      <c r="AL18">
        <f t="shared" si="21"/>
        <v>1</v>
      </c>
      <c r="AM18">
        <f t="shared" si="22"/>
        <v>0</v>
      </c>
      <c r="AO18" s="24">
        <f t="shared" si="23"/>
        <v>0.56009241395375631</v>
      </c>
      <c r="AP18" s="13">
        <f t="shared" si="24"/>
        <v>1.140845037773462</v>
      </c>
      <c r="AQ18">
        <f t="shared" si="25"/>
        <v>0.56009241395375631</v>
      </c>
      <c r="AR18">
        <f t="shared" si="26"/>
        <v>1</v>
      </c>
      <c r="AS18">
        <f t="shared" si="27"/>
        <v>0</v>
      </c>
      <c r="AU18" s="24">
        <f t="shared" si="28"/>
        <v>0.55164998784681307</v>
      </c>
      <c r="AV18" s="13">
        <f t="shared" si="29"/>
        <v>1.0586658586843842</v>
      </c>
      <c r="AW18">
        <f t="shared" si="30"/>
        <v>0.55164998784681307</v>
      </c>
      <c r="AX18">
        <f t="shared" si="31"/>
        <v>1</v>
      </c>
      <c r="AY18">
        <f t="shared" si="14"/>
        <v>0</v>
      </c>
      <c r="BA18" s="24">
        <f t="shared" si="32"/>
        <v>0.53703008351051573</v>
      </c>
      <c r="BB18" s="13">
        <f t="shared" si="33"/>
        <v>1.0454703514702708</v>
      </c>
      <c r="BC18">
        <f t="shared" si="34"/>
        <v>0.53703008351051573</v>
      </c>
      <c r="BD18">
        <f t="shared" si="35"/>
        <v>1</v>
      </c>
      <c r="BE18">
        <f t="shared" si="15"/>
        <v>0</v>
      </c>
      <c r="BG18" s="24">
        <f t="shared" si="36"/>
        <v>0.53748556441465445</v>
      </c>
      <c r="BH18" s="13">
        <f t="shared" si="37"/>
        <v>1.0342467596812439</v>
      </c>
      <c r="BI18">
        <f t="shared" si="38"/>
        <v>0.53748556441465445</v>
      </c>
      <c r="BJ18">
        <f t="shared" si="39"/>
        <v>1</v>
      </c>
      <c r="BK18">
        <f t="shared" si="16"/>
        <v>0</v>
      </c>
    </row>
    <row r="19" spans="3:63" x14ac:dyDescent="0.3">
      <c r="C19" s="3"/>
      <c r="D19" s="1">
        <v>4.8158896719991233E-2</v>
      </c>
      <c r="E19" s="1">
        <v>0.41935483870967744</v>
      </c>
      <c r="F19" s="1">
        <v>0.82040816326530619</v>
      </c>
      <c r="G19" s="1">
        <v>0.49085646625444018</v>
      </c>
      <c r="H19" s="1">
        <v>0.81818181818181823</v>
      </c>
      <c r="I19" s="1">
        <v>0.44090359015732145</v>
      </c>
      <c r="J19" s="1">
        <v>5.2971576227390176E-2</v>
      </c>
      <c r="K19" s="1">
        <v>0.6448131015047589</v>
      </c>
      <c r="L19" s="1">
        <v>0.95847176079734231</v>
      </c>
      <c r="M19" s="1">
        <v>9.7062211981566823E-2</v>
      </c>
      <c r="N19" s="1">
        <v>0.38569828827387626</v>
      </c>
      <c r="O19" s="8">
        <v>0.26969531202514613</v>
      </c>
      <c r="Q19" s="24">
        <f t="shared" si="0"/>
        <v>1.1703240335098408</v>
      </c>
      <c r="R19" s="13">
        <f t="shared" si="1"/>
        <v>1.7337704188807848</v>
      </c>
      <c r="S19">
        <f t="shared" si="17"/>
        <v>1.1703240335098408</v>
      </c>
      <c r="T19">
        <f t="shared" si="18"/>
        <v>1</v>
      </c>
      <c r="U19">
        <f t="shared" si="19"/>
        <v>0</v>
      </c>
      <c r="W19" s="24">
        <f t="shared" si="2"/>
        <v>1.0717551156272407</v>
      </c>
      <c r="X19" s="13">
        <f t="shared" si="3"/>
        <v>1.4942261551173108</v>
      </c>
      <c r="Y19">
        <f t="shared" si="4"/>
        <v>1.0717551156272407</v>
      </c>
      <c r="Z19">
        <f t="shared" si="5"/>
        <v>1</v>
      </c>
      <c r="AA19">
        <f t="shared" si="6"/>
        <v>0</v>
      </c>
      <c r="AC19" s="24">
        <f t="shared" si="7"/>
        <v>1.0416446973229079</v>
      </c>
      <c r="AD19" s="13">
        <f t="shared" si="8"/>
        <v>1.4542870165055504</v>
      </c>
      <c r="AE19">
        <f t="shared" si="9"/>
        <v>1.0416446973229079</v>
      </c>
      <c r="AF19">
        <f t="shared" si="10"/>
        <v>1</v>
      </c>
      <c r="AG19">
        <f t="shared" si="11"/>
        <v>0</v>
      </c>
      <c r="AI19" s="24">
        <f t="shared" si="12"/>
        <v>1.0314489585689901</v>
      </c>
      <c r="AJ19" s="13">
        <f t="shared" si="13"/>
        <v>1.4332185867789349</v>
      </c>
      <c r="AK19">
        <f t="shared" si="20"/>
        <v>1.0314489585689901</v>
      </c>
      <c r="AL19">
        <f t="shared" si="21"/>
        <v>1</v>
      </c>
      <c r="AM19">
        <f t="shared" si="22"/>
        <v>0</v>
      </c>
      <c r="AO19" s="24">
        <f t="shared" si="23"/>
        <v>1.0610421830274022</v>
      </c>
      <c r="AP19" s="13">
        <f t="shared" si="24"/>
        <v>1.3142202530896967</v>
      </c>
      <c r="AQ19">
        <f t="shared" si="25"/>
        <v>1.0610421830274022</v>
      </c>
      <c r="AR19">
        <f t="shared" si="26"/>
        <v>1</v>
      </c>
      <c r="AS19">
        <f t="shared" si="27"/>
        <v>0</v>
      </c>
      <c r="AU19" s="24">
        <f t="shared" si="28"/>
        <v>1.0760100170881421</v>
      </c>
      <c r="AV19" s="13">
        <f t="shared" si="29"/>
        <v>1.2550591030756837</v>
      </c>
      <c r="AW19">
        <f t="shared" si="30"/>
        <v>1.0760100170881421</v>
      </c>
      <c r="AX19">
        <f t="shared" si="31"/>
        <v>1</v>
      </c>
      <c r="AY19">
        <f t="shared" si="14"/>
        <v>0</v>
      </c>
      <c r="BA19" s="24">
        <f t="shared" si="32"/>
        <v>1.0805027283673729</v>
      </c>
      <c r="BB19" s="13">
        <f t="shared" si="33"/>
        <v>1.2514897586432043</v>
      </c>
      <c r="BC19">
        <f t="shared" si="34"/>
        <v>1.0805027283673729</v>
      </c>
      <c r="BD19">
        <f t="shared" si="35"/>
        <v>1</v>
      </c>
      <c r="BE19">
        <f t="shared" si="15"/>
        <v>0</v>
      </c>
      <c r="BG19" s="24">
        <f t="shared" si="36"/>
        <v>1.0848548926474393</v>
      </c>
      <c r="BH19" s="13">
        <f t="shared" si="37"/>
        <v>1.2449206503000547</v>
      </c>
      <c r="BI19">
        <f t="shared" si="38"/>
        <v>1.0848548926474393</v>
      </c>
      <c r="BJ19">
        <f t="shared" si="39"/>
        <v>1</v>
      </c>
      <c r="BK19">
        <f t="shared" si="16"/>
        <v>0</v>
      </c>
    </row>
    <row r="20" spans="3:63" x14ac:dyDescent="0.3">
      <c r="C20" s="3"/>
      <c r="D20" s="1">
        <v>0.33186083193946064</v>
      </c>
      <c r="E20" s="1">
        <v>0.54838709677419351</v>
      </c>
      <c r="F20" s="1">
        <v>0.64897959183673481</v>
      </c>
      <c r="G20" s="1">
        <v>0.51453756084725699</v>
      </c>
      <c r="H20" s="1">
        <v>0.72727272727272729</v>
      </c>
      <c r="I20" s="1">
        <v>0.744655102864058</v>
      </c>
      <c r="J20" s="1">
        <v>0.37726098191214474</v>
      </c>
      <c r="K20" s="1">
        <v>0.81708938161322919</v>
      </c>
      <c r="L20" s="1">
        <v>4.3189368770764125E-5</v>
      </c>
      <c r="M20" s="1">
        <v>8.8421658986175114E-2</v>
      </c>
      <c r="N20" s="1">
        <v>0.39369700847864342</v>
      </c>
      <c r="O20" s="8">
        <v>0.2305608377399776</v>
      </c>
      <c r="Q20" s="24">
        <f t="shared" si="0"/>
        <v>0.59031070065558577</v>
      </c>
      <c r="R20" s="13">
        <f t="shared" si="1"/>
        <v>1.2094655927843554</v>
      </c>
      <c r="S20">
        <f t="shared" si="17"/>
        <v>0.59031070065558577</v>
      </c>
      <c r="T20">
        <f t="shared" si="18"/>
        <v>1</v>
      </c>
      <c r="U20">
        <f t="shared" si="19"/>
        <v>0</v>
      </c>
      <c r="W20" s="24">
        <f t="shared" si="2"/>
        <v>0.51139322177628943</v>
      </c>
      <c r="X20" s="13">
        <f t="shared" si="3"/>
        <v>0.93062516766410042</v>
      </c>
      <c r="Y20">
        <f t="shared" si="4"/>
        <v>0.51139322177628943</v>
      </c>
      <c r="Z20">
        <f t="shared" si="5"/>
        <v>1</v>
      </c>
      <c r="AA20">
        <f t="shared" si="6"/>
        <v>0</v>
      </c>
      <c r="AC20" s="24">
        <f t="shared" si="7"/>
        <v>0.48499291499859104</v>
      </c>
      <c r="AD20" s="13">
        <f t="shared" si="8"/>
        <v>0.93493708478403081</v>
      </c>
      <c r="AE20">
        <f t="shared" si="9"/>
        <v>0.48499291499859104</v>
      </c>
      <c r="AF20">
        <f t="shared" si="10"/>
        <v>1</v>
      </c>
      <c r="AG20">
        <f t="shared" si="11"/>
        <v>0</v>
      </c>
      <c r="AI20" s="24">
        <f t="shared" si="12"/>
        <v>0.47768905491138247</v>
      </c>
      <c r="AJ20" s="13">
        <f t="shared" si="13"/>
        <v>0.91225027336923858</v>
      </c>
      <c r="AK20">
        <f t="shared" si="20"/>
        <v>0.47768905491138247</v>
      </c>
      <c r="AL20">
        <f t="shared" si="21"/>
        <v>1</v>
      </c>
      <c r="AM20">
        <f t="shared" si="22"/>
        <v>0</v>
      </c>
      <c r="AO20" s="24">
        <f t="shared" si="23"/>
        <v>0.47420132803909393</v>
      </c>
      <c r="AP20" s="13">
        <f t="shared" si="24"/>
        <v>0.83934386473983225</v>
      </c>
      <c r="AQ20">
        <f t="shared" si="25"/>
        <v>0.47420132803909393</v>
      </c>
      <c r="AR20">
        <f t="shared" si="26"/>
        <v>1</v>
      </c>
      <c r="AS20">
        <f t="shared" si="27"/>
        <v>0</v>
      </c>
      <c r="AU20" s="24">
        <f t="shared" si="28"/>
        <v>0.50216640171794102</v>
      </c>
      <c r="AV20" s="13">
        <f t="shared" si="29"/>
        <v>0.76213785059798989</v>
      </c>
      <c r="AW20">
        <f t="shared" si="30"/>
        <v>0.50216640171794102</v>
      </c>
      <c r="AX20">
        <f t="shared" si="31"/>
        <v>1</v>
      </c>
      <c r="AY20">
        <f t="shared" si="14"/>
        <v>0</v>
      </c>
      <c r="BA20" s="24">
        <f t="shared" si="32"/>
        <v>0.55149373961510162</v>
      </c>
      <c r="BB20" s="13">
        <f t="shared" si="33"/>
        <v>0.74325134231212509</v>
      </c>
      <c r="BC20">
        <f t="shared" si="34"/>
        <v>0.55149373961510162</v>
      </c>
      <c r="BD20">
        <f t="shared" si="35"/>
        <v>1</v>
      </c>
      <c r="BE20">
        <f t="shared" si="15"/>
        <v>0</v>
      </c>
      <c r="BG20" s="24">
        <f t="shared" si="36"/>
        <v>0.56873219240448813</v>
      </c>
      <c r="BH20" s="13">
        <f t="shared" si="37"/>
        <v>0.72921838233908143</v>
      </c>
      <c r="BI20">
        <f t="shared" si="38"/>
        <v>0.56873219240448813</v>
      </c>
      <c r="BJ20">
        <f t="shared" si="39"/>
        <v>1</v>
      </c>
      <c r="BK20">
        <f t="shared" si="16"/>
        <v>0</v>
      </c>
    </row>
    <row r="21" spans="3:63" x14ac:dyDescent="0.3">
      <c r="C21" s="3"/>
      <c r="D21" s="1">
        <v>0.46846511982539663</v>
      </c>
      <c r="E21" s="1">
        <v>0.45161290322580644</v>
      </c>
      <c r="F21" s="1">
        <v>0.69591836734693868</v>
      </c>
      <c r="G21" s="1">
        <v>0.5934745428233128</v>
      </c>
      <c r="H21" s="1">
        <v>0.63636363636363635</v>
      </c>
      <c r="I21" s="1">
        <v>0.73003227107704716</v>
      </c>
      <c r="J21" s="1">
        <v>7.2351421188630458E-2</v>
      </c>
      <c r="K21" s="1">
        <v>0.57675333652363492</v>
      </c>
      <c r="L21" s="1">
        <v>5.4651162790697672E-5</v>
      </c>
      <c r="M21" s="1">
        <v>8.4101382488479245E-2</v>
      </c>
      <c r="N21" s="1">
        <v>0.19212925931850905</v>
      </c>
      <c r="O21" s="8">
        <v>0.14262766243802483</v>
      </c>
      <c r="Q21" s="24">
        <f t="shared" si="0"/>
        <v>0.65472685855966684</v>
      </c>
      <c r="R21" s="13">
        <f t="shared" si="1"/>
        <v>1.3910363553006062</v>
      </c>
      <c r="S21">
        <f t="shared" si="17"/>
        <v>0.65472685855966684</v>
      </c>
      <c r="T21">
        <f t="shared" si="18"/>
        <v>1</v>
      </c>
      <c r="U21">
        <f t="shared" si="19"/>
        <v>0</v>
      </c>
      <c r="W21" s="24">
        <f t="shared" si="2"/>
        <v>0.49237221405586323</v>
      </c>
      <c r="X21" s="13">
        <f t="shared" si="3"/>
        <v>0.99844945144773323</v>
      </c>
      <c r="Y21">
        <f t="shared" si="4"/>
        <v>0.49237221405586323</v>
      </c>
      <c r="Z21">
        <f t="shared" si="5"/>
        <v>1</v>
      </c>
      <c r="AA21">
        <f t="shared" si="6"/>
        <v>0</v>
      </c>
      <c r="AC21" s="24">
        <f t="shared" si="7"/>
        <v>0.46880106965333096</v>
      </c>
      <c r="AD21" s="13">
        <f t="shared" si="8"/>
        <v>0.9538847749361582</v>
      </c>
      <c r="AE21">
        <f t="shared" si="9"/>
        <v>0.46880106965333096</v>
      </c>
      <c r="AF21">
        <f t="shared" si="10"/>
        <v>1</v>
      </c>
      <c r="AG21">
        <f t="shared" si="11"/>
        <v>0</v>
      </c>
      <c r="AI21" s="24">
        <f t="shared" si="12"/>
        <v>0.46488189873081759</v>
      </c>
      <c r="AJ21" s="13">
        <f t="shared" si="13"/>
        <v>0.92209042036974842</v>
      </c>
      <c r="AK21">
        <f t="shared" si="20"/>
        <v>0.46488189873081759</v>
      </c>
      <c r="AL21">
        <f t="shared" si="21"/>
        <v>1</v>
      </c>
      <c r="AM21">
        <f t="shared" si="22"/>
        <v>0</v>
      </c>
      <c r="AO21" s="24">
        <f t="shared" si="23"/>
        <v>0.48133562482182107</v>
      </c>
      <c r="AP21" s="13">
        <f t="shared" si="24"/>
        <v>0.82724675270963199</v>
      </c>
      <c r="AQ21">
        <f t="shared" si="25"/>
        <v>0.48133562482182107</v>
      </c>
      <c r="AR21">
        <f t="shared" si="26"/>
        <v>1</v>
      </c>
      <c r="AS21">
        <f t="shared" si="27"/>
        <v>0</v>
      </c>
      <c r="AU21" s="24">
        <f t="shared" si="28"/>
        <v>0.52808062860456573</v>
      </c>
      <c r="AV21" s="13">
        <f t="shared" si="29"/>
        <v>0.73080077702796631</v>
      </c>
      <c r="AW21">
        <f t="shared" si="30"/>
        <v>0.52808062860456573</v>
      </c>
      <c r="AX21">
        <f t="shared" si="31"/>
        <v>1</v>
      </c>
      <c r="AY21">
        <f t="shared" si="14"/>
        <v>0</v>
      </c>
      <c r="BA21" s="24">
        <f t="shared" si="32"/>
        <v>0.62148255797580654</v>
      </c>
      <c r="BB21" s="13">
        <f t="shared" si="33"/>
        <v>0.67136365734516745</v>
      </c>
      <c r="BC21">
        <f t="shared" si="34"/>
        <v>0.62148255797580654</v>
      </c>
      <c r="BD21">
        <f t="shared" si="35"/>
        <v>1</v>
      </c>
      <c r="BE21">
        <f t="shared" si="15"/>
        <v>0</v>
      </c>
      <c r="BG21" s="24">
        <f t="shared" si="36"/>
        <v>0.64174478738174323</v>
      </c>
      <c r="BH21" s="13">
        <f t="shared" si="37"/>
        <v>0.65641554106960975</v>
      </c>
      <c r="BI21">
        <f t="shared" si="38"/>
        <v>0.64174478738174323</v>
      </c>
      <c r="BJ21">
        <f t="shared" si="39"/>
        <v>1</v>
      </c>
      <c r="BK21">
        <f t="shared" si="16"/>
        <v>0</v>
      </c>
    </row>
    <row r="22" spans="3:63" x14ac:dyDescent="0.3">
      <c r="C22" s="3"/>
      <c r="D22" s="1">
        <v>0.20199478667791296</v>
      </c>
      <c r="E22" s="1">
        <v>0.41935483870967744</v>
      </c>
      <c r="F22" s="1">
        <v>0.37346938775510202</v>
      </c>
      <c r="G22" s="1">
        <v>0.25009867122747009</v>
      </c>
      <c r="H22" s="1">
        <v>0.63636363636363635</v>
      </c>
      <c r="I22" s="1">
        <v>0.46389673255344893</v>
      </c>
      <c r="J22" s="1">
        <v>0.12919896640826872</v>
      </c>
      <c r="K22" s="1">
        <v>0.66395491040569998</v>
      </c>
      <c r="L22" s="1">
        <v>3.0398671096345517E-4</v>
      </c>
      <c r="M22" s="1">
        <v>0.1028225806451613</v>
      </c>
      <c r="N22" s="1">
        <v>8.3346664533674605E-2</v>
      </c>
      <c r="O22" s="8">
        <v>0.45716220792414491</v>
      </c>
      <c r="Q22" s="24">
        <f t="shared" si="0"/>
        <v>0.5543689554356086</v>
      </c>
      <c r="R22" s="13">
        <f t="shared" si="1"/>
        <v>1.4099970872911047</v>
      </c>
      <c r="S22">
        <f t="shared" si="17"/>
        <v>0.5543689554356086</v>
      </c>
      <c r="T22">
        <f t="shared" si="18"/>
        <v>1</v>
      </c>
      <c r="U22">
        <f t="shared" si="19"/>
        <v>0</v>
      </c>
      <c r="W22" s="24">
        <f t="shared" si="2"/>
        <v>0.47386692300396077</v>
      </c>
      <c r="X22" s="13">
        <f t="shared" si="3"/>
        <v>1.1877784983418249</v>
      </c>
      <c r="Y22">
        <f t="shared" si="4"/>
        <v>0.47386692300396077</v>
      </c>
      <c r="Z22">
        <f t="shared" si="5"/>
        <v>1</v>
      </c>
      <c r="AA22">
        <f t="shared" si="6"/>
        <v>0</v>
      </c>
      <c r="AC22" s="24">
        <f t="shared" si="7"/>
        <v>0.43229971739654266</v>
      </c>
      <c r="AD22" s="13">
        <f t="shared" si="8"/>
        <v>1.0690518860354332</v>
      </c>
      <c r="AE22">
        <f t="shared" si="9"/>
        <v>0.43229971739654266</v>
      </c>
      <c r="AF22">
        <f t="shared" si="10"/>
        <v>1</v>
      </c>
      <c r="AG22">
        <f t="shared" si="11"/>
        <v>0</v>
      </c>
      <c r="AI22" s="24">
        <f t="shared" si="12"/>
        <v>0.43136075743026342</v>
      </c>
      <c r="AJ22" s="13">
        <f t="shared" si="13"/>
        <v>1.0168569285846312</v>
      </c>
      <c r="AK22">
        <f t="shared" si="20"/>
        <v>0.43136075743026342</v>
      </c>
      <c r="AL22">
        <f t="shared" si="21"/>
        <v>1</v>
      </c>
      <c r="AM22">
        <f t="shared" si="22"/>
        <v>0</v>
      </c>
      <c r="AO22" s="24">
        <f t="shared" si="23"/>
        <v>0.40423112248053777</v>
      </c>
      <c r="AP22" s="13">
        <f t="shared" si="24"/>
        <v>0.95174870144437762</v>
      </c>
      <c r="AQ22">
        <f t="shared" si="25"/>
        <v>0.40423112248053777</v>
      </c>
      <c r="AR22">
        <f t="shared" si="26"/>
        <v>1</v>
      </c>
      <c r="AS22">
        <f t="shared" si="27"/>
        <v>0</v>
      </c>
      <c r="AU22" s="24">
        <f t="shared" si="28"/>
        <v>0.3990700531149512</v>
      </c>
      <c r="AV22" s="13">
        <f t="shared" si="29"/>
        <v>0.88339205477241167</v>
      </c>
      <c r="AW22">
        <f t="shared" si="30"/>
        <v>0.3990700531149512</v>
      </c>
      <c r="AX22">
        <f t="shared" si="31"/>
        <v>1</v>
      </c>
      <c r="AY22">
        <f t="shared" si="14"/>
        <v>0</v>
      </c>
      <c r="BA22" s="24">
        <f t="shared" si="32"/>
        <v>0.41628559075007449</v>
      </c>
      <c r="BB22" s="13">
        <f t="shared" si="33"/>
        <v>0.86154278082157254</v>
      </c>
      <c r="BC22">
        <f t="shared" si="34"/>
        <v>0.41628559075007449</v>
      </c>
      <c r="BD22">
        <f t="shared" si="35"/>
        <v>1</v>
      </c>
      <c r="BE22">
        <f t="shared" si="15"/>
        <v>0</v>
      </c>
      <c r="BG22" s="24">
        <f t="shared" si="36"/>
        <v>0.41872363397880374</v>
      </c>
      <c r="BH22" s="13">
        <f t="shared" si="37"/>
        <v>0.85248556139124121</v>
      </c>
      <c r="BI22">
        <f t="shared" si="38"/>
        <v>0.41872363397880374</v>
      </c>
      <c r="BJ22">
        <f t="shared" si="39"/>
        <v>1</v>
      </c>
      <c r="BK22">
        <f t="shared" si="16"/>
        <v>0</v>
      </c>
    </row>
    <row r="23" spans="3:63" x14ac:dyDescent="0.3">
      <c r="C23" s="3"/>
      <c r="D23" s="1">
        <v>0.55620523524281973</v>
      </c>
      <c r="E23" s="1">
        <v>0.4838709677419355</v>
      </c>
      <c r="F23" s="1">
        <v>0.24081632653061225</v>
      </c>
      <c r="G23" s="1">
        <v>0.16721484015261148</v>
      </c>
      <c r="H23" s="1">
        <v>0</v>
      </c>
      <c r="I23" s="1">
        <v>0.22075433642597822</v>
      </c>
      <c r="J23" s="1">
        <v>0.14082687338501287</v>
      </c>
      <c r="K23" s="1">
        <v>0.82666028606369979</v>
      </c>
      <c r="L23" s="1">
        <v>3.4883720930232562E-3</v>
      </c>
      <c r="M23" s="1">
        <v>7.3876728110599074E-2</v>
      </c>
      <c r="N23" s="1">
        <v>0.16333386658134699</v>
      </c>
      <c r="O23" s="8">
        <v>0.60790851546015801</v>
      </c>
      <c r="Q23" s="24">
        <f t="shared" si="0"/>
        <v>1.0960914205388612</v>
      </c>
      <c r="R23" s="13">
        <f t="shared" si="1"/>
        <v>1.6878683407400825</v>
      </c>
      <c r="S23">
        <f t="shared" si="17"/>
        <v>1.0960914205388612</v>
      </c>
      <c r="T23">
        <f t="shared" si="18"/>
        <v>1</v>
      </c>
      <c r="U23">
        <f t="shared" si="19"/>
        <v>0</v>
      </c>
      <c r="W23" s="24">
        <f t="shared" si="2"/>
        <v>0.93918127636278492</v>
      </c>
      <c r="X23" s="13">
        <f t="shared" si="3"/>
        <v>1.3611041664914489</v>
      </c>
      <c r="Y23">
        <f t="shared" si="4"/>
        <v>0.93918127636278492</v>
      </c>
      <c r="Z23">
        <f t="shared" si="5"/>
        <v>1</v>
      </c>
      <c r="AA23">
        <f t="shared" si="6"/>
        <v>0</v>
      </c>
      <c r="AC23" s="24">
        <f t="shared" si="7"/>
        <v>0.95176462174425458</v>
      </c>
      <c r="AD23" s="13">
        <f t="shared" si="8"/>
        <v>1.2160721150608291</v>
      </c>
      <c r="AE23">
        <f t="shared" si="9"/>
        <v>0.95176462174425458</v>
      </c>
      <c r="AF23">
        <f t="shared" si="10"/>
        <v>1</v>
      </c>
      <c r="AG23">
        <f t="shared" si="11"/>
        <v>0</v>
      </c>
      <c r="AI23" s="24">
        <f t="shared" si="12"/>
        <v>0.95529158352419974</v>
      </c>
      <c r="AJ23" s="13">
        <f t="shared" si="13"/>
        <v>1.1861075869063475</v>
      </c>
      <c r="AK23">
        <f t="shared" si="20"/>
        <v>0.95529158352419974</v>
      </c>
      <c r="AL23">
        <f t="shared" si="21"/>
        <v>1</v>
      </c>
      <c r="AM23">
        <f t="shared" si="22"/>
        <v>0</v>
      </c>
      <c r="AO23" s="24">
        <f t="shared" si="23"/>
        <v>0.92994184248490097</v>
      </c>
      <c r="AP23" s="13">
        <f t="shared" si="24"/>
        <v>1.1928736904607768</v>
      </c>
      <c r="AQ23">
        <f t="shared" si="25"/>
        <v>0.92994184248490097</v>
      </c>
      <c r="AR23">
        <f t="shared" si="26"/>
        <v>1</v>
      </c>
      <c r="AS23">
        <f t="shared" si="27"/>
        <v>0</v>
      </c>
      <c r="AU23" s="24">
        <f t="shared" si="28"/>
        <v>0.88869140788790979</v>
      </c>
      <c r="AV23" s="13">
        <f t="shared" si="29"/>
        <v>1.1930862354878269</v>
      </c>
      <c r="AW23">
        <f t="shared" si="30"/>
        <v>0.88869140788790979</v>
      </c>
      <c r="AX23">
        <f t="shared" si="31"/>
        <v>1</v>
      </c>
      <c r="AY23">
        <f t="shared" si="14"/>
        <v>0</v>
      </c>
      <c r="BA23" s="24">
        <f t="shared" si="32"/>
        <v>0.85028070866959382</v>
      </c>
      <c r="BB23" s="13">
        <f t="shared" si="33"/>
        <v>1.2149614902918724</v>
      </c>
      <c r="BC23">
        <f t="shared" si="34"/>
        <v>0.85028070866959382</v>
      </c>
      <c r="BD23">
        <f t="shared" si="35"/>
        <v>1</v>
      </c>
      <c r="BE23">
        <f t="shared" si="15"/>
        <v>0</v>
      </c>
      <c r="BG23" s="24">
        <f t="shared" si="36"/>
        <v>0.83690877538639386</v>
      </c>
      <c r="BH23" s="13">
        <f t="shared" si="37"/>
        <v>1.2160674578627861</v>
      </c>
      <c r="BI23">
        <f t="shared" si="38"/>
        <v>0.83690877538639386</v>
      </c>
      <c r="BJ23">
        <f t="shared" si="39"/>
        <v>1</v>
      </c>
      <c r="BK23">
        <f t="shared" si="16"/>
        <v>0</v>
      </c>
    </row>
    <row r="24" spans="3:63" x14ac:dyDescent="0.3">
      <c r="C24" s="3"/>
      <c r="D24" s="1">
        <v>0.20291450437699848</v>
      </c>
      <c r="E24" s="1">
        <v>0.38709677419354838</v>
      </c>
      <c r="F24" s="1">
        <v>0.18571428571428578</v>
      </c>
      <c r="G24" s="1">
        <v>0.11722141823444285</v>
      </c>
      <c r="H24" s="1">
        <v>0.81818181818181823</v>
      </c>
      <c r="I24" s="1">
        <v>0</v>
      </c>
      <c r="J24" s="1">
        <v>0.31395348837209303</v>
      </c>
      <c r="K24" s="1">
        <v>0.96809698516509823</v>
      </c>
      <c r="L24" s="1">
        <v>0.40697674418604657</v>
      </c>
      <c r="M24" s="1">
        <v>7.5892857142857137E-2</v>
      </c>
      <c r="N24" s="1">
        <v>0</v>
      </c>
      <c r="O24" s="8">
        <v>6.7154653676834472E-2</v>
      </c>
      <c r="Q24" s="24">
        <f t="shared" si="0"/>
        <v>1.1601361068590119</v>
      </c>
      <c r="R24" s="13">
        <f t="shared" si="1"/>
        <v>1.8546767842221514</v>
      </c>
      <c r="S24">
        <f t="shared" si="17"/>
        <v>1.1601361068590119</v>
      </c>
      <c r="T24">
        <f t="shared" si="18"/>
        <v>1</v>
      </c>
      <c r="U24">
        <f t="shared" si="19"/>
        <v>0</v>
      </c>
      <c r="W24" s="24">
        <f t="shared" si="2"/>
        <v>1.0889192664466814</v>
      </c>
      <c r="X24" s="13">
        <f t="shared" si="3"/>
        <v>1.7718317771525052</v>
      </c>
      <c r="Y24">
        <f t="shared" si="4"/>
        <v>1.0889192664466814</v>
      </c>
      <c r="Z24">
        <f t="shared" si="5"/>
        <v>1</v>
      </c>
      <c r="AA24">
        <f t="shared" si="6"/>
        <v>0</v>
      </c>
      <c r="AC24" s="24">
        <f t="shared" si="7"/>
        <v>1.0087489703649051</v>
      </c>
      <c r="AD24" s="13">
        <f t="shared" si="8"/>
        <v>1.7109744247586995</v>
      </c>
      <c r="AE24">
        <f t="shared" si="9"/>
        <v>1.0087489703649051</v>
      </c>
      <c r="AF24">
        <f t="shared" si="10"/>
        <v>1</v>
      </c>
      <c r="AG24">
        <f t="shared" si="11"/>
        <v>0</v>
      </c>
      <c r="AI24" s="24">
        <f t="shared" si="12"/>
        <v>0.98901937093465941</v>
      </c>
      <c r="AJ24" s="13">
        <f t="shared" si="13"/>
        <v>1.6687280895038343</v>
      </c>
      <c r="AK24">
        <f t="shared" si="20"/>
        <v>0.98901937093465941</v>
      </c>
      <c r="AL24">
        <f t="shared" si="21"/>
        <v>1</v>
      </c>
      <c r="AM24">
        <f t="shared" si="22"/>
        <v>0</v>
      </c>
      <c r="AO24" s="24">
        <f t="shared" si="23"/>
        <v>0.96845889613677039</v>
      </c>
      <c r="AP24" s="13">
        <f t="shared" si="24"/>
        <v>1.5963105311801553</v>
      </c>
      <c r="AQ24">
        <f t="shared" si="25"/>
        <v>0.96845889613677039</v>
      </c>
      <c r="AR24">
        <f t="shared" si="26"/>
        <v>1</v>
      </c>
      <c r="AS24">
        <f t="shared" si="27"/>
        <v>0</v>
      </c>
      <c r="AU24" s="24">
        <f t="shared" si="28"/>
        <v>0.92321817928740224</v>
      </c>
      <c r="AV24" s="13">
        <f t="shared" si="29"/>
        <v>1.5268637078396419</v>
      </c>
      <c r="AW24">
        <f t="shared" si="30"/>
        <v>0.92321817928740224</v>
      </c>
      <c r="AX24">
        <f t="shared" si="31"/>
        <v>1</v>
      </c>
      <c r="AY24">
        <f t="shared" si="14"/>
        <v>0</v>
      </c>
      <c r="BA24" s="24">
        <f t="shared" si="32"/>
        <v>0.87107184119583425</v>
      </c>
      <c r="BB24" s="13">
        <f t="shared" si="33"/>
        <v>1.5119554296740472</v>
      </c>
      <c r="BC24">
        <f t="shared" si="34"/>
        <v>0.87107184119583425</v>
      </c>
      <c r="BD24">
        <f t="shared" si="35"/>
        <v>1</v>
      </c>
      <c r="BE24">
        <f t="shared" si="15"/>
        <v>0</v>
      </c>
      <c r="BG24" s="24">
        <f t="shared" si="36"/>
        <v>0.8629263677697252</v>
      </c>
      <c r="BH24" s="13">
        <f t="shared" si="37"/>
        <v>1.4996533214325194</v>
      </c>
      <c r="BI24">
        <f t="shared" si="38"/>
        <v>0.8629263677697252</v>
      </c>
      <c r="BJ24">
        <f t="shared" si="39"/>
        <v>1</v>
      </c>
      <c r="BK24">
        <f t="shared" si="16"/>
        <v>0</v>
      </c>
    </row>
    <row r="25" spans="3:63" x14ac:dyDescent="0.3">
      <c r="C25" s="3"/>
      <c r="D25" s="1">
        <v>0.32801993833602577</v>
      </c>
      <c r="E25" s="1">
        <v>0.35483870967741937</v>
      </c>
      <c r="F25" s="1">
        <v>0.38571428571428573</v>
      </c>
      <c r="G25" s="1">
        <v>0.23562689119852653</v>
      </c>
      <c r="H25" s="1">
        <v>0.54545454545454541</v>
      </c>
      <c r="I25" s="1">
        <v>0.47035094796288823</v>
      </c>
      <c r="J25" s="1">
        <v>0.13436692506459944</v>
      </c>
      <c r="K25" s="1">
        <v>0.78093263146700698</v>
      </c>
      <c r="L25" s="1">
        <v>0</v>
      </c>
      <c r="M25" s="1">
        <v>4.1474654377880192E-2</v>
      </c>
      <c r="N25" s="1">
        <v>0.33770596704527278</v>
      </c>
      <c r="O25" s="8">
        <v>0.81374004706209246</v>
      </c>
      <c r="Q25" s="24">
        <f t="shared" si="0"/>
        <v>0.54234020940508043</v>
      </c>
      <c r="R25" s="13">
        <f t="shared" si="1"/>
        <v>1.3753533059514804</v>
      </c>
      <c r="S25">
        <f t="shared" si="17"/>
        <v>0.54234020940508043</v>
      </c>
      <c r="T25">
        <f t="shared" si="18"/>
        <v>1</v>
      </c>
      <c r="U25">
        <f t="shared" si="19"/>
        <v>0</v>
      </c>
      <c r="W25" s="24">
        <f t="shared" si="2"/>
        <v>0.53476024223597796</v>
      </c>
      <c r="X25" s="13">
        <f t="shared" si="3"/>
        <v>1.1279211707783698</v>
      </c>
      <c r="Y25">
        <f t="shared" si="4"/>
        <v>0.53476024223597796</v>
      </c>
      <c r="Z25">
        <f t="shared" si="5"/>
        <v>1</v>
      </c>
      <c r="AA25">
        <f t="shared" si="6"/>
        <v>0</v>
      </c>
      <c r="AC25" s="24">
        <f t="shared" si="7"/>
        <v>0.55469701287293782</v>
      </c>
      <c r="AD25" s="13">
        <f t="shared" si="8"/>
        <v>0.94731977293760872</v>
      </c>
      <c r="AE25">
        <f t="shared" si="9"/>
        <v>0.55469701287293782</v>
      </c>
      <c r="AF25">
        <f t="shared" si="10"/>
        <v>1</v>
      </c>
      <c r="AG25">
        <f t="shared" si="11"/>
        <v>0</v>
      </c>
      <c r="AI25" s="24">
        <f t="shared" si="12"/>
        <v>0.56845705075654485</v>
      </c>
      <c r="AJ25" s="13">
        <f t="shared" si="13"/>
        <v>0.89294087962344482</v>
      </c>
      <c r="AK25">
        <f t="shared" si="20"/>
        <v>0.56845705075654485</v>
      </c>
      <c r="AL25">
        <f t="shared" si="21"/>
        <v>1</v>
      </c>
      <c r="AM25">
        <f t="shared" si="22"/>
        <v>0</v>
      </c>
      <c r="AO25" s="24">
        <f t="shared" si="23"/>
        <v>0.54313537649172183</v>
      </c>
      <c r="AP25" s="13">
        <f t="shared" si="24"/>
        <v>0.85600522813954383</v>
      </c>
      <c r="AQ25">
        <f t="shared" si="25"/>
        <v>0.54313537649172183</v>
      </c>
      <c r="AR25">
        <f t="shared" si="26"/>
        <v>1</v>
      </c>
      <c r="AS25">
        <f t="shared" si="27"/>
        <v>0</v>
      </c>
      <c r="AU25" s="24">
        <f t="shared" si="28"/>
        <v>0.5244100419767439</v>
      </c>
      <c r="AV25" s="13">
        <f t="shared" si="29"/>
        <v>0.84286373103437051</v>
      </c>
      <c r="AW25">
        <f t="shared" si="30"/>
        <v>0.5244100419767439</v>
      </c>
      <c r="AX25">
        <f t="shared" si="31"/>
        <v>1</v>
      </c>
      <c r="AY25">
        <f t="shared" si="14"/>
        <v>0</v>
      </c>
      <c r="BA25" s="24">
        <f t="shared" si="32"/>
        <v>0.50576958939361016</v>
      </c>
      <c r="BB25" s="13">
        <f t="shared" si="33"/>
        <v>0.85922919287190114</v>
      </c>
      <c r="BC25">
        <f t="shared" si="34"/>
        <v>0.50576958939361016</v>
      </c>
      <c r="BD25">
        <f t="shared" si="35"/>
        <v>1</v>
      </c>
      <c r="BE25">
        <f t="shared" si="15"/>
        <v>0</v>
      </c>
      <c r="BG25" s="24">
        <f t="shared" si="36"/>
        <v>0.49588867672150927</v>
      </c>
      <c r="BH25" s="13">
        <f t="shared" si="37"/>
        <v>0.85943033379584</v>
      </c>
      <c r="BI25">
        <f t="shared" si="38"/>
        <v>0.49588867672150927</v>
      </c>
      <c r="BJ25">
        <f t="shared" si="39"/>
        <v>1</v>
      </c>
      <c r="BK25">
        <f t="shared" si="16"/>
        <v>0</v>
      </c>
    </row>
    <row r="26" spans="3:63" x14ac:dyDescent="0.3">
      <c r="C26" s="3"/>
      <c r="D26" s="1">
        <v>0.25796413577511235</v>
      </c>
      <c r="E26" s="1">
        <v>0.38709677419354838</v>
      </c>
      <c r="F26" s="1">
        <v>0.6673469387755101</v>
      </c>
      <c r="G26" s="1">
        <v>0.5053282462833838</v>
      </c>
      <c r="H26" s="1">
        <v>0.72727272727272729</v>
      </c>
      <c r="I26" s="1">
        <v>0.6678096006454215</v>
      </c>
      <c r="J26" s="1">
        <v>0.38113695090439281</v>
      </c>
      <c r="K26" s="1">
        <v>0.85324613175945141</v>
      </c>
      <c r="L26" s="1">
        <v>3.7707641196013287E-5</v>
      </c>
      <c r="M26" s="1">
        <v>6.8260368663594459E-2</v>
      </c>
      <c r="N26" s="1">
        <v>0.47048472244440892</v>
      </c>
      <c r="O26" s="8">
        <v>0.25175614542360225</v>
      </c>
      <c r="Q26" s="24">
        <f t="shared" si="0"/>
        <v>0.54790585595976637</v>
      </c>
      <c r="R26" s="13">
        <f t="shared" si="1"/>
        <v>1.2798613233373433</v>
      </c>
      <c r="S26">
        <f t="shared" si="17"/>
        <v>0.54790585595976637</v>
      </c>
      <c r="T26">
        <f t="shared" si="18"/>
        <v>1</v>
      </c>
      <c r="U26">
        <f t="shared" si="19"/>
        <v>0</v>
      </c>
      <c r="W26" s="24">
        <f t="shared" si="2"/>
        <v>0.47799785647841747</v>
      </c>
      <c r="X26" s="13">
        <f t="shared" si="3"/>
        <v>0.98073063056695409</v>
      </c>
      <c r="Y26">
        <f t="shared" si="4"/>
        <v>0.47799785647841747</v>
      </c>
      <c r="Z26">
        <f t="shared" si="5"/>
        <v>1</v>
      </c>
      <c r="AA26">
        <f t="shared" si="6"/>
        <v>0</v>
      </c>
      <c r="AC26" s="24">
        <f t="shared" si="7"/>
        <v>0.45408175602235962</v>
      </c>
      <c r="AD26" s="13">
        <f t="shared" si="8"/>
        <v>0.94075664192108144</v>
      </c>
      <c r="AE26">
        <f t="shared" si="9"/>
        <v>0.45408175602235962</v>
      </c>
      <c r="AF26">
        <f t="shared" si="10"/>
        <v>1</v>
      </c>
      <c r="AG26">
        <f t="shared" si="11"/>
        <v>0</v>
      </c>
      <c r="AI26" s="24">
        <f t="shared" si="12"/>
        <v>0.44311511312744256</v>
      </c>
      <c r="AJ26" s="13">
        <f t="shared" si="13"/>
        <v>0.91933613766058409</v>
      </c>
      <c r="AK26">
        <f t="shared" si="20"/>
        <v>0.44311511312744256</v>
      </c>
      <c r="AL26">
        <f t="shared" si="21"/>
        <v>1</v>
      </c>
      <c r="AM26">
        <f t="shared" si="22"/>
        <v>0</v>
      </c>
      <c r="AO26" s="24">
        <f t="shared" si="23"/>
        <v>0.44233626136432352</v>
      </c>
      <c r="AP26" s="13">
        <f t="shared" si="24"/>
        <v>0.83735484484985401</v>
      </c>
      <c r="AQ26">
        <f t="shared" si="25"/>
        <v>0.44233626136432352</v>
      </c>
      <c r="AR26">
        <f t="shared" si="26"/>
        <v>1</v>
      </c>
      <c r="AS26">
        <f t="shared" si="27"/>
        <v>0</v>
      </c>
      <c r="AU26" s="24">
        <f t="shared" si="28"/>
        <v>0.46584062538788673</v>
      </c>
      <c r="AV26" s="13">
        <f t="shared" si="29"/>
        <v>0.76656687160878523</v>
      </c>
      <c r="AW26">
        <f t="shared" si="30"/>
        <v>0.46584062538788673</v>
      </c>
      <c r="AX26">
        <f t="shared" si="31"/>
        <v>1</v>
      </c>
      <c r="AY26">
        <f t="shared" si="14"/>
        <v>0</v>
      </c>
      <c r="BA26" s="24">
        <f t="shared" si="32"/>
        <v>0.49195506492716684</v>
      </c>
      <c r="BB26" s="13">
        <f t="shared" si="33"/>
        <v>0.7608791186433751</v>
      </c>
      <c r="BC26">
        <f t="shared" si="34"/>
        <v>0.49195506492716684</v>
      </c>
      <c r="BD26">
        <f t="shared" si="35"/>
        <v>1</v>
      </c>
      <c r="BE26">
        <f t="shared" si="15"/>
        <v>0</v>
      </c>
      <c r="BG26" s="24">
        <f t="shared" si="36"/>
        <v>0.50805550431930047</v>
      </c>
      <c r="BH26" s="13">
        <f t="shared" si="37"/>
        <v>0.74703888083652725</v>
      </c>
      <c r="BI26">
        <f t="shared" si="38"/>
        <v>0.50805550431930047</v>
      </c>
      <c r="BJ26">
        <f t="shared" si="39"/>
        <v>1</v>
      </c>
      <c r="BK26">
        <f t="shared" si="16"/>
        <v>0</v>
      </c>
    </row>
    <row r="27" spans="3:63" x14ac:dyDescent="0.3">
      <c r="C27" s="3"/>
      <c r="D27" s="1">
        <v>1</v>
      </c>
      <c r="E27" s="1">
        <v>0.64516129032258063</v>
      </c>
      <c r="F27" s="1">
        <v>0.30816326530612248</v>
      </c>
      <c r="G27" s="1">
        <v>0.44349427706880667</v>
      </c>
      <c r="H27" s="1">
        <v>0.81818181818181823</v>
      </c>
      <c r="I27" s="1">
        <v>0.39209358612343687</v>
      </c>
      <c r="J27" s="1">
        <v>8.3979328165374623E-2</v>
      </c>
      <c r="K27" s="1">
        <v>0.91492529377359499</v>
      </c>
      <c r="L27" s="1">
        <v>1.4750830564784053E-4</v>
      </c>
      <c r="M27" s="1">
        <v>0.10570276497695852</v>
      </c>
      <c r="N27" s="1">
        <v>0.24972004479283319</v>
      </c>
      <c r="O27" s="8">
        <v>0.75655352661786812</v>
      </c>
      <c r="Q27" s="24">
        <f t="shared" si="0"/>
        <v>0.9122462668564516</v>
      </c>
      <c r="R27" s="13">
        <f t="shared" si="1"/>
        <v>1.4345164888245658</v>
      </c>
      <c r="S27">
        <f t="shared" si="17"/>
        <v>0.9122462668564516</v>
      </c>
      <c r="T27">
        <f t="shared" si="18"/>
        <v>1</v>
      </c>
      <c r="U27">
        <f t="shared" si="19"/>
        <v>0</v>
      </c>
      <c r="W27" s="24">
        <f t="shared" si="2"/>
        <v>0.90365122293061984</v>
      </c>
      <c r="X27" s="13">
        <f t="shared" si="3"/>
        <v>1.3425268742127738</v>
      </c>
      <c r="Y27">
        <f t="shared" si="4"/>
        <v>0.90365122293061984</v>
      </c>
      <c r="Z27">
        <f t="shared" si="5"/>
        <v>1</v>
      </c>
      <c r="AA27">
        <f t="shared" si="6"/>
        <v>0</v>
      </c>
      <c r="AC27" s="24">
        <f t="shared" si="7"/>
        <v>0.88497133372388692</v>
      </c>
      <c r="AD27" s="13">
        <f t="shared" si="8"/>
        <v>1.2760516802376924</v>
      </c>
      <c r="AE27">
        <f t="shared" si="9"/>
        <v>0.88497133372388692</v>
      </c>
      <c r="AF27">
        <f t="shared" si="10"/>
        <v>1</v>
      </c>
      <c r="AG27">
        <f t="shared" si="11"/>
        <v>0</v>
      </c>
      <c r="AI27" s="24">
        <f t="shared" si="12"/>
        <v>0.8959705130538741</v>
      </c>
      <c r="AJ27" s="13">
        <f t="shared" si="13"/>
        <v>1.2152605970422166</v>
      </c>
      <c r="AK27">
        <f t="shared" si="20"/>
        <v>0.8959705130538741</v>
      </c>
      <c r="AL27">
        <f t="shared" si="21"/>
        <v>1</v>
      </c>
      <c r="AM27">
        <f t="shared" si="22"/>
        <v>0</v>
      </c>
      <c r="AO27" s="24">
        <f t="shared" si="23"/>
        <v>0.86776302361476942</v>
      </c>
      <c r="AP27" s="13">
        <f t="shared" si="24"/>
        <v>1.1958219157831387</v>
      </c>
      <c r="AQ27">
        <f t="shared" si="25"/>
        <v>0.86776302361476942</v>
      </c>
      <c r="AR27">
        <f t="shared" si="26"/>
        <v>1</v>
      </c>
      <c r="AS27">
        <f t="shared" si="27"/>
        <v>0</v>
      </c>
      <c r="AU27" s="24">
        <f t="shared" si="28"/>
        <v>0.83919524467127904</v>
      </c>
      <c r="AV27" s="13">
        <f t="shared" si="29"/>
        <v>1.1710008812812089</v>
      </c>
      <c r="AW27">
        <f t="shared" si="30"/>
        <v>0.83919524467127904</v>
      </c>
      <c r="AX27">
        <f t="shared" si="31"/>
        <v>1</v>
      </c>
      <c r="AY27">
        <f t="shared" si="14"/>
        <v>0</v>
      </c>
      <c r="BA27" s="24">
        <f t="shared" si="32"/>
        <v>0.85668055125958364</v>
      </c>
      <c r="BB27" s="13">
        <f t="shared" si="33"/>
        <v>1.1523377446966889</v>
      </c>
      <c r="BC27">
        <f t="shared" si="34"/>
        <v>0.85668055125958364</v>
      </c>
      <c r="BD27">
        <f t="shared" si="35"/>
        <v>1</v>
      </c>
      <c r="BE27">
        <f t="shared" si="15"/>
        <v>0</v>
      </c>
      <c r="BG27" s="24">
        <f t="shared" si="36"/>
        <v>0.85246098662576042</v>
      </c>
      <c r="BH27" s="13">
        <f t="shared" si="37"/>
        <v>1.149336650446267</v>
      </c>
      <c r="BI27">
        <f t="shared" si="38"/>
        <v>0.85246098662576042</v>
      </c>
      <c r="BJ27">
        <f t="shared" si="39"/>
        <v>1</v>
      </c>
      <c r="BK27">
        <f t="shared" si="16"/>
        <v>0</v>
      </c>
    </row>
    <row r="28" spans="3:63" x14ac:dyDescent="0.3">
      <c r="C28" s="3"/>
      <c r="D28" s="1">
        <v>0.33782708354181856</v>
      </c>
      <c r="E28" s="1">
        <v>0.61290322580645162</v>
      </c>
      <c r="F28" s="1">
        <v>0.82244897959183683</v>
      </c>
      <c r="G28" s="1">
        <v>0.77239836863570588</v>
      </c>
      <c r="H28" s="1">
        <v>0</v>
      </c>
      <c r="I28" s="1">
        <v>0.62656313029447352</v>
      </c>
      <c r="J28" s="1">
        <v>0.4909560723514213</v>
      </c>
      <c r="K28" s="1">
        <v>0.2864359015260276</v>
      </c>
      <c r="L28" s="1">
        <v>0</v>
      </c>
      <c r="M28" s="1">
        <v>9.5622119815668205E-2</v>
      </c>
      <c r="N28" s="1">
        <v>0.4352903535434331</v>
      </c>
      <c r="O28" s="8">
        <v>0.25475179521911662</v>
      </c>
      <c r="Q28" s="24">
        <f t="shared" si="0"/>
        <v>1.2761478054071651</v>
      </c>
      <c r="R28" s="13">
        <f t="shared" si="1"/>
        <v>1.2321797919297131</v>
      </c>
      <c r="S28">
        <f t="shared" si="17"/>
        <v>1.2321797919297131</v>
      </c>
      <c r="T28">
        <f t="shared" si="18"/>
        <v>0</v>
      </c>
      <c r="U28">
        <f t="shared" si="19"/>
        <v>1</v>
      </c>
      <c r="W28" s="24">
        <f t="shared" si="2"/>
        <v>0.96791448146655057</v>
      </c>
      <c r="X28" s="13">
        <f t="shared" si="3"/>
        <v>0.63531804998855401</v>
      </c>
      <c r="Y28">
        <f t="shared" si="4"/>
        <v>0.63531804998855401</v>
      </c>
      <c r="Z28">
        <f t="shared" si="5"/>
        <v>0</v>
      </c>
      <c r="AA28">
        <f t="shared" si="6"/>
        <v>1</v>
      </c>
      <c r="AC28" s="24">
        <f t="shared" si="7"/>
        <v>1.024986764904507</v>
      </c>
      <c r="AD28" s="13">
        <f t="shared" si="8"/>
        <v>0.72320307126534134</v>
      </c>
      <c r="AE28">
        <f t="shared" si="9"/>
        <v>0.72320307126534134</v>
      </c>
      <c r="AF28">
        <f t="shared" si="10"/>
        <v>0</v>
      </c>
      <c r="AG28">
        <f t="shared" si="11"/>
        <v>1</v>
      </c>
      <c r="AI28" s="24">
        <f t="shared" si="12"/>
        <v>1.0336933060818161</v>
      </c>
      <c r="AJ28" s="13">
        <f t="shared" si="13"/>
        <v>0.76656751776045473</v>
      </c>
      <c r="AK28">
        <f t="shared" si="20"/>
        <v>0.76656751776045473</v>
      </c>
      <c r="AL28">
        <f t="shared" si="21"/>
        <v>0</v>
      </c>
      <c r="AM28">
        <f t="shared" si="22"/>
        <v>1</v>
      </c>
      <c r="AO28" s="24">
        <f t="shared" si="23"/>
        <v>1.0572097159403173</v>
      </c>
      <c r="AP28" s="13">
        <f t="shared" si="24"/>
        <v>0.77259978520482253</v>
      </c>
      <c r="AQ28">
        <f t="shared" si="25"/>
        <v>0.77259978520482253</v>
      </c>
      <c r="AR28">
        <f t="shared" si="26"/>
        <v>0</v>
      </c>
      <c r="AS28">
        <f t="shared" si="27"/>
        <v>1</v>
      </c>
      <c r="AU28" s="24">
        <f t="shared" si="28"/>
        <v>1.0982542614520756</v>
      </c>
      <c r="AV28" s="13">
        <f t="shared" si="29"/>
        <v>0.75428768930865464</v>
      </c>
      <c r="AW28">
        <f t="shared" si="30"/>
        <v>0.75428768930865464</v>
      </c>
      <c r="AX28">
        <f t="shared" si="31"/>
        <v>0</v>
      </c>
      <c r="AY28">
        <f t="shared" si="14"/>
        <v>1</v>
      </c>
      <c r="BA28" s="24">
        <f t="shared" si="32"/>
        <v>1.143043560883841</v>
      </c>
      <c r="BB28" s="13">
        <f t="shared" si="33"/>
        <v>0.78915862990375429</v>
      </c>
      <c r="BC28">
        <f t="shared" si="34"/>
        <v>0.78915862990375429</v>
      </c>
      <c r="BD28">
        <f t="shared" si="35"/>
        <v>0</v>
      </c>
      <c r="BE28">
        <f t="shared" si="15"/>
        <v>1</v>
      </c>
      <c r="BG28" s="24">
        <f t="shared" si="36"/>
        <v>1.1581128957433269</v>
      </c>
      <c r="BH28" s="13">
        <f t="shared" si="37"/>
        <v>0.78956306888086591</v>
      </c>
      <c r="BI28">
        <f t="shared" si="38"/>
        <v>0.78956306888086591</v>
      </c>
      <c r="BJ28">
        <f t="shared" si="39"/>
        <v>0</v>
      </c>
      <c r="BK28">
        <f t="shared" si="16"/>
        <v>1</v>
      </c>
    </row>
    <row r="29" spans="3:63" x14ac:dyDescent="0.3">
      <c r="C29" s="3"/>
      <c r="D29" s="1">
        <v>0.16907556457800207</v>
      </c>
      <c r="E29" s="1">
        <v>0.29032258064516131</v>
      </c>
      <c r="F29" s="1">
        <v>0.63061224489795931</v>
      </c>
      <c r="G29" s="1">
        <v>0.35534798052887778</v>
      </c>
      <c r="H29" s="1">
        <v>0.18181818181818182</v>
      </c>
      <c r="I29" s="1">
        <v>0.40913674868898753</v>
      </c>
      <c r="J29" s="1">
        <v>0.2868217054263566</v>
      </c>
      <c r="K29" s="1">
        <v>0.50975700537034085</v>
      </c>
      <c r="L29" s="1">
        <v>1E-3</v>
      </c>
      <c r="M29" s="1">
        <v>7.7620967741935484E-2</v>
      </c>
      <c r="N29" s="1">
        <v>0.39529675251959684</v>
      </c>
      <c r="O29" s="8">
        <v>8.7898443130410675E-2</v>
      </c>
      <c r="Q29" s="24">
        <f t="shared" si="0"/>
        <v>0.96924475467695781</v>
      </c>
      <c r="R29" s="13">
        <f t="shared" si="1"/>
        <v>1.5467420870727961</v>
      </c>
      <c r="S29">
        <f t="shared" si="17"/>
        <v>0.96924475467695781</v>
      </c>
      <c r="T29">
        <f t="shared" si="18"/>
        <v>1</v>
      </c>
      <c r="U29">
        <f t="shared" si="19"/>
        <v>0</v>
      </c>
      <c r="W29" s="24">
        <f t="shared" si="2"/>
        <v>0.67592358823121113</v>
      </c>
      <c r="X29" s="13">
        <f t="shared" si="3"/>
        <v>1.0666732523614724</v>
      </c>
      <c r="Y29">
        <f t="shared" si="4"/>
        <v>0.67592358823121113</v>
      </c>
      <c r="Z29">
        <f t="shared" si="5"/>
        <v>1</v>
      </c>
      <c r="AA29">
        <f t="shared" si="6"/>
        <v>0</v>
      </c>
      <c r="AC29" s="24">
        <f t="shared" si="7"/>
        <v>0.69268311494824575</v>
      </c>
      <c r="AD29" s="13">
        <f t="shared" si="8"/>
        <v>0.96182771128865918</v>
      </c>
      <c r="AE29">
        <f t="shared" si="9"/>
        <v>0.69268311494824575</v>
      </c>
      <c r="AF29">
        <f t="shared" si="10"/>
        <v>1</v>
      </c>
      <c r="AG29">
        <f t="shared" si="11"/>
        <v>0</v>
      </c>
      <c r="AI29" s="24">
        <f t="shared" si="12"/>
        <v>0.68352110206084882</v>
      </c>
      <c r="AJ29" s="13">
        <f t="shared" si="13"/>
        <v>0.96399781394822814</v>
      </c>
      <c r="AK29">
        <f t="shared" si="20"/>
        <v>0.68352110206084882</v>
      </c>
      <c r="AL29">
        <f t="shared" si="21"/>
        <v>1</v>
      </c>
      <c r="AM29">
        <f t="shared" si="22"/>
        <v>0</v>
      </c>
      <c r="AO29" s="24">
        <f t="shared" si="23"/>
        <v>0.6982383518969657</v>
      </c>
      <c r="AP29" s="13">
        <f t="shared" si="24"/>
        <v>0.90442666599832633</v>
      </c>
      <c r="AQ29">
        <f t="shared" si="25"/>
        <v>0.6982383518969657</v>
      </c>
      <c r="AR29">
        <f t="shared" si="26"/>
        <v>1</v>
      </c>
      <c r="AS29">
        <f t="shared" si="27"/>
        <v>0</v>
      </c>
      <c r="AU29" s="24">
        <f t="shared" si="28"/>
        <v>0.71228569437184086</v>
      </c>
      <c r="AV29" s="13">
        <f t="shared" si="29"/>
        <v>0.85220868845758868</v>
      </c>
      <c r="AW29">
        <f t="shared" si="30"/>
        <v>0.71228569437184086</v>
      </c>
      <c r="AX29">
        <f t="shared" si="31"/>
        <v>1</v>
      </c>
      <c r="AY29">
        <f t="shared" si="14"/>
        <v>0</v>
      </c>
      <c r="BA29" s="24">
        <f t="shared" si="32"/>
        <v>0.71308024862730113</v>
      </c>
      <c r="BB29" s="13">
        <f t="shared" si="33"/>
        <v>0.86808555474308302</v>
      </c>
      <c r="BC29">
        <f t="shared" si="34"/>
        <v>0.71308024862730113</v>
      </c>
      <c r="BD29">
        <f t="shared" si="35"/>
        <v>1</v>
      </c>
      <c r="BE29">
        <f t="shared" si="15"/>
        <v>0</v>
      </c>
      <c r="BG29" s="24">
        <f t="shared" si="36"/>
        <v>0.72131047606215359</v>
      </c>
      <c r="BH29" s="13">
        <f t="shared" si="37"/>
        <v>0.86072223773852785</v>
      </c>
      <c r="BI29">
        <f t="shared" si="38"/>
        <v>0.72131047606215359</v>
      </c>
      <c r="BJ29">
        <f t="shared" si="39"/>
        <v>1</v>
      </c>
      <c r="BK29">
        <f t="shared" si="16"/>
        <v>0</v>
      </c>
    </row>
    <row r="30" spans="3:63" x14ac:dyDescent="0.3">
      <c r="C30" s="3"/>
      <c r="D30" s="1">
        <v>0.27950363836509456</v>
      </c>
      <c r="E30" s="1">
        <v>0.29032258064516131</v>
      </c>
      <c r="F30" s="1">
        <v>1</v>
      </c>
      <c r="G30" s="1">
        <v>0.77371398500197353</v>
      </c>
      <c r="H30" s="1">
        <v>0.90909090909090906</v>
      </c>
      <c r="I30" s="1">
        <v>1</v>
      </c>
      <c r="J30" s="1">
        <v>0.30361757105943149</v>
      </c>
      <c r="K30" s="1">
        <v>0.51082043919817099</v>
      </c>
      <c r="L30" s="1">
        <v>0</v>
      </c>
      <c r="M30" s="1">
        <v>0</v>
      </c>
      <c r="N30" s="1">
        <v>0.16813309870420731</v>
      </c>
      <c r="O30" s="8">
        <v>0.15665077669818611</v>
      </c>
      <c r="Q30" s="24">
        <f t="shared" si="0"/>
        <v>0.86675396644468738</v>
      </c>
      <c r="R30" s="13">
        <f t="shared" si="1"/>
        <v>1.3848508564608688</v>
      </c>
      <c r="S30">
        <f t="shared" si="17"/>
        <v>0.86675396644468738</v>
      </c>
      <c r="T30">
        <f t="shared" si="18"/>
        <v>1</v>
      </c>
      <c r="U30">
        <f t="shared" si="19"/>
        <v>0</v>
      </c>
      <c r="W30" s="24">
        <f t="shared" si="2"/>
        <v>0.87861639933701308</v>
      </c>
      <c r="X30" s="13">
        <f t="shared" si="3"/>
        <v>1.1201569319615943</v>
      </c>
      <c r="Y30">
        <f t="shared" si="4"/>
        <v>0.87861639933701308</v>
      </c>
      <c r="Z30">
        <f t="shared" si="5"/>
        <v>1</v>
      </c>
      <c r="AA30">
        <f t="shared" si="6"/>
        <v>0</v>
      </c>
      <c r="AC30" s="24">
        <f t="shared" si="7"/>
        <v>0.86648746725185688</v>
      </c>
      <c r="AD30" s="13">
        <f t="shared" si="8"/>
        <v>1.1447802087030063</v>
      </c>
      <c r="AE30">
        <f t="shared" si="9"/>
        <v>0.86648746725185688</v>
      </c>
      <c r="AF30">
        <f t="shared" si="10"/>
        <v>1</v>
      </c>
      <c r="AG30">
        <f t="shared" si="11"/>
        <v>0</v>
      </c>
      <c r="AI30" s="24">
        <f t="shared" si="12"/>
        <v>0.86567433288792717</v>
      </c>
      <c r="AJ30" s="13">
        <f t="shared" si="13"/>
        <v>1.1244370652099001</v>
      </c>
      <c r="AK30">
        <f t="shared" si="20"/>
        <v>0.86567433288792717</v>
      </c>
      <c r="AL30">
        <f t="shared" si="21"/>
        <v>1</v>
      </c>
      <c r="AM30">
        <f t="shared" si="22"/>
        <v>0</v>
      </c>
      <c r="AO30" s="24">
        <f t="shared" si="23"/>
        <v>0.88845338949366426</v>
      </c>
      <c r="AP30" s="13">
        <f t="shared" si="24"/>
        <v>1.0191332088715725</v>
      </c>
      <c r="AQ30">
        <f t="shared" si="25"/>
        <v>0.88845338949366426</v>
      </c>
      <c r="AR30">
        <f t="shared" si="26"/>
        <v>1</v>
      </c>
      <c r="AS30">
        <f t="shared" si="27"/>
        <v>0</v>
      </c>
      <c r="AU30" s="24">
        <f t="shared" si="28"/>
        <v>0.94665781589845432</v>
      </c>
      <c r="AV30" s="13">
        <f t="shared" si="29"/>
        <v>0.92999125619096223</v>
      </c>
      <c r="AW30">
        <f t="shared" si="30"/>
        <v>0.92999125619096223</v>
      </c>
      <c r="AX30">
        <f t="shared" si="31"/>
        <v>0</v>
      </c>
      <c r="AY30">
        <f t="shared" si="14"/>
        <v>1</v>
      </c>
      <c r="BA30" s="24">
        <f t="shared" si="32"/>
        <v>1.030162055262428</v>
      </c>
      <c r="BB30" s="13">
        <f t="shared" si="33"/>
        <v>0.87179426375140912</v>
      </c>
      <c r="BC30">
        <f t="shared" si="34"/>
        <v>0.87179426375140912</v>
      </c>
      <c r="BD30">
        <f t="shared" si="35"/>
        <v>0</v>
      </c>
      <c r="BE30">
        <f t="shared" si="15"/>
        <v>1</v>
      </c>
      <c r="BG30" s="24">
        <f t="shared" si="36"/>
        <v>1.053281714388268</v>
      </c>
      <c r="BH30" s="13">
        <f t="shared" si="37"/>
        <v>0.85517817626397918</v>
      </c>
      <c r="BI30">
        <f t="shared" si="38"/>
        <v>0.85517817626397918</v>
      </c>
      <c r="BJ30">
        <f t="shared" si="39"/>
        <v>0</v>
      </c>
      <c r="BK30">
        <f t="shared" si="16"/>
        <v>1</v>
      </c>
    </row>
    <row r="31" spans="3:63" x14ac:dyDescent="0.3">
      <c r="C31" s="3"/>
      <c r="D31" s="1">
        <v>0.3910134526583654</v>
      </c>
      <c r="E31" s="1">
        <v>0.32258064516129031</v>
      </c>
      <c r="F31" s="1">
        <v>0.42448979591836739</v>
      </c>
      <c r="G31" s="1">
        <v>0</v>
      </c>
      <c r="H31" s="1">
        <v>1</v>
      </c>
      <c r="I31" s="1">
        <v>1.4118596208148324E-2</v>
      </c>
      <c r="J31" s="1">
        <v>0.26873385012919893</v>
      </c>
      <c r="K31" s="1">
        <v>0.89152974956133357</v>
      </c>
      <c r="L31" s="1">
        <v>2.7242524916943523E-3</v>
      </c>
      <c r="M31" s="1">
        <v>8.8421658986175114E-2</v>
      </c>
      <c r="N31" s="1">
        <v>8.6546152615581504E-2</v>
      </c>
      <c r="O31" s="8">
        <v>0.1589257339341999</v>
      </c>
      <c r="Q31" s="24">
        <f t="shared" si="0"/>
        <v>0.95333334117046131</v>
      </c>
      <c r="R31" s="13">
        <f t="shared" si="1"/>
        <v>1.7701649394357957</v>
      </c>
      <c r="S31">
        <f t="shared" si="17"/>
        <v>0.95333334117046131</v>
      </c>
      <c r="T31">
        <f t="shared" si="18"/>
        <v>1</v>
      </c>
      <c r="U31">
        <f t="shared" si="19"/>
        <v>0</v>
      </c>
      <c r="W31" s="24">
        <f t="shared" si="2"/>
        <v>0.95318244397442486</v>
      </c>
      <c r="X31" s="13">
        <f t="shared" si="3"/>
        <v>1.7066858006807586</v>
      </c>
      <c r="Y31">
        <f t="shared" si="4"/>
        <v>0.95318244397442486</v>
      </c>
      <c r="Z31">
        <f t="shared" si="5"/>
        <v>1</v>
      </c>
      <c r="AA31">
        <f t="shared" si="6"/>
        <v>0</v>
      </c>
      <c r="AC31" s="24">
        <f t="shared" si="7"/>
        <v>0.85866989861769172</v>
      </c>
      <c r="AD31" s="13">
        <f t="shared" si="8"/>
        <v>1.6384156571579076</v>
      </c>
      <c r="AE31">
        <f t="shared" si="9"/>
        <v>0.85866989861769172</v>
      </c>
      <c r="AF31">
        <f t="shared" si="10"/>
        <v>1</v>
      </c>
      <c r="AG31">
        <f t="shared" si="11"/>
        <v>0</v>
      </c>
      <c r="AI31" s="24">
        <f t="shared" si="12"/>
        <v>0.8365248464119569</v>
      </c>
      <c r="AJ31" s="13">
        <f t="shared" si="13"/>
        <v>1.5907284296602489</v>
      </c>
      <c r="AK31">
        <f t="shared" si="20"/>
        <v>0.8365248464119569</v>
      </c>
      <c r="AL31">
        <f t="shared" si="21"/>
        <v>1</v>
      </c>
      <c r="AM31">
        <f t="shared" si="22"/>
        <v>0</v>
      </c>
      <c r="AO31" s="24">
        <f t="shared" si="23"/>
        <v>0.80476116044659574</v>
      </c>
      <c r="AP31" s="13">
        <f t="shared" si="24"/>
        <v>1.5154275362296739</v>
      </c>
      <c r="AQ31">
        <f t="shared" si="25"/>
        <v>0.80476116044659574</v>
      </c>
      <c r="AR31">
        <f t="shared" si="26"/>
        <v>1</v>
      </c>
      <c r="AS31">
        <f t="shared" si="27"/>
        <v>0</v>
      </c>
      <c r="AU31" s="24">
        <f t="shared" si="28"/>
        <v>0.75485062207498577</v>
      </c>
      <c r="AV31" s="13">
        <f t="shared" si="29"/>
        <v>1.4393907341047409</v>
      </c>
      <c r="AW31">
        <f t="shared" si="30"/>
        <v>0.75485062207498577</v>
      </c>
      <c r="AX31">
        <f t="shared" si="31"/>
        <v>1</v>
      </c>
      <c r="AY31">
        <f t="shared" si="14"/>
        <v>0</v>
      </c>
      <c r="BA31" s="24">
        <f t="shared" si="32"/>
        <v>0.70213160543671815</v>
      </c>
      <c r="BB31" s="13">
        <f t="shared" si="33"/>
        <v>1.4165169528397175</v>
      </c>
      <c r="BC31">
        <f t="shared" si="34"/>
        <v>0.70213160543671815</v>
      </c>
      <c r="BD31">
        <f t="shared" si="35"/>
        <v>1</v>
      </c>
      <c r="BE31">
        <f t="shared" si="15"/>
        <v>0</v>
      </c>
      <c r="BG31" s="24">
        <f t="shared" si="36"/>
        <v>0.69427665860492394</v>
      </c>
      <c r="BH31" s="13">
        <f t="shared" si="37"/>
        <v>1.402404313860572</v>
      </c>
      <c r="BI31">
        <f t="shared" si="38"/>
        <v>0.69427665860492394</v>
      </c>
      <c r="BJ31">
        <f t="shared" si="39"/>
        <v>1</v>
      </c>
      <c r="BK31">
        <f t="shared" si="16"/>
        <v>0</v>
      </c>
    </row>
    <row r="32" spans="3:63" x14ac:dyDescent="0.3">
      <c r="C32" s="3"/>
      <c r="D32" s="1">
        <v>0.37633609248643057</v>
      </c>
      <c r="E32" s="1">
        <v>0.29032258064516131</v>
      </c>
      <c r="F32" s="1">
        <v>0.74693877551020404</v>
      </c>
      <c r="G32" s="1">
        <v>0.71056439942112881</v>
      </c>
      <c r="H32" s="1">
        <v>0.45454545454545453</v>
      </c>
      <c r="I32" s="1">
        <v>0.5843081887858006</v>
      </c>
      <c r="J32" s="1">
        <v>0.12919896640826872</v>
      </c>
      <c r="K32" s="1">
        <v>8.0236082309778287E-2</v>
      </c>
      <c r="L32" s="1">
        <v>0</v>
      </c>
      <c r="M32" s="1">
        <v>6.3508064516129031E-2</v>
      </c>
      <c r="N32" s="1">
        <v>0.20492721164613661</v>
      </c>
      <c r="O32" s="8">
        <v>0.33328123507602003</v>
      </c>
      <c r="Q32" s="24">
        <f t="shared" si="0"/>
        <v>0.97177478300777609</v>
      </c>
      <c r="R32" s="13">
        <f t="shared" si="1"/>
        <v>1.3055700399288841</v>
      </c>
      <c r="S32">
        <f t="shared" si="17"/>
        <v>0.97177478300777609</v>
      </c>
      <c r="T32">
        <f t="shared" si="18"/>
        <v>1</v>
      </c>
      <c r="U32">
        <f t="shared" si="19"/>
        <v>0</v>
      </c>
      <c r="W32" s="24">
        <f t="shared" si="2"/>
        <v>0.68280016346634076</v>
      </c>
      <c r="X32" s="13">
        <f t="shared" si="3"/>
        <v>0.84667174724903294</v>
      </c>
      <c r="Y32">
        <f t="shared" si="4"/>
        <v>0.68280016346634076</v>
      </c>
      <c r="Z32">
        <f t="shared" si="5"/>
        <v>1</v>
      </c>
      <c r="AA32">
        <f t="shared" si="6"/>
        <v>0</v>
      </c>
      <c r="AC32" s="24">
        <f t="shared" si="7"/>
        <v>0.72758462331820484</v>
      </c>
      <c r="AD32" s="13">
        <f t="shared" si="8"/>
        <v>0.76980277853136625</v>
      </c>
      <c r="AE32">
        <f t="shared" si="9"/>
        <v>0.72758462331820484</v>
      </c>
      <c r="AF32">
        <f t="shared" si="10"/>
        <v>1</v>
      </c>
      <c r="AG32">
        <f t="shared" si="11"/>
        <v>0</v>
      </c>
      <c r="AI32" s="24">
        <f t="shared" si="12"/>
        <v>0.7420932646238525</v>
      </c>
      <c r="AJ32" s="13">
        <f t="shared" si="13"/>
        <v>0.74590389803600865</v>
      </c>
      <c r="AK32">
        <f t="shared" si="20"/>
        <v>0.7420932646238525</v>
      </c>
      <c r="AL32">
        <f t="shared" si="21"/>
        <v>1</v>
      </c>
      <c r="AM32">
        <f t="shared" si="22"/>
        <v>0</v>
      </c>
      <c r="AO32" s="24">
        <f t="shared" si="23"/>
        <v>0.77974972557289934</v>
      </c>
      <c r="AP32" s="13">
        <f t="shared" si="24"/>
        <v>0.65931327669641981</v>
      </c>
      <c r="AQ32">
        <f t="shared" si="25"/>
        <v>0.65931327669641981</v>
      </c>
      <c r="AR32">
        <f t="shared" si="26"/>
        <v>0</v>
      </c>
      <c r="AS32">
        <f t="shared" si="27"/>
        <v>1</v>
      </c>
      <c r="AU32" s="24">
        <f t="shared" si="28"/>
        <v>0.84350391416603487</v>
      </c>
      <c r="AV32" s="13">
        <f t="shared" si="29"/>
        <v>0.57735359346355075</v>
      </c>
      <c r="AW32">
        <f t="shared" si="30"/>
        <v>0.57735359346355075</v>
      </c>
      <c r="AX32">
        <f t="shared" si="31"/>
        <v>0</v>
      </c>
      <c r="AY32">
        <f t="shared" si="14"/>
        <v>1</v>
      </c>
      <c r="BA32" s="24">
        <f t="shared" si="32"/>
        <v>0.92906047768378608</v>
      </c>
      <c r="BB32" s="13">
        <f t="shared" si="33"/>
        <v>0.53364913390844793</v>
      </c>
      <c r="BC32">
        <f t="shared" si="34"/>
        <v>0.53364913390844793</v>
      </c>
      <c r="BD32">
        <f t="shared" si="35"/>
        <v>0</v>
      </c>
      <c r="BE32">
        <f t="shared" si="15"/>
        <v>1</v>
      </c>
      <c r="BG32" s="24">
        <f t="shared" si="36"/>
        <v>0.9494906540560496</v>
      </c>
      <c r="BH32" s="13">
        <f t="shared" si="37"/>
        <v>0.52664348566164043</v>
      </c>
      <c r="BI32">
        <f t="shared" si="38"/>
        <v>0.52664348566164043</v>
      </c>
      <c r="BJ32">
        <f t="shared" si="39"/>
        <v>0</v>
      </c>
      <c r="BK32">
        <f t="shared" si="16"/>
        <v>1</v>
      </c>
    </row>
    <row r="33" spans="3:63" x14ac:dyDescent="0.3">
      <c r="C33" s="3"/>
      <c r="D33" s="1">
        <v>0.30860579374496655</v>
      </c>
      <c r="E33" s="1">
        <v>0.38709677419354838</v>
      </c>
      <c r="F33" s="1">
        <v>0.25714285714285717</v>
      </c>
      <c r="G33" s="1">
        <v>0.61057755558479154</v>
      </c>
      <c r="H33" s="1">
        <v>0.45454545454545453</v>
      </c>
      <c r="I33" s="1">
        <v>0.69776119402985071</v>
      </c>
      <c r="J33" s="1">
        <v>0.16795865633074938</v>
      </c>
      <c r="K33" s="1">
        <v>0.63630563088211833</v>
      </c>
      <c r="L33" s="1">
        <v>5.4651162790697672E-3</v>
      </c>
      <c r="M33" s="1">
        <v>8.1221198156682037E-2</v>
      </c>
      <c r="N33" s="1">
        <v>0.40649496080627101</v>
      </c>
      <c r="O33" s="8">
        <v>0.95859056847881796</v>
      </c>
      <c r="Q33" s="24">
        <f t="shared" si="0"/>
        <v>0.77202176144984591</v>
      </c>
      <c r="R33" s="13">
        <f t="shared" si="1"/>
        <v>1.193996863510854</v>
      </c>
      <c r="S33">
        <f t="shared" si="17"/>
        <v>0.77202176144984591</v>
      </c>
      <c r="T33">
        <f t="shared" si="18"/>
        <v>1</v>
      </c>
      <c r="U33">
        <f t="shared" si="19"/>
        <v>0</v>
      </c>
      <c r="W33" s="24">
        <f t="shared" si="2"/>
        <v>0.66658889343138761</v>
      </c>
      <c r="X33" s="13">
        <f t="shared" si="3"/>
        <v>0.87352657830435509</v>
      </c>
      <c r="Y33">
        <f t="shared" si="4"/>
        <v>0.66658889343138761</v>
      </c>
      <c r="Z33">
        <f t="shared" si="5"/>
        <v>1</v>
      </c>
      <c r="AA33">
        <f t="shared" si="6"/>
        <v>0</v>
      </c>
      <c r="AC33" s="24">
        <f t="shared" si="7"/>
        <v>0.74362856542290079</v>
      </c>
      <c r="AD33" s="13">
        <f t="shared" si="8"/>
        <v>0.66051708577824675</v>
      </c>
      <c r="AE33">
        <f t="shared" si="9"/>
        <v>0.66051708577824675</v>
      </c>
      <c r="AF33">
        <f t="shared" si="10"/>
        <v>0</v>
      </c>
      <c r="AG33">
        <f t="shared" si="11"/>
        <v>1</v>
      </c>
      <c r="AI33" s="24">
        <f t="shared" si="12"/>
        <v>0.77305150412388668</v>
      </c>
      <c r="AJ33" s="13">
        <f t="shared" si="13"/>
        <v>0.59968721782711187</v>
      </c>
      <c r="AK33">
        <f t="shared" si="20"/>
        <v>0.59968721782711187</v>
      </c>
      <c r="AL33">
        <f t="shared" si="21"/>
        <v>0</v>
      </c>
      <c r="AM33">
        <f t="shared" si="22"/>
        <v>1</v>
      </c>
      <c r="AO33" s="24">
        <f t="shared" si="23"/>
        <v>0.77126960394700994</v>
      </c>
      <c r="AP33" s="13">
        <f t="shared" si="24"/>
        <v>0.61099939514918644</v>
      </c>
      <c r="AQ33">
        <f t="shared" si="25"/>
        <v>0.61099939514918644</v>
      </c>
      <c r="AR33">
        <f t="shared" si="26"/>
        <v>0</v>
      </c>
      <c r="AS33">
        <f t="shared" si="27"/>
        <v>1</v>
      </c>
      <c r="AU33" s="24">
        <f t="shared" si="28"/>
        <v>0.79497988499880401</v>
      </c>
      <c r="AV33" s="13">
        <f t="shared" si="29"/>
        <v>0.6374989795187519</v>
      </c>
      <c r="AW33">
        <f t="shared" si="30"/>
        <v>0.6374989795187519</v>
      </c>
      <c r="AX33">
        <f t="shared" si="31"/>
        <v>0</v>
      </c>
      <c r="AY33">
        <f t="shared" si="14"/>
        <v>1</v>
      </c>
      <c r="BA33" s="24">
        <f t="shared" si="32"/>
        <v>0.83229030137696092</v>
      </c>
      <c r="BB33" s="13">
        <f t="shared" si="33"/>
        <v>0.66650567454728271</v>
      </c>
      <c r="BC33">
        <f t="shared" si="34"/>
        <v>0.66650567454728271</v>
      </c>
      <c r="BD33">
        <f t="shared" si="35"/>
        <v>0</v>
      </c>
      <c r="BE33">
        <f t="shared" si="15"/>
        <v>1</v>
      </c>
      <c r="BG33" s="24">
        <f t="shared" si="36"/>
        <v>0.83662333533678224</v>
      </c>
      <c r="BH33" s="13">
        <f t="shared" si="37"/>
        <v>0.67527740207492859</v>
      </c>
      <c r="BI33">
        <f t="shared" si="38"/>
        <v>0.67527740207492859</v>
      </c>
      <c r="BJ33">
        <f t="shared" si="39"/>
        <v>0</v>
      </c>
      <c r="BK33">
        <f t="shared" si="16"/>
        <v>1</v>
      </c>
    </row>
    <row r="34" spans="3:63" x14ac:dyDescent="0.3">
      <c r="C34" s="3"/>
      <c r="D34" s="1">
        <v>0</v>
      </c>
      <c r="E34" s="1">
        <v>0.29032258064516131</v>
      </c>
      <c r="F34" s="1">
        <v>0.7142857142857143</v>
      </c>
      <c r="G34" s="1">
        <v>0.82896987238521247</v>
      </c>
      <c r="H34" s="1">
        <v>1</v>
      </c>
      <c r="I34" s="1">
        <v>0.88221056877773285</v>
      </c>
      <c r="J34" s="1">
        <v>0.37596899224806202</v>
      </c>
      <c r="K34" s="1">
        <v>0.29813367363215826</v>
      </c>
      <c r="L34" s="1">
        <v>0</v>
      </c>
      <c r="M34" s="1">
        <v>0.17338709677419356</v>
      </c>
      <c r="N34" s="1">
        <v>0.56167013277875544</v>
      </c>
      <c r="O34" s="8">
        <v>0.21058115606032976</v>
      </c>
      <c r="Q34" s="24">
        <f t="shared" si="0"/>
        <v>1.0270508872951882</v>
      </c>
      <c r="R34" s="13">
        <f t="shared" si="1"/>
        <v>1.253520654896187</v>
      </c>
      <c r="S34">
        <f t="shared" si="17"/>
        <v>1.0270508872951882</v>
      </c>
      <c r="T34">
        <f t="shared" si="18"/>
        <v>1</v>
      </c>
      <c r="U34">
        <f t="shared" si="19"/>
        <v>0</v>
      </c>
      <c r="W34" s="24">
        <f t="shared" si="2"/>
        <v>0.88630940612932796</v>
      </c>
      <c r="X34" s="13">
        <f t="shared" si="3"/>
        <v>0.9928046155564253</v>
      </c>
      <c r="Y34">
        <f t="shared" si="4"/>
        <v>0.88630940612932796</v>
      </c>
      <c r="Z34">
        <f t="shared" si="5"/>
        <v>1</v>
      </c>
      <c r="AA34">
        <f t="shared" si="6"/>
        <v>0</v>
      </c>
      <c r="AC34" s="24">
        <f t="shared" si="7"/>
        <v>0.9071617572070293</v>
      </c>
      <c r="AD34" s="13">
        <f t="shared" si="8"/>
        <v>0.99128833999530497</v>
      </c>
      <c r="AE34">
        <f t="shared" si="9"/>
        <v>0.9071617572070293</v>
      </c>
      <c r="AF34">
        <f t="shared" si="10"/>
        <v>1</v>
      </c>
      <c r="AG34">
        <f t="shared" si="11"/>
        <v>0</v>
      </c>
      <c r="AI34" s="24">
        <f t="shared" si="12"/>
        <v>0.91403162515633907</v>
      </c>
      <c r="AJ34" s="13">
        <f t="shared" si="13"/>
        <v>0.97843802447641981</v>
      </c>
      <c r="AK34">
        <f t="shared" si="20"/>
        <v>0.91403162515633907</v>
      </c>
      <c r="AL34">
        <f t="shared" si="21"/>
        <v>1</v>
      </c>
      <c r="AM34">
        <f t="shared" si="22"/>
        <v>0</v>
      </c>
      <c r="AO34" s="24">
        <f t="shared" si="23"/>
        <v>0.94967755599027648</v>
      </c>
      <c r="AP34" s="13">
        <f t="shared" si="24"/>
        <v>0.8787108969783638</v>
      </c>
      <c r="AQ34">
        <f t="shared" si="25"/>
        <v>0.8787108969783638</v>
      </c>
      <c r="AR34">
        <f t="shared" si="26"/>
        <v>0</v>
      </c>
      <c r="AS34">
        <f t="shared" si="27"/>
        <v>1</v>
      </c>
      <c r="AU34" s="24">
        <f t="shared" si="28"/>
        <v>1.0215991716707451</v>
      </c>
      <c r="AV34" s="13">
        <f t="shared" si="29"/>
        <v>0.78750702272044559</v>
      </c>
      <c r="AW34">
        <f t="shared" si="30"/>
        <v>0.78750702272044559</v>
      </c>
      <c r="AX34">
        <f t="shared" si="31"/>
        <v>0</v>
      </c>
      <c r="AY34">
        <f t="shared" si="14"/>
        <v>1</v>
      </c>
      <c r="BA34" s="24">
        <f t="shared" si="32"/>
        <v>1.0980024732185927</v>
      </c>
      <c r="BB34" s="13">
        <f t="shared" si="33"/>
        <v>0.75336969476691895</v>
      </c>
      <c r="BC34">
        <f t="shared" si="34"/>
        <v>0.75336969476691895</v>
      </c>
      <c r="BD34">
        <f t="shared" si="35"/>
        <v>0</v>
      </c>
      <c r="BE34">
        <f t="shared" si="15"/>
        <v>1</v>
      </c>
      <c r="BG34" s="24">
        <f t="shared" si="36"/>
        <v>1.1221452245447117</v>
      </c>
      <c r="BH34" s="13">
        <f t="shared" si="37"/>
        <v>0.73938793996466678</v>
      </c>
      <c r="BI34">
        <f t="shared" si="38"/>
        <v>0.73938793996466678</v>
      </c>
      <c r="BJ34">
        <f t="shared" si="39"/>
        <v>0</v>
      </c>
      <c r="BK34">
        <f t="shared" si="16"/>
        <v>1</v>
      </c>
    </row>
    <row r="35" spans="3:63" x14ac:dyDescent="0.3">
      <c r="C35" s="3"/>
      <c r="D35" s="1">
        <v>0.60799534899236107</v>
      </c>
      <c r="E35" s="1">
        <v>0.22580645161290322</v>
      </c>
      <c r="F35" s="1">
        <v>0.65714285714285725</v>
      </c>
      <c r="G35" s="1">
        <v>0.41981318247599009</v>
      </c>
      <c r="H35" s="1">
        <v>0.45454545454545453</v>
      </c>
      <c r="I35" s="1">
        <v>0.64431222267043153</v>
      </c>
      <c r="J35" s="1">
        <v>5.4263565891472854E-2</v>
      </c>
      <c r="K35" s="1">
        <v>0.72244377093635359</v>
      </c>
      <c r="L35" s="1">
        <v>0</v>
      </c>
      <c r="M35" s="1">
        <v>5.9475806451612906E-2</v>
      </c>
      <c r="N35" s="1">
        <v>0.13293872980323149</v>
      </c>
      <c r="O35" s="8">
        <v>0.61423845372372299</v>
      </c>
      <c r="Q35" s="24">
        <f t="shared" si="0"/>
        <v>0.48364271114351676</v>
      </c>
      <c r="R35" s="13">
        <f t="shared" si="1"/>
        <v>1.4575616917003928</v>
      </c>
      <c r="S35">
        <f t="shared" si="17"/>
        <v>0.48364271114351676</v>
      </c>
      <c r="T35">
        <f t="shared" si="18"/>
        <v>1</v>
      </c>
      <c r="U35">
        <f t="shared" si="19"/>
        <v>0</v>
      </c>
      <c r="W35" s="24">
        <f t="shared" si="2"/>
        <v>0.49005329648784479</v>
      </c>
      <c r="X35" s="13">
        <f t="shared" si="3"/>
        <v>1.0925826052529835</v>
      </c>
      <c r="Y35">
        <f t="shared" si="4"/>
        <v>0.49005329648784479</v>
      </c>
      <c r="Z35">
        <f t="shared" si="5"/>
        <v>1</v>
      </c>
      <c r="AA35">
        <f t="shared" si="6"/>
        <v>0</v>
      </c>
      <c r="AC35" s="24">
        <f t="shared" si="7"/>
        <v>0.50579998602529042</v>
      </c>
      <c r="AD35" s="13">
        <f t="shared" si="8"/>
        <v>0.92666911627058479</v>
      </c>
      <c r="AE35">
        <f t="shared" si="9"/>
        <v>0.50579998602529042</v>
      </c>
      <c r="AF35">
        <f t="shared" si="10"/>
        <v>1</v>
      </c>
      <c r="AG35">
        <f t="shared" si="11"/>
        <v>0</v>
      </c>
      <c r="AI35" s="24">
        <f t="shared" si="12"/>
        <v>0.51642262050494414</v>
      </c>
      <c r="AJ35" s="13">
        <f t="shared" si="13"/>
        <v>0.87752755376738745</v>
      </c>
      <c r="AK35">
        <f t="shared" si="20"/>
        <v>0.51642262050494414</v>
      </c>
      <c r="AL35">
        <f t="shared" si="21"/>
        <v>1</v>
      </c>
      <c r="AM35">
        <f t="shared" si="22"/>
        <v>0</v>
      </c>
      <c r="AO35" s="24">
        <f t="shared" si="23"/>
        <v>0.50570429543422879</v>
      </c>
      <c r="AP35" s="13">
        <f t="shared" si="24"/>
        <v>0.81173005434244461</v>
      </c>
      <c r="AQ35">
        <f t="shared" si="25"/>
        <v>0.50570429543422879</v>
      </c>
      <c r="AR35">
        <f t="shared" si="26"/>
        <v>1</v>
      </c>
      <c r="AS35">
        <f t="shared" si="27"/>
        <v>0</v>
      </c>
      <c r="AU35" s="24">
        <f t="shared" si="28"/>
        <v>0.50486754753998386</v>
      </c>
      <c r="AV35" s="13">
        <f t="shared" si="29"/>
        <v>0.784668184518171</v>
      </c>
      <c r="AW35">
        <f t="shared" si="30"/>
        <v>0.50486754753998386</v>
      </c>
      <c r="AX35">
        <f t="shared" si="31"/>
        <v>1</v>
      </c>
      <c r="AY35">
        <f t="shared" si="14"/>
        <v>0</v>
      </c>
      <c r="BA35" s="24">
        <f t="shared" si="32"/>
        <v>0.54796739525311267</v>
      </c>
      <c r="BB35" s="13">
        <f t="shared" si="33"/>
        <v>0.76425709364402294</v>
      </c>
      <c r="BC35">
        <f t="shared" si="34"/>
        <v>0.54796739525311267</v>
      </c>
      <c r="BD35">
        <f t="shared" si="35"/>
        <v>1</v>
      </c>
      <c r="BE35">
        <f t="shared" si="15"/>
        <v>0</v>
      </c>
      <c r="BG35" s="24">
        <f t="shared" si="36"/>
        <v>0.55357290465528375</v>
      </c>
      <c r="BH35" s="13">
        <f t="shared" si="37"/>
        <v>0.75872641806462571</v>
      </c>
      <c r="BI35">
        <f t="shared" si="38"/>
        <v>0.55357290465528375</v>
      </c>
      <c r="BJ35">
        <f t="shared" si="39"/>
        <v>1</v>
      </c>
      <c r="BK35">
        <f t="shared" si="16"/>
        <v>0</v>
      </c>
    </row>
    <row r="36" spans="3:63" x14ac:dyDescent="0.3">
      <c r="C36" s="3"/>
      <c r="D36" s="1">
        <v>0.76604859731137442</v>
      </c>
      <c r="E36" s="1">
        <v>0.35483870967741937</v>
      </c>
      <c r="F36" s="1">
        <v>0.42448979591836739</v>
      </c>
      <c r="G36" s="1">
        <v>0.85528219971056441</v>
      </c>
      <c r="H36" s="1">
        <v>0.18181818181818182</v>
      </c>
      <c r="I36" s="1">
        <v>0.86183945139169005</v>
      </c>
      <c r="J36" s="1">
        <v>3.2299741602067167E-2</v>
      </c>
      <c r="K36" s="1">
        <v>5.6361992874993348E-3</v>
      </c>
      <c r="L36" s="1">
        <v>2.9900332225913621E-5</v>
      </c>
      <c r="M36" s="1">
        <v>3.7010368663594473E-2</v>
      </c>
      <c r="N36" s="1">
        <v>0.46088625819868828</v>
      </c>
      <c r="O36" s="8">
        <v>0.22760860315889098</v>
      </c>
      <c r="Q36" s="24">
        <f t="shared" si="0"/>
        <v>1.3339301615609451</v>
      </c>
      <c r="R36" s="13">
        <f t="shared" si="1"/>
        <v>1.5216300992632867</v>
      </c>
      <c r="S36">
        <f t="shared" si="17"/>
        <v>1.3339301615609451</v>
      </c>
      <c r="T36">
        <f t="shared" si="18"/>
        <v>1</v>
      </c>
      <c r="U36">
        <f t="shared" si="19"/>
        <v>0</v>
      </c>
      <c r="W36" s="24">
        <f t="shared" si="2"/>
        <v>1.0175050871707028</v>
      </c>
      <c r="X36" s="13">
        <f t="shared" si="3"/>
        <v>0.91947550499275288</v>
      </c>
      <c r="Y36">
        <f t="shared" si="4"/>
        <v>0.91947550499275288</v>
      </c>
      <c r="Z36">
        <f t="shared" si="5"/>
        <v>0</v>
      </c>
      <c r="AA36">
        <f t="shared" si="6"/>
        <v>1</v>
      </c>
      <c r="AC36" s="24">
        <f t="shared" si="7"/>
        <v>1.0885363644090524</v>
      </c>
      <c r="AD36" s="13">
        <f t="shared" si="8"/>
        <v>0.80446559224938197</v>
      </c>
      <c r="AE36">
        <f t="shared" si="9"/>
        <v>0.80446559224938197</v>
      </c>
      <c r="AF36">
        <f t="shared" si="10"/>
        <v>0</v>
      </c>
      <c r="AG36">
        <f t="shared" si="11"/>
        <v>1</v>
      </c>
      <c r="AI36" s="24">
        <f t="shared" si="12"/>
        <v>1.1076713030202729</v>
      </c>
      <c r="AJ36" s="13">
        <f t="shared" si="13"/>
        <v>0.80180154034964024</v>
      </c>
      <c r="AK36">
        <f t="shared" si="20"/>
        <v>0.80180154034964024</v>
      </c>
      <c r="AL36">
        <f t="shared" si="21"/>
        <v>0</v>
      </c>
      <c r="AM36">
        <f t="shared" si="22"/>
        <v>1</v>
      </c>
      <c r="AO36" s="24">
        <f t="shared" si="23"/>
        <v>1.1408869625290761</v>
      </c>
      <c r="AP36" s="13">
        <f t="shared" si="24"/>
        <v>0.78118304928805382</v>
      </c>
      <c r="AQ36">
        <f t="shared" si="25"/>
        <v>0.78118304928805382</v>
      </c>
      <c r="AR36">
        <f t="shared" si="26"/>
        <v>0</v>
      </c>
      <c r="AS36">
        <f t="shared" si="27"/>
        <v>1</v>
      </c>
      <c r="AU36" s="24">
        <f t="shared" si="28"/>
        <v>1.1904680583634706</v>
      </c>
      <c r="AV36" s="13">
        <f t="shared" si="29"/>
        <v>0.76639712770129609</v>
      </c>
      <c r="AW36">
        <f t="shared" si="30"/>
        <v>0.76639712770129609</v>
      </c>
      <c r="AX36">
        <f t="shared" si="31"/>
        <v>0</v>
      </c>
      <c r="AY36">
        <f t="shared" si="14"/>
        <v>1</v>
      </c>
      <c r="BA36" s="24">
        <f t="shared" si="32"/>
        <v>1.2790564035401442</v>
      </c>
      <c r="BB36" s="13">
        <f t="shared" si="33"/>
        <v>0.73000649285021535</v>
      </c>
      <c r="BC36">
        <f t="shared" si="34"/>
        <v>0.73000649285021535</v>
      </c>
      <c r="BD36">
        <f t="shared" si="35"/>
        <v>0</v>
      </c>
      <c r="BE36">
        <f t="shared" si="15"/>
        <v>1</v>
      </c>
      <c r="BG36" s="24">
        <f t="shared" si="36"/>
        <v>1.2960377573983579</v>
      </c>
      <c r="BH36" s="13">
        <f t="shared" si="37"/>
        <v>0.73546323042989548</v>
      </c>
      <c r="BI36">
        <f t="shared" si="38"/>
        <v>0.73546323042989548</v>
      </c>
      <c r="BJ36">
        <f t="shared" si="39"/>
        <v>0</v>
      </c>
      <c r="BK36">
        <f t="shared" si="16"/>
        <v>1</v>
      </c>
    </row>
    <row r="37" spans="3:63" x14ac:dyDescent="0.3">
      <c r="C37" s="3"/>
      <c r="D37" s="1">
        <v>0.41586489204039134</v>
      </c>
      <c r="E37" s="1">
        <v>0.22580645161290322</v>
      </c>
      <c r="F37" s="1">
        <v>0.62448979591836751</v>
      </c>
      <c r="G37" s="1">
        <v>0.66451782660176295</v>
      </c>
      <c r="H37" s="1">
        <v>0.81818181818181823</v>
      </c>
      <c r="I37" s="1">
        <v>0.72650262202501004</v>
      </c>
      <c r="J37" s="1">
        <v>0.42764857881136958</v>
      </c>
      <c r="K37" s="1">
        <v>0.40554049024299471</v>
      </c>
      <c r="L37" s="1">
        <v>5.3820598006644525E-4</v>
      </c>
      <c r="M37" s="1">
        <v>0.363479262672811</v>
      </c>
      <c r="N37" s="1">
        <v>0.23532234842425215</v>
      </c>
      <c r="O37" s="8">
        <v>0.19626281834205977</v>
      </c>
      <c r="Q37" s="24">
        <f t="shared" si="0"/>
        <v>0.78219215470549031</v>
      </c>
      <c r="R37" s="13">
        <f t="shared" si="1"/>
        <v>1.215781407792462</v>
      </c>
      <c r="S37">
        <f t="shared" si="17"/>
        <v>0.78219215470549031</v>
      </c>
      <c r="T37">
        <f t="shared" si="18"/>
        <v>1</v>
      </c>
      <c r="U37">
        <f t="shared" si="19"/>
        <v>0</v>
      </c>
      <c r="W37" s="24">
        <f t="shared" si="2"/>
        <v>0.58537871334926306</v>
      </c>
      <c r="X37" s="13">
        <f t="shared" si="3"/>
        <v>0.9618741829114581</v>
      </c>
      <c r="Y37">
        <f t="shared" si="4"/>
        <v>0.58537871334926306</v>
      </c>
      <c r="Z37">
        <f t="shared" si="5"/>
        <v>1</v>
      </c>
      <c r="AA37">
        <f t="shared" si="6"/>
        <v>0</v>
      </c>
      <c r="AC37" s="24">
        <f t="shared" si="7"/>
        <v>0.58788150020934327</v>
      </c>
      <c r="AD37" s="13">
        <f t="shared" si="8"/>
        <v>0.91592442375826366</v>
      </c>
      <c r="AE37">
        <f t="shared" si="9"/>
        <v>0.58788150020934327</v>
      </c>
      <c r="AF37">
        <f t="shared" si="10"/>
        <v>1</v>
      </c>
      <c r="AG37">
        <f t="shared" si="11"/>
        <v>0</v>
      </c>
      <c r="AI37" s="24">
        <f t="shared" si="12"/>
        <v>0.59348776433319128</v>
      </c>
      <c r="AJ37" s="13">
        <f t="shared" si="13"/>
        <v>0.88288978117174655</v>
      </c>
      <c r="AK37">
        <f t="shared" si="20"/>
        <v>0.59348776433319128</v>
      </c>
      <c r="AL37">
        <f t="shared" si="21"/>
        <v>1</v>
      </c>
      <c r="AM37">
        <f t="shared" si="22"/>
        <v>0</v>
      </c>
      <c r="AO37" s="24">
        <f t="shared" si="23"/>
        <v>0.62122745580509287</v>
      </c>
      <c r="AP37" s="13">
        <f t="shared" si="24"/>
        <v>0.78516953327059513</v>
      </c>
      <c r="AQ37">
        <f t="shared" si="25"/>
        <v>0.62122745580509287</v>
      </c>
      <c r="AR37">
        <f t="shared" si="26"/>
        <v>1</v>
      </c>
      <c r="AS37">
        <f t="shared" si="27"/>
        <v>0</v>
      </c>
      <c r="AU37" s="24">
        <f t="shared" si="28"/>
        <v>0.67986188917658785</v>
      </c>
      <c r="AV37" s="13">
        <f t="shared" si="29"/>
        <v>0.68997095782036222</v>
      </c>
      <c r="AW37">
        <f t="shared" si="30"/>
        <v>0.67986188917658785</v>
      </c>
      <c r="AX37">
        <f t="shared" si="31"/>
        <v>1</v>
      </c>
      <c r="AY37">
        <f t="shared" si="14"/>
        <v>0</v>
      </c>
      <c r="BA37" s="24">
        <f t="shared" si="32"/>
        <v>0.76929045375563188</v>
      </c>
      <c r="BB37" s="13">
        <f t="shared" si="33"/>
        <v>0.62980249678231182</v>
      </c>
      <c r="BC37">
        <f t="shared" si="34"/>
        <v>0.62980249678231182</v>
      </c>
      <c r="BD37">
        <f t="shared" si="35"/>
        <v>0</v>
      </c>
      <c r="BE37">
        <f t="shared" si="15"/>
        <v>1</v>
      </c>
      <c r="BG37" s="24">
        <f t="shared" si="36"/>
        <v>0.79887854813084858</v>
      </c>
      <c r="BH37" s="13">
        <f t="shared" si="37"/>
        <v>0.60461039691101937</v>
      </c>
      <c r="BI37">
        <f t="shared" si="38"/>
        <v>0.60461039691101937</v>
      </c>
      <c r="BJ37">
        <f t="shared" si="39"/>
        <v>0</v>
      </c>
      <c r="BK37">
        <f t="shared" si="16"/>
        <v>1</v>
      </c>
    </row>
    <row r="38" spans="3:63" x14ac:dyDescent="0.3">
      <c r="C38" s="3"/>
      <c r="D38" s="1">
        <v>0.24080877972999376</v>
      </c>
      <c r="E38" s="1">
        <v>0.25806451612903225</v>
      </c>
      <c r="F38" s="1">
        <v>0.42448979591836739</v>
      </c>
      <c r="G38" s="1">
        <v>0.63031180107880558</v>
      </c>
      <c r="H38" s="1">
        <v>0.72727272727272729</v>
      </c>
      <c r="I38" s="1">
        <v>0.83743444937474765</v>
      </c>
      <c r="J38" s="1">
        <v>0.1731266149870801</v>
      </c>
      <c r="K38" s="1">
        <v>0.29813367363215826</v>
      </c>
      <c r="L38" s="1">
        <v>2.4750830564784055E-5</v>
      </c>
      <c r="M38" s="1">
        <v>8.2661290322580627E-2</v>
      </c>
      <c r="N38" s="1">
        <v>0.2305231163013918</v>
      </c>
      <c r="O38" s="8">
        <v>0.43567167678241164</v>
      </c>
      <c r="Q38" s="24">
        <f t="shared" si="0"/>
        <v>0.69367926488891174</v>
      </c>
      <c r="R38" s="13">
        <f t="shared" si="1"/>
        <v>1.2194033738822982</v>
      </c>
      <c r="S38">
        <f t="shared" si="17"/>
        <v>0.69367926488891174</v>
      </c>
      <c r="T38">
        <f t="shared" si="18"/>
        <v>1</v>
      </c>
      <c r="U38">
        <f t="shared" si="19"/>
        <v>0</v>
      </c>
      <c r="W38" s="24">
        <f t="shared" si="2"/>
        <v>0.51334259789471015</v>
      </c>
      <c r="X38" s="13">
        <f t="shared" si="3"/>
        <v>0.88698772332028519</v>
      </c>
      <c r="Y38">
        <f t="shared" si="4"/>
        <v>0.51334259789471015</v>
      </c>
      <c r="Z38">
        <f t="shared" si="5"/>
        <v>1</v>
      </c>
      <c r="AA38">
        <f t="shared" si="6"/>
        <v>0</v>
      </c>
      <c r="AC38" s="24">
        <f t="shared" si="7"/>
        <v>0.55906172295219747</v>
      </c>
      <c r="AD38" s="13">
        <f t="shared" si="8"/>
        <v>0.75179875610166236</v>
      </c>
      <c r="AE38">
        <f t="shared" si="9"/>
        <v>0.55906172295219747</v>
      </c>
      <c r="AF38">
        <f t="shared" si="10"/>
        <v>1</v>
      </c>
      <c r="AG38">
        <f t="shared" si="11"/>
        <v>0</v>
      </c>
      <c r="AI38" s="24">
        <f t="shared" si="12"/>
        <v>0.58168701429955416</v>
      </c>
      <c r="AJ38" s="13">
        <f t="shared" si="13"/>
        <v>0.6976523658282836</v>
      </c>
      <c r="AK38">
        <f t="shared" si="20"/>
        <v>0.58168701429955416</v>
      </c>
      <c r="AL38">
        <f t="shared" si="21"/>
        <v>1</v>
      </c>
      <c r="AM38">
        <f t="shared" si="22"/>
        <v>0</v>
      </c>
      <c r="AO38" s="24">
        <f t="shared" si="23"/>
        <v>0.61133220470583927</v>
      </c>
      <c r="AP38" s="13">
        <f t="shared" si="24"/>
        <v>0.59840150882342147</v>
      </c>
      <c r="AQ38">
        <f t="shared" si="25"/>
        <v>0.59840150882342147</v>
      </c>
      <c r="AR38">
        <f t="shared" si="26"/>
        <v>0</v>
      </c>
      <c r="AS38">
        <f t="shared" si="27"/>
        <v>1</v>
      </c>
      <c r="AU38" s="24">
        <f t="shared" si="28"/>
        <v>0.68392090632928138</v>
      </c>
      <c r="AV38" s="13">
        <f t="shared" si="29"/>
        <v>0.50680342101151343</v>
      </c>
      <c r="AW38">
        <f t="shared" si="30"/>
        <v>0.50680342101151343</v>
      </c>
      <c r="AX38">
        <f t="shared" si="31"/>
        <v>0</v>
      </c>
      <c r="AY38">
        <f t="shared" si="14"/>
        <v>1</v>
      </c>
      <c r="BA38" s="24">
        <f t="shared" si="32"/>
        <v>0.7870379200116201</v>
      </c>
      <c r="BB38" s="13">
        <f t="shared" si="33"/>
        <v>0.43015504100136415</v>
      </c>
      <c r="BC38">
        <f t="shared" si="34"/>
        <v>0.43015504100136415</v>
      </c>
      <c r="BD38">
        <f t="shared" si="35"/>
        <v>0</v>
      </c>
      <c r="BE38">
        <f t="shared" si="15"/>
        <v>1</v>
      </c>
      <c r="BG38" s="24">
        <f t="shared" si="36"/>
        <v>0.80939679125609365</v>
      </c>
      <c r="BH38" s="13">
        <f t="shared" si="37"/>
        <v>0.41789746980789721</v>
      </c>
      <c r="BI38">
        <f t="shared" si="38"/>
        <v>0.41789746980789721</v>
      </c>
      <c r="BJ38">
        <f t="shared" si="39"/>
        <v>0</v>
      </c>
      <c r="BK38">
        <f t="shared" si="16"/>
        <v>1</v>
      </c>
    </row>
    <row r="39" spans="3:63" x14ac:dyDescent="0.3">
      <c r="C39" s="3"/>
      <c r="D39" s="1">
        <v>0.37862347329244639</v>
      </c>
      <c r="E39" s="1">
        <v>0.22580645161290322</v>
      </c>
      <c r="F39" s="1">
        <v>0.62653061224489803</v>
      </c>
      <c r="G39" s="1">
        <v>0.32640442047099066</v>
      </c>
      <c r="H39" s="1">
        <v>0.81818181818181823</v>
      </c>
      <c r="I39" s="1">
        <v>0.72357805566760791</v>
      </c>
      <c r="J39" s="1">
        <v>0.14470284237726097</v>
      </c>
      <c r="K39" s="1">
        <v>0.83304088903068019</v>
      </c>
      <c r="L39" s="1">
        <v>0</v>
      </c>
      <c r="M39" s="1">
        <v>6.3652073732718903E-2</v>
      </c>
      <c r="N39" s="1">
        <v>0.23852183650615905</v>
      </c>
      <c r="O39" s="8">
        <v>0.57492163553795805</v>
      </c>
      <c r="Q39" s="24">
        <f t="shared" si="0"/>
        <v>0</v>
      </c>
      <c r="R39" s="13">
        <f t="shared" si="1"/>
        <v>1.4091118800565123</v>
      </c>
      <c r="S39">
        <f t="shared" si="17"/>
        <v>0</v>
      </c>
      <c r="T39">
        <f t="shared" si="18"/>
        <v>1</v>
      </c>
      <c r="U39">
        <f t="shared" si="19"/>
        <v>0</v>
      </c>
      <c r="W39" s="24">
        <f t="shared" si="2"/>
        <v>0.44188304525941385</v>
      </c>
      <c r="X39" s="13">
        <f t="shared" si="3"/>
        <v>1.1747500295367774</v>
      </c>
      <c r="Y39">
        <f t="shared" si="4"/>
        <v>0.44188304525941385</v>
      </c>
      <c r="Z39">
        <f t="shared" si="5"/>
        <v>1</v>
      </c>
      <c r="AA39">
        <f t="shared" si="6"/>
        <v>0</v>
      </c>
      <c r="AC39" s="24">
        <f t="shared" si="7"/>
        <v>0.40954384588399845</v>
      </c>
      <c r="AD39" s="13">
        <f t="shared" si="8"/>
        <v>1.0373331710905336</v>
      </c>
      <c r="AE39">
        <f t="shared" si="9"/>
        <v>0.40954384588399845</v>
      </c>
      <c r="AF39">
        <f t="shared" si="10"/>
        <v>1</v>
      </c>
      <c r="AG39">
        <f t="shared" si="11"/>
        <v>0</v>
      </c>
      <c r="AI39" s="24">
        <f t="shared" si="12"/>
        <v>0.41099673435590123</v>
      </c>
      <c r="AJ39" s="13">
        <f t="shared" si="13"/>
        <v>0.98420653849578554</v>
      </c>
      <c r="AK39">
        <f t="shared" si="20"/>
        <v>0.41099673435590123</v>
      </c>
      <c r="AL39">
        <f t="shared" si="21"/>
        <v>1</v>
      </c>
      <c r="AM39">
        <f t="shared" si="22"/>
        <v>0</v>
      </c>
      <c r="AO39" s="24">
        <f t="shared" si="23"/>
        <v>0.39020889227714578</v>
      </c>
      <c r="AP39" s="13">
        <f t="shared" si="24"/>
        <v>0.89375957247863336</v>
      </c>
      <c r="AQ39">
        <f t="shared" si="25"/>
        <v>0.39020889227714578</v>
      </c>
      <c r="AR39">
        <f t="shared" si="26"/>
        <v>1</v>
      </c>
      <c r="AS39">
        <f t="shared" si="27"/>
        <v>0</v>
      </c>
      <c r="AU39" s="24">
        <f t="shared" si="28"/>
        <v>0.39545580453417534</v>
      </c>
      <c r="AV39" s="13">
        <f t="shared" si="29"/>
        <v>0.84123921055501405</v>
      </c>
      <c r="AW39">
        <f t="shared" si="30"/>
        <v>0.39545580453417534</v>
      </c>
      <c r="AX39">
        <f t="shared" si="31"/>
        <v>1</v>
      </c>
      <c r="AY39">
        <f t="shared" si="14"/>
        <v>0</v>
      </c>
      <c r="BA39" s="24">
        <f t="shared" si="32"/>
        <v>0.43432918793484249</v>
      </c>
      <c r="BB39" s="13">
        <f t="shared" si="33"/>
        <v>0.81390359783029842</v>
      </c>
      <c r="BC39">
        <f t="shared" si="34"/>
        <v>0.43432918793484249</v>
      </c>
      <c r="BD39">
        <f t="shared" si="35"/>
        <v>1</v>
      </c>
      <c r="BE39">
        <f t="shared" si="15"/>
        <v>0</v>
      </c>
      <c r="BG39" s="24">
        <f t="shared" si="36"/>
        <v>0.4427221236584209</v>
      </c>
      <c r="BH39" s="13">
        <f t="shared" si="37"/>
        <v>0.80323289341993975</v>
      </c>
      <c r="BI39">
        <f t="shared" si="38"/>
        <v>0.4427221236584209</v>
      </c>
      <c r="BJ39">
        <f t="shared" si="39"/>
        <v>1</v>
      </c>
      <c r="BK39">
        <f t="shared" si="16"/>
        <v>0</v>
      </c>
    </row>
    <row r="40" spans="3:63" x14ac:dyDescent="0.3">
      <c r="C40" s="3"/>
      <c r="D40" s="1">
        <v>0.37112753577606544</v>
      </c>
      <c r="E40" s="1">
        <v>0.19354838709677419</v>
      </c>
      <c r="F40" s="1">
        <v>0.45102040816326538</v>
      </c>
      <c r="G40" s="1">
        <v>0.37771345875542695</v>
      </c>
      <c r="H40" s="1">
        <v>0.18181818181818182</v>
      </c>
      <c r="I40" s="1">
        <v>0.66659943525615162</v>
      </c>
      <c r="J40" s="1">
        <v>0.20284237726098195</v>
      </c>
      <c r="K40" s="1">
        <v>0.84048492582549061</v>
      </c>
      <c r="L40" s="1">
        <v>5.0996677740863794E-4</v>
      </c>
      <c r="M40" s="1">
        <v>6.2644009216589858E-2</v>
      </c>
      <c r="N40" s="1">
        <v>0.26091825307950733</v>
      </c>
      <c r="O40" s="8">
        <v>0.62791424626846248</v>
      </c>
      <c r="Q40" s="24">
        <f t="shared" si="0"/>
        <v>0.67043655445523864</v>
      </c>
      <c r="R40" s="13">
        <f t="shared" si="1"/>
        <v>1.5022690777480829</v>
      </c>
      <c r="S40">
        <f t="shared" si="17"/>
        <v>0.67043655445523864</v>
      </c>
      <c r="T40">
        <f t="shared" si="18"/>
        <v>1</v>
      </c>
      <c r="U40">
        <f t="shared" si="19"/>
        <v>0</v>
      </c>
      <c r="W40" s="24">
        <f t="shared" si="2"/>
        <v>0.60241907956182483</v>
      </c>
      <c r="X40" s="13">
        <f t="shared" si="3"/>
        <v>1.0776831557173741</v>
      </c>
      <c r="Y40">
        <f t="shared" si="4"/>
        <v>0.60241907956182483</v>
      </c>
      <c r="Z40">
        <f t="shared" si="5"/>
        <v>1</v>
      </c>
      <c r="AA40">
        <f t="shared" si="6"/>
        <v>0</v>
      </c>
      <c r="AC40" s="24">
        <f t="shared" si="7"/>
        <v>0.64944205744178252</v>
      </c>
      <c r="AD40" s="13">
        <f t="shared" si="8"/>
        <v>0.86829710961235695</v>
      </c>
      <c r="AE40">
        <f t="shared" si="9"/>
        <v>0.64944205744178252</v>
      </c>
      <c r="AF40">
        <f t="shared" si="10"/>
        <v>1</v>
      </c>
      <c r="AG40">
        <f t="shared" si="11"/>
        <v>0</v>
      </c>
      <c r="AI40" s="24">
        <f t="shared" si="12"/>
        <v>0.65890516725744397</v>
      </c>
      <c r="AJ40" s="13">
        <f t="shared" si="13"/>
        <v>0.83813943453085604</v>
      </c>
      <c r="AK40">
        <f t="shared" si="20"/>
        <v>0.65890516725744397</v>
      </c>
      <c r="AL40">
        <f t="shared" si="21"/>
        <v>1</v>
      </c>
      <c r="AM40">
        <f t="shared" si="22"/>
        <v>0</v>
      </c>
      <c r="AO40" s="24">
        <f t="shared" si="23"/>
        <v>0.64510766019761823</v>
      </c>
      <c r="AP40" s="13">
        <f t="shared" si="24"/>
        <v>0.81142358972086459</v>
      </c>
      <c r="AQ40">
        <f t="shared" si="25"/>
        <v>0.64510766019761823</v>
      </c>
      <c r="AR40">
        <f t="shared" si="26"/>
        <v>1</v>
      </c>
      <c r="AS40">
        <f t="shared" si="27"/>
        <v>0</v>
      </c>
      <c r="AU40" s="24">
        <f t="shared" si="28"/>
        <v>0.63387022545597094</v>
      </c>
      <c r="AV40" s="13">
        <f t="shared" si="29"/>
        <v>0.81851784335273337</v>
      </c>
      <c r="AW40">
        <f t="shared" si="30"/>
        <v>0.63387022545597094</v>
      </c>
      <c r="AX40">
        <f t="shared" si="31"/>
        <v>1</v>
      </c>
      <c r="AY40">
        <f t="shared" si="14"/>
        <v>0</v>
      </c>
      <c r="BA40" s="24">
        <f t="shared" si="32"/>
        <v>0.63083362774493557</v>
      </c>
      <c r="BB40" s="13">
        <f t="shared" si="33"/>
        <v>0.8382973555917731</v>
      </c>
      <c r="BC40">
        <f t="shared" si="34"/>
        <v>0.63083362774493557</v>
      </c>
      <c r="BD40">
        <f t="shared" si="35"/>
        <v>1</v>
      </c>
      <c r="BE40">
        <f t="shared" si="15"/>
        <v>0</v>
      </c>
      <c r="BG40" s="24">
        <f t="shared" si="36"/>
        <v>0.62996082040530432</v>
      </c>
      <c r="BH40" s="13">
        <f t="shared" si="37"/>
        <v>0.83728527323460533</v>
      </c>
      <c r="BI40">
        <f t="shared" si="38"/>
        <v>0.62996082040530432</v>
      </c>
      <c r="BJ40">
        <f t="shared" si="39"/>
        <v>1</v>
      </c>
      <c r="BK40">
        <f t="shared" si="16"/>
        <v>0</v>
      </c>
    </row>
    <row r="41" spans="3:63" x14ac:dyDescent="0.3">
      <c r="C41" s="3"/>
      <c r="D41" s="1">
        <v>0.4234180140769227</v>
      </c>
      <c r="E41" s="1">
        <v>0.16129032258064516</v>
      </c>
      <c r="F41" s="1">
        <v>0.37959183673469388</v>
      </c>
      <c r="G41" s="1">
        <v>0.52111564267859489</v>
      </c>
      <c r="H41" s="1">
        <v>1</v>
      </c>
      <c r="I41" s="1">
        <v>0.81070996369503823</v>
      </c>
      <c r="J41" s="1">
        <v>0.1459948320413437</v>
      </c>
      <c r="K41" s="1">
        <v>0.48210772584675926</v>
      </c>
      <c r="L41" s="1">
        <v>0</v>
      </c>
      <c r="M41" s="1">
        <v>0.14314516129032256</v>
      </c>
      <c r="N41" s="1">
        <v>0.3025115981442969</v>
      </c>
      <c r="O41" s="8">
        <v>0.85616539460088392</v>
      </c>
      <c r="Q41" s="24">
        <f t="shared" si="0"/>
        <v>0.59864644671540757</v>
      </c>
      <c r="R41" s="13">
        <f t="shared" si="1"/>
        <v>1.2504429109870858</v>
      </c>
      <c r="S41">
        <f t="shared" si="17"/>
        <v>0.59864644671540757</v>
      </c>
      <c r="T41">
        <f t="shared" si="18"/>
        <v>1</v>
      </c>
      <c r="U41">
        <f t="shared" si="19"/>
        <v>0</v>
      </c>
      <c r="W41" s="24">
        <f t="shared" si="2"/>
        <v>0.65696448717092537</v>
      </c>
      <c r="X41" s="13">
        <f t="shared" si="3"/>
        <v>1.1106572730015676</v>
      </c>
      <c r="Y41">
        <f t="shared" si="4"/>
        <v>0.65696448717092537</v>
      </c>
      <c r="Z41">
        <f t="shared" si="5"/>
        <v>1</v>
      </c>
      <c r="AA41">
        <f t="shared" si="6"/>
        <v>0</v>
      </c>
      <c r="AC41" s="24">
        <f t="shared" si="7"/>
        <v>0.69016221380305154</v>
      </c>
      <c r="AD41" s="13">
        <f t="shared" si="8"/>
        <v>0.93575836380297595</v>
      </c>
      <c r="AE41">
        <f t="shared" si="9"/>
        <v>0.69016221380305154</v>
      </c>
      <c r="AF41">
        <f t="shared" si="10"/>
        <v>1</v>
      </c>
      <c r="AG41">
        <f t="shared" si="11"/>
        <v>0</v>
      </c>
      <c r="AI41" s="24">
        <f t="shared" si="12"/>
        <v>0.71692401188841182</v>
      </c>
      <c r="AJ41" s="13">
        <f t="shared" si="13"/>
        <v>0.86021444664177638</v>
      </c>
      <c r="AK41">
        <f t="shared" si="20"/>
        <v>0.71692401188841182</v>
      </c>
      <c r="AL41">
        <f t="shared" si="21"/>
        <v>1</v>
      </c>
      <c r="AM41">
        <f t="shared" si="22"/>
        <v>0</v>
      </c>
      <c r="AO41" s="24">
        <f t="shared" si="23"/>
        <v>0.7244722772482971</v>
      </c>
      <c r="AP41" s="13">
        <f t="shared" si="24"/>
        <v>0.78456601590808894</v>
      </c>
      <c r="AQ41">
        <f t="shared" si="25"/>
        <v>0.7244722772482971</v>
      </c>
      <c r="AR41">
        <f t="shared" si="26"/>
        <v>1</v>
      </c>
      <c r="AS41">
        <f t="shared" si="27"/>
        <v>0</v>
      </c>
      <c r="AU41" s="24">
        <f t="shared" si="28"/>
        <v>0.76592545088098862</v>
      </c>
      <c r="AV41" s="13">
        <f t="shared" si="29"/>
        <v>0.75042836782361932</v>
      </c>
      <c r="AW41">
        <f t="shared" si="30"/>
        <v>0.75042836782361932</v>
      </c>
      <c r="AX41">
        <f t="shared" si="31"/>
        <v>0</v>
      </c>
      <c r="AY41">
        <f t="shared" si="14"/>
        <v>1</v>
      </c>
      <c r="BA41" s="24">
        <f t="shared" si="32"/>
        <v>0.84086870971978334</v>
      </c>
      <c r="BB41" s="13">
        <f t="shared" si="33"/>
        <v>0.7083011010200011</v>
      </c>
      <c r="BC41">
        <f t="shared" si="34"/>
        <v>0.7083011010200011</v>
      </c>
      <c r="BD41">
        <f t="shared" si="35"/>
        <v>0</v>
      </c>
      <c r="BE41">
        <f t="shared" si="15"/>
        <v>1</v>
      </c>
      <c r="BG41" s="24">
        <f t="shared" si="36"/>
        <v>0.85499803865009028</v>
      </c>
      <c r="BH41" s="13">
        <f t="shared" si="37"/>
        <v>0.70309082048661509</v>
      </c>
      <c r="BI41">
        <f t="shared" si="38"/>
        <v>0.70309082048661509</v>
      </c>
      <c r="BJ41">
        <f t="shared" si="39"/>
        <v>0</v>
      </c>
      <c r="BK41">
        <f t="shared" si="16"/>
        <v>1</v>
      </c>
    </row>
    <row r="42" spans="3:63" x14ac:dyDescent="0.3">
      <c r="C42" s="3"/>
      <c r="D42" s="1">
        <v>0.15293523376555299</v>
      </c>
      <c r="E42" s="1">
        <v>0.29032258064516131</v>
      </c>
      <c r="F42" s="1">
        <v>0.7</v>
      </c>
      <c r="G42" s="1">
        <v>0.71319563215366399</v>
      </c>
      <c r="H42" s="1">
        <v>0.45454545454545453</v>
      </c>
      <c r="I42" s="1">
        <v>0.81222267043162544</v>
      </c>
      <c r="J42" s="1">
        <v>0.12532299741602063</v>
      </c>
      <c r="K42" s="1">
        <v>0.28537246769819752</v>
      </c>
      <c r="L42" s="1">
        <v>0</v>
      </c>
      <c r="M42" s="1">
        <v>7.4740783410138248E-2</v>
      </c>
      <c r="N42" s="1">
        <v>0.81762917933130697</v>
      </c>
      <c r="O42" s="8">
        <v>0.61080865178393107</v>
      </c>
      <c r="Q42" s="24">
        <f t="shared" ref="Q42:Q60" si="40">SQRT(
($D$6 - D42)^2 +
($E$6 -E42)^2 +
($F$6 - F42)^2 +
($G$6 - G42)^2 +
($H$6 - H42)^2 +
($I$6 - I42)^2 +
($J$6 - J42)^2 +
($K$6 - K42)^2 +
($L$6 - L42)^2 +
($M$6 - M42)^2 +
($N$6 - N42)^2 +
($O$6 - O42)^2)</f>
        <v>0.9936218634220676</v>
      </c>
      <c r="R42" s="13">
        <f t="shared" ref="R42:R60" si="41">SQRT(
($D$7 - D42)^2 +
($E$7 -E42)^2 +
($F$7 - F42)^2 +
($G$7 - G42)^2 +
($H$7 - H42)^2 +
($I$7 - I42)^2 +
($J$7 - J42)^2 +
($K$7 - K42)^2 +
($L$7 - L42)^2 +
($M$7 - M42)^2 +
($N$7 - N42)^2 +
($O$7 - O42)^2)</f>
        <v>1.2916704896210187</v>
      </c>
      <c r="S42">
        <f t="shared" si="17"/>
        <v>0.9936218634220676</v>
      </c>
      <c r="T42">
        <f t="shared" si="18"/>
        <v>1</v>
      </c>
      <c r="U42">
        <f t="shared" si="19"/>
        <v>0</v>
      </c>
      <c r="W42" s="24">
        <f t="shared" ref="W42:W60" si="42">SQRT(
($D$62 - D42)^2 +
($E$62 -E42)^2 +
($F$62- F42)^2 +
($G$62 - G42)^2 +
($H$62 - H42)^2 +
($I$62 - I42)^2 +
($J$62 - J42)^2 +
($K$62 - K42)^2 +
($L$62 - L42)^2 +
($M$62 - M42)^2 +
($N$62 - N42)^2 +
($O$62 - O42)^2)</f>
        <v>0.7691388954847207</v>
      </c>
      <c r="X42" s="13">
        <f t="shared" ref="X42:X60" si="43">SQRT(
($D$63 - D42)^2 +
($E$63 -E42)^2 +
($F$63- F42)^2 +
($G$63 - G42)^2 +
($H$63 - H42)^2 +
($I$63 - I42)^2 +
($J$63 - J42)^2 +
($K$63 - K42)^2 +
($L$63 - L42)^2 +
($M$63 - M42)^2 +
($N$63 - N42)^2 +
($O$63 - O42)^2)</f>
        <v>0.70343369299734226</v>
      </c>
      <c r="Y42">
        <f t="shared" ref="Y42:Y60" si="44">MIN(W42:X42)</f>
        <v>0.70343369299734226</v>
      </c>
      <c r="Z42">
        <f t="shared" ref="Z42:Z60" si="45">IF(Y42 =W42,1,0)</f>
        <v>0</v>
      </c>
      <c r="AA42">
        <f t="shared" ref="AA42:AA60" si="46">IF(Y42 = X42, 1, 0)</f>
        <v>1</v>
      </c>
      <c r="AC42" s="24">
        <f t="shared" ref="AC42:AC60" si="47">SQRT(
($D$66 - D42)^2 +
($E$66 -E42)^2 +
($F$66- F42)^2 +
($G$66 - G42)^2 +
($H$66 - H42)^2 +
($I$66 - I42)^2 +
($J$66 - J42)^2 +
($K$66 - K42)^2 +
($L$66 - L42)^2 +
($M$66 - M42)^2 +
($N$66 - N42)^2 +
($O$66 - O42)^2)</f>
        <v>0.85965847171409504</v>
      </c>
      <c r="AD42" s="13">
        <f t="shared" ref="AD42:AD60" si="48">SQRT(
($D$67 - D42)^2 +
($E$67 -E42)^2 +
($F$67- F42)^2 +
($G$67 - G42)^2 +
($H$67 - H42)^2 +
($I$67 - I42)^2 +
($J$67 - J42)^2 +
($K$67 - K42)^2 +
($L$67 - L42)^2 +
($M$67 - M42)^2 +
($N$67 - N42)^2 +
($O$67 - O42)^2)</f>
        <v>0.50358275126078822</v>
      </c>
      <c r="AE42">
        <f t="shared" ref="AE42:AE60" si="49">MIN(AC42:AD42)</f>
        <v>0.50358275126078822</v>
      </c>
      <c r="AF42">
        <f t="shared" ref="AF42:AF60" si="50">IF(AE42 =AC42,1,0)</f>
        <v>0</v>
      </c>
      <c r="AG42">
        <f t="shared" ref="AG42:AG60" si="51">IF(AE42 = AD42, 1, 0)</f>
        <v>1</v>
      </c>
      <c r="AI42" s="24">
        <f t="shared" ref="AI42:AI60" si="52">SQRT(
($D$70 - D42)^2 +
($E$70 -E42)^2 +
($F$70 - F42)^2 +
($G$70 - G42)^2 +
($H$70 - H42)^2 +
($I$70 - I42)^2 +
($J$70 - J42)^2 +
($K$70 - K42)^2 +
($L$70 - L42)^2 +
($M$70 - M42)^2 +
($N$70 - N42)^2 +
($O$70 - O42)^2)</f>
        <v>0.87917010575079158</v>
      </c>
      <c r="AJ42" s="13">
        <f t="shared" ref="AJ42:AJ60" si="53">SQRT(
($D$71 - D42)^2 +
($E$71 -E42)^2 +
($F$71 - F42)^2 +
($G$71 - G42)^2 +
($H$71 - H42)^2 +
($I$71 - I42)^2 +
($J$71 - J42)^2 +
($K$71 - K42)^2 +
($L$71 - L42)^2 +
($M$71 - M42)^2 +
($N$71 - N42)^2 +
($O$71 - O42)^2)</f>
        <v>0.5147170329652424</v>
      </c>
      <c r="AK42">
        <f t="shared" si="20"/>
        <v>0.5147170329652424</v>
      </c>
      <c r="AL42">
        <f t="shared" si="21"/>
        <v>0</v>
      </c>
      <c r="AM42">
        <f t="shared" si="22"/>
        <v>1</v>
      </c>
      <c r="AO42" s="24">
        <f t="shared" si="23"/>
        <v>0.91599543518068305</v>
      </c>
      <c r="AP42" s="13">
        <f t="shared" si="24"/>
        <v>0.44439649824981342</v>
      </c>
      <c r="AQ42">
        <f t="shared" si="25"/>
        <v>0.44439649824981342</v>
      </c>
      <c r="AR42">
        <f t="shared" si="26"/>
        <v>0</v>
      </c>
      <c r="AS42">
        <f t="shared" si="27"/>
        <v>1</v>
      </c>
      <c r="AU42" s="24">
        <f t="shared" si="28"/>
        <v>0.97716748321605462</v>
      </c>
      <c r="AV42" s="13">
        <f t="shared" si="29"/>
        <v>0.44795996200231641</v>
      </c>
      <c r="AW42">
        <f t="shared" si="30"/>
        <v>0.44795996200231641</v>
      </c>
      <c r="AX42">
        <f t="shared" si="31"/>
        <v>0</v>
      </c>
      <c r="AY42">
        <f t="shared" si="14"/>
        <v>1</v>
      </c>
      <c r="BA42" s="24">
        <f t="shared" si="32"/>
        <v>1.0329902492932492</v>
      </c>
      <c r="BB42" s="13">
        <f t="shared" si="33"/>
        <v>0.49938961115022523</v>
      </c>
      <c r="BC42">
        <f t="shared" si="34"/>
        <v>0.49938961115022523</v>
      </c>
      <c r="BD42">
        <f t="shared" si="35"/>
        <v>0</v>
      </c>
      <c r="BE42">
        <f t="shared" si="15"/>
        <v>1</v>
      </c>
      <c r="BG42" s="24">
        <f t="shared" si="36"/>
        <v>1.0470534285604891</v>
      </c>
      <c r="BH42" s="13">
        <f t="shared" si="37"/>
        <v>0.51090743829005214</v>
      </c>
      <c r="BI42">
        <f t="shared" si="38"/>
        <v>0.51090743829005214</v>
      </c>
      <c r="BJ42">
        <f t="shared" si="39"/>
        <v>0</v>
      </c>
      <c r="BK42">
        <f t="shared" si="16"/>
        <v>1</v>
      </c>
    </row>
    <row r="43" spans="3:63" x14ac:dyDescent="0.3">
      <c r="C43" s="3"/>
      <c r="D43" s="1">
        <v>0.70857815456022721</v>
      </c>
      <c r="E43" s="1">
        <v>0.29032258064516131</v>
      </c>
      <c r="F43" s="1">
        <v>0.3693877551020408</v>
      </c>
      <c r="G43" s="1">
        <v>0.73029864491514285</v>
      </c>
      <c r="H43" s="1">
        <v>0.81818181818181823</v>
      </c>
      <c r="I43" s="1">
        <v>0.68646631706333194</v>
      </c>
      <c r="J43" s="1">
        <v>0.29198966408268734</v>
      </c>
      <c r="K43" s="1">
        <v>1.6642739405540494E-2</v>
      </c>
      <c r="L43" s="1">
        <v>3.3554817275747512E-4</v>
      </c>
      <c r="M43" s="1">
        <v>9.8502304147465441E-2</v>
      </c>
      <c r="N43" s="1">
        <v>0.35370340745480727</v>
      </c>
      <c r="O43" s="8">
        <v>0.72595448348919411</v>
      </c>
      <c r="Q43" s="24">
        <f t="shared" si="40"/>
        <v>1.0339992313417994</v>
      </c>
      <c r="R43" s="13">
        <f t="shared" si="41"/>
        <v>1.0385801872669349</v>
      </c>
      <c r="S43">
        <f t="shared" si="17"/>
        <v>1.0339992313417994</v>
      </c>
      <c r="T43">
        <f t="shared" si="18"/>
        <v>1</v>
      </c>
      <c r="U43">
        <f t="shared" si="19"/>
        <v>0</v>
      </c>
      <c r="W43" s="24">
        <f t="shared" si="42"/>
        <v>0.81856088047149722</v>
      </c>
      <c r="X43" s="13">
        <f t="shared" si="43"/>
        <v>0.85636185693936784</v>
      </c>
      <c r="Y43">
        <f t="shared" si="44"/>
        <v>0.81856088047149722</v>
      </c>
      <c r="Z43">
        <f t="shared" si="45"/>
        <v>1</v>
      </c>
      <c r="AA43">
        <f t="shared" si="46"/>
        <v>0</v>
      </c>
      <c r="AC43" s="24">
        <f t="shared" si="47"/>
        <v>0.87915743879995623</v>
      </c>
      <c r="AD43" s="13">
        <f t="shared" si="48"/>
        <v>0.75290497210369989</v>
      </c>
      <c r="AE43">
        <f t="shared" si="49"/>
        <v>0.75290497210369989</v>
      </c>
      <c r="AF43">
        <f t="shared" si="50"/>
        <v>0</v>
      </c>
      <c r="AG43">
        <f t="shared" si="51"/>
        <v>1</v>
      </c>
      <c r="AI43" s="24">
        <f t="shared" si="52"/>
        <v>0.91055943215445445</v>
      </c>
      <c r="AJ43" s="13">
        <f t="shared" si="53"/>
        <v>0.68565161093305549</v>
      </c>
      <c r="AK43">
        <f t="shared" si="20"/>
        <v>0.68565161093305549</v>
      </c>
      <c r="AL43">
        <f t="shared" si="21"/>
        <v>0</v>
      </c>
      <c r="AM43">
        <f t="shared" si="22"/>
        <v>1</v>
      </c>
      <c r="AO43" s="24">
        <f t="shared" si="23"/>
        <v>0.93731866188108226</v>
      </c>
      <c r="AP43" s="13">
        <f t="shared" si="24"/>
        <v>0.64403008350415769</v>
      </c>
      <c r="AQ43">
        <f t="shared" si="25"/>
        <v>0.64403008350415769</v>
      </c>
      <c r="AR43">
        <f t="shared" si="26"/>
        <v>0</v>
      </c>
      <c r="AS43">
        <f t="shared" si="27"/>
        <v>1</v>
      </c>
      <c r="AU43" s="24">
        <f t="shared" si="28"/>
        <v>0.99328715572421344</v>
      </c>
      <c r="AV43" s="13">
        <f t="shared" si="29"/>
        <v>0.6143490629995163</v>
      </c>
      <c r="AW43">
        <f t="shared" si="30"/>
        <v>0.6143490629995163</v>
      </c>
      <c r="AX43">
        <f t="shared" si="31"/>
        <v>0</v>
      </c>
      <c r="AY43">
        <f t="shared" si="14"/>
        <v>1</v>
      </c>
      <c r="BA43" s="24">
        <f t="shared" si="32"/>
        <v>1.0895810192172346</v>
      </c>
      <c r="BB43" s="13">
        <f t="shared" si="33"/>
        <v>0.56066750179512104</v>
      </c>
      <c r="BC43">
        <f t="shared" si="34"/>
        <v>0.56066750179512104</v>
      </c>
      <c r="BD43">
        <f t="shared" si="35"/>
        <v>0</v>
      </c>
      <c r="BE43">
        <f t="shared" si="15"/>
        <v>1</v>
      </c>
      <c r="BG43" s="24">
        <f t="shared" si="36"/>
        <v>1.1089377756530565</v>
      </c>
      <c r="BH43" s="13">
        <f t="shared" si="37"/>
        <v>0.56067328913377201</v>
      </c>
      <c r="BI43">
        <f t="shared" si="38"/>
        <v>0.56067328913377201</v>
      </c>
      <c r="BJ43">
        <f t="shared" si="39"/>
        <v>0</v>
      </c>
      <c r="BK43">
        <f t="shared" si="16"/>
        <v>1</v>
      </c>
    </row>
    <row r="44" spans="3:63" x14ac:dyDescent="0.3">
      <c r="C44" s="3"/>
      <c r="D44" s="1">
        <v>0.68862552240441843</v>
      </c>
      <c r="E44" s="1">
        <v>0.16129032258064516</v>
      </c>
      <c r="F44" s="1">
        <v>0.6183673469387756</v>
      </c>
      <c r="G44" s="1">
        <v>0.14221812919352717</v>
      </c>
      <c r="H44" s="1">
        <v>0.45454545454545453</v>
      </c>
      <c r="I44" s="1">
        <v>0.22509076240419515</v>
      </c>
      <c r="J44" s="1">
        <v>0.12532299741602063</v>
      </c>
      <c r="K44" s="1">
        <v>0.88408571276652315</v>
      </c>
      <c r="L44" s="1">
        <v>0</v>
      </c>
      <c r="M44" s="1">
        <v>0.10714285714285714</v>
      </c>
      <c r="N44" s="1">
        <v>0.40969444888817791</v>
      </c>
      <c r="O44" s="8">
        <v>0.52032266187362697</v>
      </c>
      <c r="Q44" s="24">
        <f t="shared" si="40"/>
        <v>0.74305418946073543</v>
      </c>
      <c r="R44" s="13">
        <f t="shared" si="41"/>
        <v>1.6687964804098965</v>
      </c>
      <c r="S44">
        <f t="shared" si="17"/>
        <v>0.74305418946073543</v>
      </c>
      <c r="T44">
        <f t="shared" si="18"/>
        <v>1</v>
      </c>
      <c r="U44">
        <f t="shared" si="19"/>
        <v>0</v>
      </c>
      <c r="W44" s="24">
        <f t="shared" si="42"/>
        <v>0.67665890521419414</v>
      </c>
      <c r="X44" s="13">
        <f t="shared" si="43"/>
        <v>1.3533928132509552</v>
      </c>
      <c r="Y44">
        <f t="shared" si="44"/>
        <v>0.67665890521419414</v>
      </c>
      <c r="Z44">
        <f t="shared" si="45"/>
        <v>1</v>
      </c>
      <c r="AA44">
        <f t="shared" si="46"/>
        <v>0</v>
      </c>
      <c r="AC44" s="24">
        <f t="shared" si="47"/>
        <v>0.65972307325146484</v>
      </c>
      <c r="AD44" s="13">
        <f t="shared" si="48"/>
        <v>1.1860708440083956</v>
      </c>
      <c r="AE44">
        <f t="shared" si="49"/>
        <v>0.65972307325146484</v>
      </c>
      <c r="AF44">
        <f t="shared" si="50"/>
        <v>1</v>
      </c>
      <c r="AG44">
        <f t="shared" si="51"/>
        <v>0</v>
      </c>
      <c r="AI44" s="24">
        <f t="shared" si="52"/>
        <v>0.65220334388563606</v>
      </c>
      <c r="AJ44" s="13">
        <f t="shared" si="53"/>
        <v>1.1497677745676051</v>
      </c>
      <c r="AK44">
        <f t="shared" si="20"/>
        <v>0.65220334388563606</v>
      </c>
      <c r="AL44">
        <f t="shared" si="21"/>
        <v>1</v>
      </c>
      <c r="AM44">
        <f t="shared" si="22"/>
        <v>0</v>
      </c>
      <c r="AO44" s="24">
        <f t="shared" si="23"/>
        <v>0.62984956249130142</v>
      </c>
      <c r="AP44" s="13">
        <f t="shared" si="24"/>
        <v>1.0944043623640596</v>
      </c>
      <c r="AQ44">
        <f t="shared" si="25"/>
        <v>0.62984956249130142</v>
      </c>
      <c r="AR44">
        <f t="shared" si="26"/>
        <v>1</v>
      </c>
      <c r="AS44">
        <f t="shared" si="27"/>
        <v>0</v>
      </c>
      <c r="AU44" s="24">
        <f t="shared" si="28"/>
        <v>0.57387942502102152</v>
      </c>
      <c r="AV44" s="13">
        <f t="shared" si="29"/>
        <v>1.0752234281247088</v>
      </c>
      <c r="AW44">
        <f t="shared" si="30"/>
        <v>0.57387942502102152</v>
      </c>
      <c r="AX44">
        <f t="shared" si="31"/>
        <v>1</v>
      </c>
      <c r="AY44">
        <f t="shared" si="14"/>
        <v>0</v>
      </c>
      <c r="BA44" s="24">
        <f t="shared" si="32"/>
        <v>0.5095929403081938</v>
      </c>
      <c r="BB44" s="13">
        <f t="shared" si="33"/>
        <v>1.0862483509724763</v>
      </c>
      <c r="BC44">
        <f t="shared" si="34"/>
        <v>0.5095929403081938</v>
      </c>
      <c r="BD44">
        <f t="shared" si="35"/>
        <v>1</v>
      </c>
      <c r="BE44">
        <f t="shared" si="15"/>
        <v>0</v>
      </c>
      <c r="BG44" s="24">
        <f t="shared" si="36"/>
        <v>0.49495485189851635</v>
      </c>
      <c r="BH44" s="13">
        <f t="shared" si="37"/>
        <v>1.0806339275084789</v>
      </c>
      <c r="BI44">
        <f t="shared" si="38"/>
        <v>0.49495485189851635</v>
      </c>
      <c r="BJ44">
        <f t="shared" si="39"/>
        <v>1</v>
      </c>
      <c r="BK44">
        <f t="shared" si="16"/>
        <v>0</v>
      </c>
    </row>
    <row r="45" spans="3:63" x14ac:dyDescent="0.3">
      <c r="C45" s="3"/>
      <c r="D45" s="1">
        <v>0.18749851081978774</v>
      </c>
      <c r="E45" s="1">
        <v>0.16129032258064516</v>
      </c>
      <c r="F45" s="1">
        <v>0.65510204081632673</v>
      </c>
      <c r="G45" s="1">
        <v>0.13958689646099198</v>
      </c>
      <c r="H45" s="1">
        <v>0.72727272727272729</v>
      </c>
      <c r="I45" s="1">
        <v>0.18293666801129488</v>
      </c>
      <c r="J45" s="1">
        <v>0.23643410852713179</v>
      </c>
      <c r="K45" s="1">
        <v>0.96916041899292826</v>
      </c>
      <c r="L45" s="1">
        <v>3.6877076411960134E-4</v>
      </c>
      <c r="M45" s="1">
        <v>0.15178571428571427</v>
      </c>
      <c r="N45" s="1">
        <v>0.50887857942729164</v>
      </c>
      <c r="O45" s="8">
        <v>0.6662238314795037</v>
      </c>
      <c r="Q45" s="24">
        <f t="shared" si="40"/>
        <v>0.702214678351611</v>
      </c>
      <c r="R45" s="13">
        <f t="shared" si="41"/>
        <v>1.5995397033031862</v>
      </c>
      <c r="S45">
        <f t="shared" si="17"/>
        <v>0.702214678351611</v>
      </c>
      <c r="T45">
        <f t="shared" si="18"/>
        <v>1</v>
      </c>
      <c r="U45">
        <f t="shared" si="19"/>
        <v>0</v>
      </c>
      <c r="W45" s="24">
        <f t="shared" si="42"/>
        <v>0.74528567928853762</v>
      </c>
      <c r="X45" s="13">
        <f t="shared" si="43"/>
        <v>1.405182858175382</v>
      </c>
      <c r="Y45">
        <f t="shared" si="44"/>
        <v>0.74528567928853762</v>
      </c>
      <c r="Z45">
        <f t="shared" si="45"/>
        <v>1</v>
      </c>
      <c r="AA45">
        <f t="shared" si="46"/>
        <v>0</v>
      </c>
      <c r="AC45" s="24">
        <f t="shared" si="47"/>
        <v>0.71811409449880415</v>
      </c>
      <c r="AD45" s="13">
        <f t="shared" si="48"/>
        <v>1.259850104420295</v>
      </c>
      <c r="AE45">
        <f t="shared" si="49"/>
        <v>0.71811409449880415</v>
      </c>
      <c r="AF45">
        <f t="shared" si="50"/>
        <v>1</v>
      </c>
      <c r="AG45">
        <f t="shared" si="51"/>
        <v>0</v>
      </c>
      <c r="AI45" s="24">
        <f t="shared" si="52"/>
        <v>0.70858252208553596</v>
      </c>
      <c r="AJ45" s="13">
        <f t="shared" si="53"/>
        <v>1.2239083356587219</v>
      </c>
      <c r="AK45">
        <f t="shared" si="20"/>
        <v>0.70858252208553596</v>
      </c>
      <c r="AL45">
        <f t="shared" si="21"/>
        <v>1</v>
      </c>
      <c r="AM45">
        <f t="shared" si="22"/>
        <v>0</v>
      </c>
      <c r="AO45" s="24">
        <f t="shared" si="23"/>
        <v>0.68636110709410314</v>
      </c>
      <c r="AP45" s="13">
        <f t="shared" si="24"/>
        <v>1.1597693829472298</v>
      </c>
      <c r="AQ45">
        <f t="shared" si="25"/>
        <v>0.68636110709410314</v>
      </c>
      <c r="AR45">
        <f t="shared" si="26"/>
        <v>1</v>
      </c>
      <c r="AS45">
        <f t="shared" si="27"/>
        <v>0</v>
      </c>
      <c r="AU45" s="24">
        <f t="shared" si="28"/>
        <v>0.64939407724005616</v>
      </c>
      <c r="AV45" s="13">
        <f t="shared" si="29"/>
        <v>1.1298018664155576</v>
      </c>
      <c r="AW45">
        <f t="shared" si="30"/>
        <v>0.64939407724005616</v>
      </c>
      <c r="AX45">
        <f t="shared" si="31"/>
        <v>1</v>
      </c>
      <c r="AY45">
        <f t="shared" si="14"/>
        <v>0</v>
      </c>
      <c r="BA45" s="24">
        <f t="shared" si="32"/>
        <v>0.56001836147478912</v>
      </c>
      <c r="BB45" s="13">
        <f t="shared" si="33"/>
        <v>1.1558792415967551</v>
      </c>
      <c r="BC45">
        <f t="shared" si="34"/>
        <v>0.56001836147478912</v>
      </c>
      <c r="BD45">
        <f t="shared" si="35"/>
        <v>1</v>
      </c>
      <c r="BE45">
        <f t="shared" si="15"/>
        <v>0</v>
      </c>
      <c r="BG45" s="24">
        <f t="shared" si="36"/>
        <v>0.54600128259657688</v>
      </c>
      <c r="BH45" s="13">
        <f t="shared" si="37"/>
        <v>1.1491884276394499</v>
      </c>
      <c r="BI45">
        <f t="shared" si="38"/>
        <v>0.54600128259657688</v>
      </c>
      <c r="BJ45">
        <f t="shared" si="39"/>
        <v>1</v>
      </c>
      <c r="BK45">
        <f t="shared" si="16"/>
        <v>0</v>
      </c>
    </row>
    <row r="46" spans="3:63" x14ac:dyDescent="0.3">
      <c r="C46" s="3"/>
      <c r="D46" s="1">
        <v>0.12904640047272536</v>
      </c>
      <c r="E46" s="1">
        <v>0.19354838709677419</v>
      </c>
      <c r="F46" s="1">
        <v>0.34081632653061233</v>
      </c>
      <c r="G46" s="1">
        <v>0.68030522299697405</v>
      </c>
      <c r="H46" s="1">
        <v>0.18181818181818182</v>
      </c>
      <c r="I46" s="1">
        <v>0.73023396530859208</v>
      </c>
      <c r="J46" s="1">
        <v>8.3979328165374623E-2</v>
      </c>
      <c r="K46" s="1">
        <v>0.26942096028074658</v>
      </c>
      <c r="L46" s="1">
        <v>0</v>
      </c>
      <c r="M46" s="1">
        <v>0.37788018433179715</v>
      </c>
      <c r="N46" s="1">
        <v>0.79043353063509836</v>
      </c>
      <c r="O46" s="8">
        <v>0.893268036850834</v>
      </c>
      <c r="Q46" s="24">
        <f t="shared" si="40"/>
        <v>1.2252574145911417</v>
      </c>
      <c r="R46" s="13">
        <f t="shared" si="41"/>
        <v>1.4702937619695247</v>
      </c>
      <c r="S46">
        <f t="shared" si="17"/>
        <v>1.2252574145911417</v>
      </c>
      <c r="T46">
        <f t="shared" si="18"/>
        <v>1</v>
      </c>
      <c r="U46">
        <f t="shared" si="19"/>
        <v>0</v>
      </c>
      <c r="W46" s="24">
        <f t="shared" si="42"/>
        <v>0.98340102428017173</v>
      </c>
      <c r="X46" s="13">
        <f t="shared" si="43"/>
        <v>0.93846287442914889</v>
      </c>
      <c r="Y46">
        <f t="shared" si="44"/>
        <v>0.93846287442914889</v>
      </c>
      <c r="Z46">
        <f t="shared" si="45"/>
        <v>0</v>
      </c>
      <c r="AA46">
        <f t="shared" si="46"/>
        <v>1</v>
      </c>
      <c r="AC46" s="24">
        <f t="shared" si="47"/>
        <v>1.0866100874599236</v>
      </c>
      <c r="AD46" s="13">
        <f t="shared" si="48"/>
        <v>0.62695531879345034</v>
      </c>
      <c r="AE46">
        <f t="shared" si="49"/>
        <v>0.62695531879345034</v>
      </c>
      <c r="AF46">
        <f t="shared" si="50"/>
        <v>0</v>
      </c>
      <c r="AG46">
        <f t="shared" si="51"/>
        <v>1</v>
      </c>
      <c r="AI46" s="24">
        <f t="shared" si="52"/>
        <v>1.1110231739821583</v>
      </c>
      <c r="AJ46" s="13">
        <f t="shared" si="53"/>
        <v>0.62710005417164028</v>
      </c>
      <c r="AK46">
        <f t="shared" si="20"/>
        <v>0.62710005417164028</v>
      </c>
      <c r="AL46">
        <f t="shared" si="21"/>
        <v>0</v>
      </c>
      <c r="AM46">
        <f t="shared" si="22"/>
        <v>1</v>
      </c>
      <c r="AO46" s="24">
        <f t="shared" si="23"/>
        <v>1.1355308837085079</v>
      </c>
      <c r="AP46" s="13">
        <f t="shared" si="24"/>
        <v>0.64842900820957594</v>
      </c>
      <c r="AQ46">
        <f t="shared" si="25"/>
        <v>0.64842900820957594</v>
      </c>
      <c r="AR46">
        <f t="shared" si="26"/>
        <v>0</v>
      </c>
      <c r="AS46">
        <f t="shared" si="27"/>
        <v>1</v>
      </c>
      <c r="AU46" s="24">
        <f t="shared" si="28"/>
        <v>1.1764513340776879</v>
      </c>
      <c r="AV46" s="13">
        <f t="shared" si="29"/>
        <v>0.71258840842955018</v>
      </c>
      <c r="AW46">
        <f t="shared" si="30"/>
        <v>0.71258840842955018</v>
      </c>
      <c r="AX46">
        <f t="shared" si="31"/>
        <v>0</v>
      </c>
      <c r="AY46">
        <f t="shared" si="14"/>
        <v>1</v>
      </c>
      <c r="BA46" s="24">
        <f t="shared" si="32"/>
        <v>1.2106969552644544</v>
      </c>
      <c r="BB46" s="13">
        <f t="shared" si="33"/>
        <v>0.77520345505360166</v>
      </c>
      <c r="BC46">
        <f t="shared" si="34"/>
        <v>0.77520345505360166</v>
      </c>
      <c r="BD46">
        <f t="shared" si="35"/>
        <v>0</v>
      </c>
      <c r="BE46">
        <f t="shared" si="15"/>
        <v>1</v>
      </c>
      <c r="BG46" s="24">
        <f t="shared" si="36"/>
        <v>1.2198835765324778</v>
      </c>
      <c r="BH46" s="13">
        <f t="shared" si="37"/>
        <v>0.78845651114527437</v>
      </c>
      <c r="BI46">
        <f t="shared" si="38"/>
        <v>0.78845651114527437</v>
      </c>
      <c r="BJ46">
        <f t="shared" si="39"/>
        <v>0</v>
      </c>
      <c r="BK46">
        <f t="shared" si="16"/>
        <v>1</v>
      </c>
    </row>
    <row r="47" spans="3:63" x14ac:dyDescent="0.3">
      <c r="C47" s="3"/>
      <c r="D47" s="1">
        <v>6.340810209342998E-2</v>
      </c>
      <c r="E47" s="1">
        <v>9.6774193548387094E-2</v>
      </c>
      <c r="F47" s="1">
        <v>0.84489795918367361</v>
      </c>
      <c r="G47" s="1">
        <v>0.14353374555979476</v>
      </c>
      <c r="H47" s="1">
        <v>0.81818181818181823</v>
      </c>
      <c r="I47" s="1">
        <v>0.29729729729729731</v>
      </c>
      <c r="J47" s="1">
        <v>0.17571059431524547</v>
      </c>
      <c r="K47" s="1">
        <v>0.93619397033019625</v>
      </c>
      <c r="L47" s="1">
        <v>0</v>
      </c>
      <c r="M47" s="1">
        <v>9.994239631336406E-2</v>
      </c>
      <c r="N47" s="1">
        <v>0.24652055671092629</v>
      </c>
      <c r="O47" s="8">
        <v>0.39157918500959477</v>
      </c>
      <c r="Q47" s="24">
        <f t="shared" si="40"/>
        <v>0.65226434889175378</v>
      </c>
      <c r="R47" s="13">
        <f t="shared" si="41"/>
        <v>1.7203130623694967</v>
      </c>
      <c r="S47">
        <f t="shared" si="17"/>
        <v>0.65226434889175378</v>
      </c>
      <c r="T47">
        <f t="shared" si="18"/>
        <v>1</v>
      </c>
      <c r="U47">
        <f t="shared" si="19"/>
        <v>0</v>
      </c>
      <c r="W47" s="24">
        <f t="shared" si="42"/>
        <v>0.77641596938644908</v>
      </c>
      <c r="X47" s="13">
        <f t="shared" si="43"/>
        <v>1.5148352883017904</v>
      </c>
      <c r="Y47">
        <f t="shared" si="44"/>
        <v>0.77641596938644908</v>
      </c>
      <c r="Z47">
        <f t="shared" si="45"/>
        <v>1</v>
      </c>
      <c r="AA47">
        <f t="shared" si="46"/>
        <v>0</v>
      </c>
      <c r="AC47" s="24">
        <f t="shared" si="47"/>
        <v>0.71137605629047929</v>
      </c>
      <c r="AD47" s="13">
        <f t="shared" si="48"/>
        <v>1.4020999048167715</v>
      </c>
      <c r="AE47">
        <f t="shared" si="49"/>
        <v>0.71137605629047929</v>
      </c>
      <c r="AF47">
        <f t="shared" si="50"/>
        <v>1</v>
      </c>
      <c r="AG47">
        <f t="shared" si="51"/>
        <v>0</v>
      </c>
      <c r="AI47" s="24">
        <f t="shared" si="52"/>
        <v>0.68865312653413724</v>
      </c>
      <c r="AJ47" s="13">
        <f t="shared" si="53"/>
        <v>1.367522279337108</v>
      </c>
      <c r="AK47">
        <f t="shared" si="20"/>
        <v>0.68865312653413724</v>
      </c>
      <c r="AL47">
        <f t="shared" si="21"/>
        <v>1</v>
      </c>
      <c r="AM47">
        <f t="shared" si="22"/>
        <v>0</v>
      </c>
      <c r="AO47" s="24">
        <f t="shared" si="23"/>
        <v>0.6705488036829087</v>
      </c>
      <c r="AP47" s="13">
        <f t="shared" si="24"/>
        <v>1.273912732301584</v>
      </c>
      <c r="AQ47">
        <f t="shared" si="25"/>
        <v>0.6705488036829087</v>
      </c>
      <c r="AR47">
        <f t="shared" si="26"/>
        <v>1</v>
      </c>
      <c r="AS47">
        <f t="shared" si="27"/>
        <v>0</v>
      </c>
      <c r="AU47" s="24">
        <f t="shared" si="28"/>
        <v>0.64623108542080576</v>
      </c>
      <c r="AV47" s="13">
        <f t="shared" si="29"/>
        <v>1.2117935848051253</v>
      </c>
      <c r="AW47">
        <f t="shared" si="30"/>
        <v>0.64623108542080576</v>
      </c>
      <c r="AX47">
        <f t="shared" si="31"/>
        <v>1</v>
      </c>
      <c r="AY47">
        <f t="shared" si="14"/>
        <v>0</v>
      </c>
      <c r="BA47" s="24">
        <f t="shared" si="32"/>
        <v>0.58369862011021656</v>
      </c>
      <c r="BB47" s="13">
        <f t="shared" si="33"/>
        <v>1.2095817268395137</v>
      </c>
      <c r="BC47">
        <f t="shared" si="34"/>
        <v>0.58369862011021656</v>
      </c>
      <c r="BD47">
        <f t="shared" si="35"/>
        <v>1</v>
      </c>
      <c r="BE47">
        <f t="shared" si="15"/>
        <v>0</v>
      </c>
      <c r="BG47" s="24">
        <f t="shared" si="36"/>
        <v>0.57898092057597339</v>
      </c>
      <c r="BH47" s="13">
        <f t="shared" si="37"/>
        <v>1.1971835943908506</v>
      </c>
      <c r="BI47">
        <f t="shared" si="38"/>
        <v>0.57898092057597339</v>
      </c>
      <c r="BJ47">
        <f t="shared" si="39"/>
        <v>1</v>
      </c>
      <c r="BK47">
        <f t="shared" si="16"/>
        <v>0</v>
      </c>
    </row>
    <row r="48" spans="3:63" x14ac:dyDescent="0.3">
      <c r="C48" s="3"/>
      <c r="D48" s="1">
        <v>0.68265450542538131</v>
      </c>
      <c r="E48" s="1">
        <v>0.19354838709677419</v>
      </c>
      <c r="F48" s="1">
        <v>0.3836734693877551</v>
      </c>
      <c r="G48" s="1">
        <v>0.23694250756479412</v>
      </c>
      <c r="H48" s="1">
        <v>0.81818181818181823</v>
      </c>
      <c r="I48" s="1">
        <v>4.0641387656312894E-2</v>
      </c>
      <c r="J48" s="1">
        <v>0.24289405684754525</v>
      </c>
      <c r="K48" s="1">
        <v>0.99361939703301971</v>
      </c>
      <c r="L48" s="1">
        <v>3.4717607973421925E-5</v>
      </c>
      <c r="M48" s="1">
        <v>1</v>
      </c>
      <c r="N48" s="1">
        <v>0.6192609182530795</v>
      </c>
      <c r="O48" s="8">
        <v>0</v>
      </c>
      <c r="Q48" s="24">
        <f t="shared" si="40"/>
        <v>1.4193422831998526</v>
      </c>
      <c r="R48" s="13">
        <f t="shared" si="41"/>
        <v>2.0603241485329091</v>
      </c>
      <c r="S48">
        <f t="shared" si="17"/>
        <v>1.4193422831998526</v>
      </c>
      <c r="T48">
        <f t="shared" si="18"/>
        <v>1</v>
      </c>
      <c r="U48">
        <f t="shared" si="19"/>
        <v>0</v>
      </c>
      <c r="W48" s="24">
        <f t="shared" si="42"/>
        <v>1.2743526869820754</v>
      </c>
      <c r="X48" s="13">
        <f t="shared" si="43"/>
        <v>1.8517050420824612</v>
      </c>
      <c r="Y48">
        <f t="shared" si="44"/>
        <v>1.2743526869820754</v>
      </c>
      <c r="Z48">
        <f t="shared" si="45"/>
        <v>1</v>
      </c>
      <c r="AA48">
        <f t="shared" si="46"/>
        <v>0</v>
      </c>
      <c r="AC48" s="24">
        <f t="shared" si="47"/>
        <v>1.2370238640029552</v>
      </c>
      <c r="AD48" s="13">
        <f t="shared" si="48"/>
        <v>1.7399400820596562</v>
      </c>
      <c r="AE48">
        <f t="shared" si="49"/>
        <v>1.2370238640029552</v>
      </c>
      <c r="AF48">
        <f t="shared" si="50"/>
        <v>1</v>
      </c>
      <c r="AG48">
        <f t="shared" si="51"/>
        <v>0</v>
      </c>
      <c r="AI48" s="24">
        <f t="shared" si="52"/>
        <v>1.2215997594758223</v>
      </c>
      <c r="AJ48" s="13">
        <f t="shared" si="53"/>
        <v>1.715732676230874</v>
      </c>
      <c r="AK48">
        <f t="shared" si="20"/>
        <v>1.2215997594758223</v>
      </c>
      <c r="AL48">
        <f t="shared" si="21"/>
        <v>1</v>
      </c>
      <c r="AM48">
        <f t="shared" si="22"/>
        <v>0</v>
      </c>
      <c r="AO48" s="24">
        <f t="shared" si="23"/>
        <v>1.2120397840472668</v>
      </c>
      <c r="AP48" s="13">
        <f t="shared" si="24"/>
        <v>1.6590484014136708</v>
      </c>
      <c r="AQ48">
        <f t="shared" si="25"/>
        <v>1.2120397840472668</v>
      </c>
      <c r="AR48">
        <f t="shared" si="26"/>
        <v>1</v>
      </c>
      <c r="AS48">
        <f t="shared" si="27"/>
        <v>0</v>
      </c>
      <c r="AU48" s="24">
        <f t="shared" si="28"/>
        <v>1.1785180714074255</v>
      </c>
      <c r="AV48" s="13">
        <f t="shared" si="29"/>
        <v>1.6114844358902789</v>
      </c>
      <c r="AW48">
        <f t="shared" si="30"/>
        <v>1.1785180714074255</v>
      </c>
      <c r="AX48">
        <f t="shared" si="31"/>
        <v>1</v>
      </c>
      <c r="AY48">
        <f t="shared" si="14"/>
        <v>0</v>
      </c>
      <c r="BA48" s="24">
        <f t="shared" si="32"/>
        <v>1.138469437838151</v>
      </c>
      <c r="BB48" s="13">
        <f t="shared" si="33"/>
        <v>1.6067766109328483</v>
      </c>
      <c r="BC48">
        <f t="shared" si="34"/>
        <v>1.138469437838151</v>
      </c>
      <c r="BD48">
        <f t="shared" si="35"/>
        <v>1</v>
      </c>
      <c r="BE48">
        <f t="shared" si="15"/>
        <v>0</v>
      </c>
      <c r="BG48" s="24">
        <f t="shared" si="36"/>
        <v>1.141104686748891</v>
      </c>
      <c r="BH48" s="13">
        <f t="shared" si="37"/>
        <v>1.5916689938144304</v>
      </c>
      <c r="BI48">
        <f t="shared" si="38"/>
        <v>1.141104686748891</v>
      </c>
      <c r="BJ48">
        <f t="shared" si="39"/>
        <v>1</v>
      </c>
      <c r="BK48">
        <f t="shared" si="16"/>
        <v>0</v>
      </c>
    </row>
    <row r="49" spans="2:63" x14ac:dyDescent="0.3">
      <c r="C49" s="3"/>
      <c r="D49" s="1">
        <v>0.30225831200827269</v>
      </c>
      <c r="E49" s="1">
        <v>0.12903225806451613</v>
      </c>
      <c r="F49" s="1">
        <v>0.92040816326530628</v>
      </c>
      <c r="G49" s="1">
        <v>0.94605972898302859</v>
      </c>
      <c r="H49" s="1">
        <v>0.27272727272727271</v>
      </c>
      <c r="I49" s="1">
        <v>0.85114965711980628</v>
      </c>
      <c r="J49" s="1">
        <v>0.49224806201550403</v>
      </c>
      <c r="K49" s="1">
        <v>0.14606263625245922</v>
      </c>
      <c r="L49" s="1">
        <v>3.4883720930232559E-4</v>
      </c>
      <c r="M49" s="1">
        <v>6.5092165898617521E-2</v>
      </c>
      <c r="N49" s="1">
        <v>0.92801151815709493</v>
      </c>
      <c r="O49" s="8">
        <v>0.43103493188152864</v>
      </c>
      <c r="Q49" s="24">
        <f t="shared" si="40"/>
        <v>1.3741023153457614</v>
      </c>
      <c r="R49" s="13">
        <f t="shared" si="41"/>
        <v>1.3614453032900904</v>
      </c>
      <c r="S49">
        <f t="shared" si="17"/>
        <v>1.3614453032900904</v>
      </c>
      <c r="T49">
        <f t="shared" si="18"/>
        <v>0</v>
      </c>
      <c r="U49">
        <f t="shared" si="19"/>
        <v>1</v>
      </c>
      <c r="W49" s="24">
        <f t="shared" si="42"/>
        <v>1.1264946793109367</v>
      </c>
      <c r="X49" s="13">
        <f t="shared" si="43"/>
        <v>0.75779630346091775</v>
      </c>
      <c r="Y49">
        <f t="shared" si="44"/>
        <v>0.75779630346091775</v>
      </c>
      <c r="Z49">
        <f t="shared" si="45"/>
        <v>0</v>
      </c>
      <c r="AA49">
        <f t="shared" si="46"/>
        <v>1</v>
      </c>
      <c r="AC49" s="24">
        <f t="shared" si="47"/>
        <v>1.2099736275186075</v>
      </c>
      <c r="AD49" s="13">
        <f t="shared" si="48"/>
        <v>0.69719645105718997</v>
      </c>
      <c r="AE49">
        <f t="shared" si="49"/>
        <v>0.69719645105718997</v>
      </c>
      <c r="AF49">
        <f t="shared" si="50"/>
        <v>0</v>
      </c>
      <c r="AG49">
        <f t="shared" si="51"/>
        <v>1</v>
      </c>
      <c r="AI49" s="24">
        <f t="shared" si="52"/>
        <v>1.2250025670259626</v>
      </c>
      <c r="AJ49" s="13">
        <f t="shared" si="53"/>
        <v>0.75192936258442433</v>
      </c>
      <c r="AK49">
        <f t="shared" si="20"/>
        <v>0.75192936258442433</v>
      </c>
      <c r="AL49">
        <f t="shared" si="21"/>
        <v>0</v>
      </c>
      <c r="AM49">
        <f t="shared" si="22"/>
        <v>1</v>
      </c>
      <c r="AO49" s="24">
        <f t="shared" si="23"/>
        <v>1.2645506903595694</v>
      </c>
      <c r="AP49" s="13">
        <f t="shared" si="24"/>
        <v>0.7241828457362729</v>
      </c>
      <c r="AQ49">
        <f t="shared" si="25"/>
        <v>0.7241828457362729</v>
      </c>
      <c r="AR49">
        <f t="shared" si="26"/>
        <v>0</v>
      </c>
      <c r="AS49">
        <f t="shared" si="27"/>
        <v>1</v>
      </c>
      <c r="AU49" s="24">
        <f t="shared" si="28"/>
        <v>1.3219377933893313</v>
      </c>
      <c r="AV49" s="13">
        <f t="shared" si="29"/>
        <v>0.74880381540142016</v>
      </c>
      <c r="AW49">
        <f t="shared" si="30"/>
        <v>0.74880381540142016</v>
      </c>
      <c r="AX49">
        <f t="shared" si="31"/>
        <v>0</v>
      </c>
      <c r="AY49">
        <f t="shared" si="14"/>
        <v>1</v>
      </c>
      <c r="BA49" s="24">
        <f t="shared" si="32"/>
        <v>1.3759059073158832</v>
      </c>
      <c r="BB49" s="13">
        <f t="shared" si="33"/>
        <v>0.79687822987103485</v>
      </c>
      <c r="BC49">
        <f t="shared" si="34"/>
        <v>0.79687822987103485</v>
      </c>
      <c r="BD49">
        <f t="shared" si="35"/>
        <v>0</v>
      </c>
      <c r="BE49">
        <f t="shared" si="15"/>
        <v>1</v>
      </c>
      <c r="BG49" s="24">
        <f t="shared" si="36"/>
        <v>1.3940959942880058</v>
      </c>
      <c r="BH49" s="13">
        <f t="shared" si="37"/>
        <v>0.80142893693090911</v>
      </c>
      <c r="BI49">
        <f t="shared" si="38"/>
        <v>0.80142893693090911</v>
      </c>
      <c r="BJ49">
        <f t="shared" si="39"/>
        <v>0</v>
      </c>
      <c r="BK49">
        <f t="shared" si="16"/>
        <v>1</v>
      </c>
    </row>
    <row r="50" spans="2:63" x14ac:dyDescent="0.3">
      <c r="C50" s="3"/>
      <c r="D50" s="1">
        <v>4.0472344136442268E-2</v>
      </c>
      <c r="E50" s="1">
        <v>3.2258064516129031E-2</v>
      </c>
      <c r="F50" s="1">
        <v>0.65102040816326545</v>
      </c>
      <c r="G50" s="1">
        <v>0.38297592422049731</v>
      </c>
      <c r="H50" s="1">
        <v>0.90909090909090906</v>
      </c>
      <c r="I50" s="1">
        <v>0.41962484872932626</v>
      </c>
      <c r="J50" s="1">
        <v>6.2015503875968978E-2</v>
      </c>
      <c r="K50" s="1">
        <v>0.90322752166746423</v>
      </c>
      <c r="L50" s="1">
        <v>3.4219269102990033E-3</v>
      </c>
      <c r="M50" s="1">
        <v>0.12154377880184332</v>
      </c>
      <c r="N50" s="1">
        <v>0.69284914413693821</v>
      </c>
      <c r="O50" s="8">
        <v>9.8066286349388257E-2</v>
      </c>
      <c r="Q50" s="24">
        <f t="shared" si="40"/>
        <v>0.83975598194566248</v>
      </c>
      <c r="R50" s="13">
        <f t="shared" si="41"/>
        <v>1.8052053833124078</v>
      </c>
      <c r="S50">
        <f t="shared" si="17"/>
        <v>0.83975598194566248</v>
      </c>
      <c r="T50">
        <f t="shared" si="18"/>
        <v>1</v>
      </c>
      <c r="U50">
        <f t="shared" si="19"/>
        <v>0</v>
      </c>
      <c r="W50" s="24">
        <f t="shared" si="42"/>
        <v>0.80719697517685463</v>
      </c>
      <c r="X50" s="13">
        <f t="shared" si="43"/>
        <v>1.482404769483342</v>
      </c>
      <c r="Y50">
        <f t="shared" si="44"/>
        <v>0.80719697517685463</v>
      </c>
      <c r="Z50">
        <f t="shared" si="45"/>
        <v>1</v>
      </c>
      <c r="AA50">
        <f t="shared" si="46"/>
        <v>0</v>
      </c>
      <c r="AC50" s="24">
        <f t="shared" si="47"/>
        <v>0.76840398521725595</v>
      </c>
      <c r="AD50" s="13">
        <f t="shared" si="48"/>
        <v>1.3485831907480565</v>
      </c>
      <c r="AE50">
        <f t="shared" si="49"/>
        <v>0.76840398521725595</v>
      </c>
      <c r="AF50">
        <f t="shared" si="50"/>
        <v>1</v>
      </c>
      <c r="AG50">
        <f t="shared" si="51"/>
        <v>0</v>
      </c>
      <c r="AI50" s="24">
        <f t="shared" si="52"/>
        <v>0.74791607459663445</v>
      </c>
      <c r="AJ50" s="13">
        <f t="shared" si="53"/>
        <v>1.3252764566589101</v>
      </c>
      <c r="AK50">
        <f t="shared" si="20"/>
        <v>0.74791607459663445</v>
      </c>
      <c r="AL50">
        <f t="shared" si="21"/>
        <v>1</v>
      </c>
      <c r="AM50">
        <f t="shared" si="22"/>
        <v>0</v>
      </c>
      <c r="AO50" s="24">
        <f t="shared" si="23"/>
        <v>0.75439417838535106</v>
      </c>
      <c r="AP50" s="13">
        <f t="shared" si="24"/>
        <v>1.2212176282933438</v>
      </c>
      <c r="AQ50">
        <f t="shared" si="25"/>
        <v>0.75439417838535106</v>
      </c>
      <c r="AR50">
        <f t="shared" si="26"/>
        <v>1</v>
      </c>
      <c r="AS50">
        <f t="shared" si="27"/>
        <v>0</v>
      </c>
      <c r="AU50" s="24">
        <f t="shared" si="28"/>
        <v>0.75639738198453321</v>
      </c>
      <c r="AV50" s="13">
        <f t="shared" si="29"/>
        <v>1.1524749224247106</v>
      </c>
      <c r="AW50">
        <f t="shared" si="30"/>
        <v>0.75639738198453321</v>
      </c>
      <c r="AX50">
        <f t="shared" si="31"/>
        <v>1</v>
      </c>
      <c r="AY50">
        <f t="shared" si="14"/>
        <v>0</v>
      </c>
      <c r="BA50" s="24">
        <f t="shared" si="32"/>
        <v>0.73065742503758802</v>
      </c>
      <c r="BB50" s="13">
        <f t="shared" si="33"/>
        <v>1.1484620618239763</v>
      </c>
      <c r="BC50">
        <f t="shared" si="34"/>
        <v>0.73065742503758802</v>
      </c>
      <c r="BD50">
        <f t="shared" si="35"/>
        <v>1</v>
      </c>
      <c r="BE50">
        <f t="shared" si="15"/>
        <v>0</v>
      </c>
      <c r="BG50" s="24">
        <f t="shared" si="36"/>
        <v>0.73403819767627609</v>
      </c>
      <c r="BH50" s="13">
        <f t="shared" si="37"/>
        <v>1.1365572661287766</v>
      </c>
      <c r="BI50">
        <f t="shared" si="38"/>
        <v>0.73403819767627609</v>
      </c>
      <c r="BJ50">
        <f t="shared" si="39"/>
        <v>1</v>
      </c>
      <c r="BK50">
        <f t="shared" si="16"/>
        <v>0</v>
      </c>
    </row>
    <row r="51" spans="2:63" x14ac:dyDescent="0.3">
      <c r="C51" s="3"/>
      <c r="D51" s="1">
        <v>0.3155203553064852</v>
      </c>
      <c r="E51" s="1">
        <v>0.16129032258064516</v>
      </c>
      <c r="F51" s="1">
        <v>0.36530612244897959</v>
      </c>
      <c r="G51" s="1">
        <v>0.68425207209577688</v>
      </c>
      <c r="H51" s="1">
        <v>0.18181818181818182</v>
      </c>
      <c r="I51" s="1">
        <v>0.81655909640984259</v>
      </c>
      <c r="J51" s="1">
        <v>8.0103359173126623E-2</v>
      </c>
      <c r="K51" s="1">
        <v>0.23113734247886425</v>
      </c>
      <c r="L51" s="1">
        <v>1.8438538205980066E-5</v>
      </c>
      <c r="M51" s="1">
        <v>0.40812211981566815</v>
      </c>
      <c r="N51" s="1">
        <v>0.72484402495600719</v>
      </c>
      <c r="O51" s="8">
        <v>0.90011895768753214</v>
      </c>
      <c r="Q51" s="24">
        <f t="shared" si="40"/>
        <v>1.2022582155065511</v>
      </c>
      <c r="R51" s="13">
        <f t="shared" si="41"/>
        <v>1.4577777042348152</v>
      </c>
      <c r="S51">
        <f t="shared" si="17"/>
        <v>1.2022582155065511</v>
      </c>
      <c r="T51">
        <f t="shared" si="18"/>
        <v>1</v>
      </c>
      <c r="U51">
        <f t="shared" si="19"/>
        <v>0</v>
      </c>
      <c r="W51" s="24">
        <f t="shared" si="42"/>
        <v>0.96694957318339503</v>
      </c>
      <c r="X51" s="13">
        <f t="shared" si="43"/>
        <v>0.91421503528158843</v>
      </c>
      <c r="Y51">
        <f t="shared" si="44"/>
        <v>0.91421503528158843</v>
      </c>
      <c r="Z51">
        <f t="shared" si="45"/>
        <v>0</v>
      </c>
      <c r="AA51">
        <f t="shared" si="46"/>
        <v>1</v>
      </c>
      <c r="AC51" s="24">
        <f t="shared" si="47"/>
        <v>1.0737893206097862</v>
      </c>
      <c r="AD51" s="13">
        <f t="shared" si="48"/>
        <v>0.58240442917429547</v>
      </c>
      <c r="AE51">
        <f t="shared" si="49"/>
        <v>0.58240442917429547</v>
      </c>
      <c r="AF51">
        <f t="shared" si="50"/>
        <v>0</v>
      </c>
      <c r="AG51">
        <f t="shared" si="51"/>
        <v>1</v>
      </c>
      <c r="AI51" s="24">
        <f t="shared" si="52"/>
        <v>1.1003080406608581</v>
      </c>
      <c r="AJ51" s="13">
        <f t="shared" si="53"/>
        <v>0.57593599292880737</v>
      </c>
      <c r="AK51">
        <f t="shared" si="20"/>
        <v>0.57593599292880737</v>
      </c>
      <c r="AL51">
        <f t="shared" si="21"/>
        <v>0</v>
      </c>
      <c r="AM51">
        <f t="shared" si="22"/>
        <v>1</v>
      </c>
      <c r="AO51" s="24">
        <f t="shared" si="23"/>
        <v>1.1258071370387188</v>
      </c>
      <c r="AP51" s="13">
        <f t="shared" si="24"/>
        <v>0.59789185783886889</v>
      </c>
      <c r="AQ51">
        <f t="shared" si="25"/>
        <v>0.59789185783886889</v>
      </c>
      <c r="AR51">
        <f t="shared" si="26"/>
        <v>0</v>
      </c>
      <c r="AS51">
        <f t="shared" si="27"/>
        <v>1</v>
      </c>
      <c r="AU51" s="24">
        <f t="shared" si="28"/>
        <v>1.1677244961568689</v>
      </c>
      <c r="AV51" s="13">
        <f t="shared" si="29"/>
        <v>0.67328543788583906</v>
      </c>
      <c r="AW51">
        <f t="shared" si="30"/>
        <v>0.67328543788583906</v>
      </c>
      <c r="AX51">
        <f t="shared" si="31"/>
        <v>0</v>
      </c>
      <c r="AY51">
        <f t="shared" si="14"/>
        <v>1</v>
      </c>
      <c r="BA51" s="24">
        <f t="shared" si="32"/>
        <v>1.2135593046225681</v>
      </c>
      <c r="BB51" s="13">
        <f t="shared" si="33"/>
        <v>0.72268702920642036</v>
      </c>
      <c r="BC51">
        <f t="shared" si="34"/>
        <v>0.72268702920642036</v>
      </c>
      <c r="BD51">
        <f t="shared" si="35"/>
        <v>0</v>
      </c>
      <c r="BE51">
        <f t="shared" si="15"/>
        <v>1</v>
      </c>
      <c r="BG51" s="24">
        <f t="shared" si="36"/>
        <v>1.2246674353741716</v>
      </c>
      <c r="BH51" s="13">
        <f t="shared" si="37"/>
        <v>0.73585215972467022</v>
      </c>
      <c r="BI51">
        <f t="shared" si="38"/>
        <v>0.73585215972467022</v>
      </c>
      <c r="BJ51">
        <f t="shared" si="39"/>
        <v>0</v>
      </c>
      <c r="BK51">
        <f t="shared" si="16"/>
        <v>1</v>
      </c>
    </row>
    <row r="52" spans="2:63" x14ac:dyDescent="0.3">
      <c r="C52" s="3"/>
      <c r="D52" s="1">
        <v>0.32766730046176501</v>
      </c>
      <c r="E52" s="1">
        <v>6.4516129032258063E-2</v>
      </c>
      <c r="F52" s="1">
        <v>0.67551020408163254</v>
      </c>
      <c r="G52" s="1">
        <v>0.77108275226943834</v>
      </c>
      <c r="H52" s="1">
        <v>1</v>
      </c>
      <c r="I52" s="1">
        <v>0.96036708350141176</v>
      </c>
      <c r="J52" s="1">
        <v>0</v>
      </c>
      <c r="K52" s="1">
        <v>7.4174509491146928E-2</v>
      </c>
      <c r="L52" s="1">
        <v>0</v>
      </c>
      <c r="M52" s="1">
        <v>0.19066820276497695</v>
      </c>
      <c r="N52" s="1">
        <v>0.79683250679891215</v>
      </c>
      <c r="O52" s="8">
        <v>0.24981114381723932</v>
      </c>
      <c r="Q52" s="24">
        <f t="shared" si="40"/>
        <v>1.1611346355392544</v>
      </c>
      <c r="R52" s="13">
        <f t="shared" si="41"/>
        <v>1.5724659638740317</v>
      </c>
      <c r="S52">
        <f t="shared" si="17"/>
        <v>1.1611346355392544</v>
      </c>
      <c r="T52">
        <f t="shared" si="18"/>
        <v>1</v>
      </c>
      <c r="U52">
        <f t="shared" si="19"/>
        <v>0</v>
      </c>
      <c r="W52" s="24">
        <f t="shared" si="42"/>
        <v>0.99785538206618207</v>
      </c>
      <c r="X52" s="13">
        <f t="shared" si="43"/>
        <v>1.1763227928723168</v>
      </c>
      <c r="Y52">
        <f t="shared" si="44"/>
        <v>0.99785538206618207</v>
      </c>
      <c r="Z52">
        <f t="shared" si="45"/>
        <v>1</v>
      </c>
      <c r="AA52">
        <f t="shared" si="46"/>
        <v>0</v>
      </c>
      <c r="AC52" s="24">
        <f t="shared" si="47"/>
        <v>1.0401229267715049</v>
      </c>
      <c r="AD52" s="13">
        <f t="shared" si="48"/>
        <v>1.0492805278945672</v>
      </c>
      <c r="AE52">
        <f t="shared" si="49"/>
        <v>1.0401229267715049</v>
      </c>
      <c r="AF52">
        <f t="shared" si="50"/>
        <v>1</v>
      </c>
      <c r="AG52">
        <f t="shared" si="51"/>
        <v>0</v>
      </c>
      <c r="AI52" s="24">
        <f t="shared" si="52"/>
        <v>1.051902247408361</v>
      </c>
      <c r="AJ52" s="13">
        <f t="shared" si="53"/>
        <v>1.030458379264652</v>
      </c>
      <c r="AK52">
        <f t="shared" si="20"/>
        <v>1.030458379264652</v>
      </c>
      <c r="AL52">
        <f t="shared" si="21"/>
        <v>0</v>
      </c>
      <c r="AM52">
        <f t="shared" si="22"/>
        <v>1</v>
      </c>
      <c r="AO52" s="24">
        <f t="shared" si="23"/>
        <v>1.0963216943677117</v>
      </c>
      <c r="AP52" s="13">
        <f t="shared" si="24"/>
        <v>0.91794285785912133</v>
      </c>
      <c r="AQ52">
        <f t="shared" si="25"/>
        <v>0.91794285785912133</v>
      </c>
      <c r="AR52">
        <f t="shared" si="26"/>
        <v>0</v>
      </c>
      <c r="AS52">
        <f t="shared" si="27"/>
        <v>1</v>
      </c>
      <c r="AU52" s="24">
        <f t="shared" si="28"/>
        <v>1.1647849280726881</v>
      </c>
      <c r="AV52" s="13">
        <f t="shared" si="29"/>
        <v>0.85499076079844682</v>
      </c>
      <c r="AW52">
        <f t="shared" si="30"/>
        <v>0.85499076079844682</v>
      </c>
      <c r="AX52">
        <f t="shared" si="31"/>
        <v>0</v>
      </c>
      <c r="AY52">
        <f t="shared" si="14"/>
        <v>1</v>
      </c>
      <c r="BA52" s="24">
        <f t="shared" si="32"/>
        <v>1.2504031291798765</v>
      </c>
      <c r="BB52" s="13">
        <f t="shared" si="33"/>
        <v>0.80665353235197568</v>
      </c>
      <c r="BC52">
        <f t="shared" si="34"/>
        <v>0.80665353235197568</v>
      </c>
      <c r="BD52">
        <f t="shared" si="35"/>
        <v>0</v>
      </c>
      <c r="BE52">
        <f t="shared" si="15"/>
        <v>1</v>
      </c>
      <c r="BG52" s="24">
        <f t="shared" si="36"/>
        <v>1.271780558426495</v>
      </c>
      <c r="BH52" s="13">
        <f t="shared" si="37"/>
        <v>0.80029963669337567</v>
      </c>
      <c r="BI52">
        <f t="shared" si="38"/>
        <v>0.80029963669337567</v>
      </c>
      <c r="BJ52">
        <f t="shared" si="39"/>
        <v>0</v>
      </c>
      <c r="BK52">
        <f t="shared" si="16"/>
        <v>1</v>
      </c>
    </row>
    <row r="53" spans="2:63" x14ac:dyDescent="0.3">
      <c r="C53" s="3"/>
      <c r="D53" s="1">
        <v>0.7953699600184897</v>
      </c>
      <c r="E53" s="1">
        <v>0.16129032258064516</v>
      </c>
      <c r="F53" s="1">
        <v>0.17142857142857146</v>
      </c>
      <c r="G53" s="1">
        <v>0.47243783712669385</v>
      </c>
      <c r="H53" s="1">
        <v>0</v>
      </c>
      <c r="I53" s="1">
        <v>0.64895118999596602</v>
      </c>
      <c r="J53" s="1">
        <v>0.81912144702842382</v>
      </c>
      <c r="K53" s="1">
        <v>0.7458393151486149</v>
      </c>
      <c r="L53" s="1">
        <v>2.0930232558139536E-4</v>
      </c>
      <c r="M53" s="1">
        <v>8.1221198156682037E-2</v>
      </c>
      <c r="N53" s="1">
        <v>0.58406654935210378</v>
      </c>
      <c r="O53" s="8">
        <v>1</v>
      </c>
      <c r="Q53" s="24">
        <f t="shared" si="40"/>
        <v>1.3579839098308712</v>
      </c>
      <c r="R53" s="13">
        <f t="shared" si="41"/>
        <v>1.4129111813525144</v>
      </c>
      <c r="S53">
        <f t="shared" si="17"/>
        <v>1.3579839098308712</v>
      </c>
      <c r="T53">
        <f t="shared" si="18"/>
        <v>1</v>
      </c>
      <c r="U53">
        <f t="shared" si="19"/>
        <v>0</v>
      </c>
      <c r="W53" s="24">
        <f t="shared" si="42"/>
        <v>1.2263652005601229</v>
      </c>
      <c r="X53" s="13">
        <f t="shared" si="43"/>
        <v>1.1631100729913357</v>
      </c>
      <c r="Y53">
        <f t="shared" si="44"/>
        <v>1.1631100729913357</v>
      </c>
      <c r="Z53">
        <f t="shared" si="45"/>
        <v>0</v>
      </c>
      <c r="AA53">
        <f t="shared" si="46"/>
        <v>1</v>
      </c>
      <c r="AC53" s="24">
        <f t="shared" si="47"/>
        <v>1.2980653380891507</v>
      </c>
      <c r="AD53" s="13">
        <f t="shared" si="48"/>
        <v>1.0095635817441537</v>
      </c>
      <c r="AE53">
        <f t="shared" si="49"/>
        <v>1.0095635817441537</v>
      </c>
      <c r="AF53">
        <f t="shared" si="50"/>
        <v>0</v>
      </c>
      <c r="AG53">
        <f t="shared" si="51"/>
        <v>1</v>
      </c>
      <c r="AI53" s="24">
        <f t="shared" si="52"/>
        <v>1.3183180769200893</v>
      </c>
      <c r="AJ53" s="13">
        <f t="shared" si="53"/>
        <v>1.0012904658754553</v>
      </c>
      <c r="AK53">
        <f t="shared" si="20"/>
        <v>1.0012904658754553</v>
      </c>
      <c r="AL53">
        <f t="shared" si="21"/>
        <v>0</v>
      </c>
      <c r="AM53">
        <f t="shared" si="22"/>
        <v>1</v>
      </c>
      <c r="AO53" s="24">
        <f t="shared" si="23"/>
        <v>1.3125236480184317</v>
      </c>
      <c r="AP53" s="13">
        <f t="shared" si="24"/>
        <v>1.0725721022365697</v>
      </c>
      <c r="AQ53">
        <f t="shared" si="25"/>
        <v>1.0725721022365697</v>
      </c>
      <c r="AR53">
        <f t="shared" si="26"/>
        <v>0</v>
      </c>
      <c r="AS53">
        <f t="shared" si="27"/>
        <v>1</v>
      </c>
      <c r="AU53" s="24">
        <f t="shared" si="28"/>
        <v>1.3057450845654812</v>
      </c>
      <c r="AV53" s="13">
        <f t="shared" si="29"/>
        <v>1.1536756514688637</v>
      </c>
      <c r="AW53">
        <f t="shared" si="30"/>
        <v>1.1536756514688637</v>
      </c>
      <c r="AX53">
        <f t="shared" si="31"/>
        <v>0</v>
      </c>
      <c r="AY53">
        <f t="shared" si="14"/>
        <v>1</v>
      </c>
      <c r="BA53" s="24">
        <f t="shared" si="32"/>
        <v>1.3069427704136116</v>
      </c>
      <c r="BB53" s="13">
        <f t="shared" si="33"/>
        <v>1.2065416407043641</v>
      </c>
      <c r="BC53">
        <f t="shared" si="34"/>
        <v>1.2065416407043641</v>
      </c>
      <c r="BD53">
        <f t="shared" si="35"/>
        <v>0</v>
      </c>
      <c r="BE53">
        <f t="shared" si="15"/>
        <v>1</v>
      </c>
      <c r="BG53" s="24">
        <f t="shared" si="36"/>
        <v>1.3090092003178075</v>
      </c>
      <c r="BH53" s="13">
        <f t="shared" si="37"/>
        <v>1.2122567670352291</v>
      </c>
      <c r="BI53">
        <f t="shared" si="38"/>
        <v>1.2122567670352291</v>
      </c>
      <c r="BJ53">
        <f t="shared" si="39"/>
        <v>0</v>
      </c>
      <c r="BK53">
        <f t="shared" si="16"/>
        <v>1</v>
      </c>
    </row>
    <row r="54" spans="2:63" x14ac:dyDescent="0.3">
      <c r="C54" s="3"/>
      <c r="D54" s="1">
        <v>0.27257954605021756</v>
      </c>
      <c r="E54" s="1">
        <v>9.6774193548387094E-2</v>
      </c>
      <c r="F54" s="1">
        <v>0.49591836734693878</v>
      </c>
      <c r="G54" s="1">
        <v>0.55663728456782002</v>
      </c>
      <c r="H54" s="1">
        <v>0.54545454545454541</v>
      </c>
      <c r="I54" s="1">
        <v>0.88987494957644209</v>
      </c>
      <c r="J54" s="1">
        <v>0.33979328165374678</v>
      </c>
      <c r="K54" s="1">
        <v>0.23539107779018453</v>
      </c>
      <c r="L54" s="1">
        <v>0</v>
      </c>
      <c r="M54" s="1">
        <v>5.0835253456221197E-2</v>
      </c>
      <c r="N54" s="1">
        <v>0.76483762597984317</v>
      </c>
      <c r="O54" s="8">
        <v>0.93294954283779219</v>
      </c>
      <c r="Q54" s="24">
        <f t="shared" si="40"/>
        <v>1.0002991205016514</v>
      </c>
      <c r="R54" s="13">
        <f t="shared" si="41"/>
        <v>1.2078887587832225</v>
      </c>
      <c r="S54">
        <f t="shared" si="17"/>
        <v>1.0002991205016514</v>
      </c>
      <c r="T54">
        <f t="shared" si="18"/>
        <v>1</v>
      </c>
      <c r="U54">
        <f t="shared" si="19"/>
        <v>0</v>
      </c>
      <c r="W54" s="24">
        <f t="shared" si="42"/>
        <v>0.86368743850572804</v>
      </c>
      <c r="X54" s="13">
        <f t="shared" si="43"/>
        <v>0.82037467162479627</v>
      </c>
      <c r="Y54">
        <f t="shared" si="44"/>
        <v>0.82037467162479627</v>
      </c>
      <c r="Z54">
        <f t="shared" si="45"/>
        <v>0</v>
      </c>
      <c r="AA54">
        <f t="shared" si="46"/>
        <v>1</v>
      </c>
      <c r="AC54" s="24">
        <f t="shared" si="47"/>
        <v>0.9615741003332402</v>
      </c>
      <c r="AD54" s="13">
        <f t="shared" si="48"/>
        <v>0.55248112358379964</v>
      </c>
      <c r="AE54">
        <f t="shared" si="49"/>
        <v>0.55248112358379964</v>
      </c>
      <c r="AF54">
        <f t="shared" si="50"/>
        <v>0</v>
      </c>
      <c r="AG54">
        <f t="shared" si="51"/>
        <v>1</v>
      </c>
      <c r="AI54" s="24">
        <f t="shared" si="52"/>
        <v>0.98935499246148273</v>
      </c>
      <c r="AJ54" s="13">
        <f t="shared" si="53"/>
        <v>0.52719102230991022</v>
      </c>
      <c r="AK54">
        <f t="shared" si="20"/>
        <v>0.52719102230991022</v>
      </c>
      <c r="AL54">
        <f t="shared" si="21"/>
        <v>0</v>
      </c>
      <c r="AM54">
        <f t="shared" si="22"/>
        <v>1</v>
      </c>
      <c r="AO54" s="24">
        <f t="shared" si="23"/>
        <v>1.0165213360229557</v>
      </c>
      <c r="AP54" s="13">
        <f t="shared" si="24"/>
        <v>0.49907412128176992</v>
      </c>
      <c r="AQ54">
        <f t="shared" si="25"/>
        <v>0.49907412128176992</v>
      </c>
      <c r="AR54">
        <f t="shared" si="26"/>
        <v>0</v>
      </c>
      <c r="AS54">
        <f t="shared" si="27"/>
        <v>1</v>
      </c>
      <c r="AU54" s="24">
        <f t="shared" si="28"/>
        <v>1.0673337641142993</v>
      </c>
      <c r="AV54" s="13">
        <f t="shared" si="29"/>
        <v>0.56351766064850528</v>
      </c>
      <c r="AW54">
        <f t="shared" si="30"/>
        <v>0.56351766064850528</v>
      </c>
      <c r="AX54">
        <f t="shared" si="31"/>
        <v>0</v>
      </c>
      <c r="AY54">
        <f t="shared" si="14"/>
        <v>1</v>
      </c>
      <c r="BA54" s="24">
        <f t="shared" si="32"/>
        <v>1.1206016272552197</v>
      </c>
      <c r="BB54" s="13">
        <f t="shared" si="33"/>
        <v>0.60839758301902525</v>
      </c>
      <c r="BC54">
        <f t="shared" si="34"/>
        <v>0.60839758301902525</v>
      </c>
      <c r="BD54">
        <f t="shared" si="35"/>
        <v>0</v>
      </c>
      <c r="BE54">
        <f t="shared" si="15"/>
        <v>1</v>
      </c>
      <c r="BG54" s="24">
        <f t="shared" si="36"/>
        <v>1.133338102321447</v>
      </c>
      <c r="BH54" s="13">
        <f t="shared" si="37"/>
        <v>0.62053805493203162</v>
      </c>
      <c r="BI54">
        <f t="shared" si="38"/>
        <v>0.62053805493203162</v>
      </c>
      <c r="BJ54">
        <f t="shared" si="39"/>
        <v>0</v>
      </c>
      <c r="BK54">
        <f t="shared" si="16"/>
        <v>1</v>
      </c>
    </row>
    <row r="55" spans="2:63" x14ac:dyDescent="0.3">
      <c r="C55" s="3"/>
      <c r="D55" s="1">
        <v>0.96349244926065181</v>
      </c>
      <c r="E55" s="1">
        <v>0.12903225806451613</v>
      </c>
      <c r="F55" s="1">
        <v>0.31020408163265312</v>
      </c>
      <c r="G55" s="1">
        <v>0.65267727930535457</v>
      </c>
      <c r="H55" s="1">
        <v>0.45454545454545453</v>
      </c>
      <c r="I55" s="1">
        <v>0.67728922952803539</v>
      </c>
      <c r="J55" s="1">
        <v>4.7803617571059415E-2</v>
      </c>
      <c r="K55" s="1">
        <v>0.28111873238687729</v>
      </c>
      <c r="L55" s="1">
        <v>3.7375415282392029E-2</v>
      </c>
      <c r="M55" s="1">
        <v>7.3444700460829501E-2</v>
      </c>
      <c r="N55" s="1">
        <v>0.18892977123660215</v>
      </c>
      <c r="O55" s="8">
        <v>0.15228320612675506</v>
      </c>
      <c r="Q55" s="24">
        <f t="shared" si="40"/>
        <v>1.0903716959244902</v>
      </c>
      <c r="R55" s="13">
        <f t="shared" si="41"/>
        <v>1.621852328561872</v>
      </c>
      <c r="S55">
        <f t="shared" si="17"/>
        <v>1.0903716959244902</v>
      </c>
      <c r="T55">
        <f t="shared" si="18"/>
        <v>1</v>
      </c>
      <c r="U55">
        <f t="shared" si="19"/>
        <v>0</v>
      </c>
      <c r="W55" s="24">
        <f t="shared" si="42"/>
        <v>0.84172086151235759</v>
      </c>
      <c r="X55" s="13">
        <f t="shared" si="43"/>
        <v>1.2045528710220181</v>
      </c>
      <c r="Y55">
        <f t="shared" si="44"/>
        <v>0.84172086151235759</v>
      </c>
      <c r="Z55">
        <f t="shared" si="45"/>
        <v>1</v>
      </c>
      <c r="AA55">
        <f t="shared" si="46"/>
        <v>0</v>
      </c>
      <c r="AC55" s="24">
        <f t="shared" si="47"/>
        <v>0.86812590938679368</v>
      </c>
      <c r="AD55" s="13">
        <f t="shared" si="48"/>
        <v>1.0601581969068785</v>
      </c>
      <c r="AE55">
        <f t="shared" si="49"/>
        <v>0.86812590938679368</v>
      </c>
      <c r="AF55">
        <f t="shared" si="50"/>
        <v>1</v>
      </c>
      <c r="AG55">
        <f t="shared" si="51"/>
        <v>0</v>
      </c>
      <c r="AI55" s="24">
        <f t="shared" si="52"/>
        <v>0.88049690007434112</v>
      </c>
      <c r="AJ55" s="13">
        <f t="shared" si="53"/>
        <v>1.0195908729029561</v>
      </c>
      <c r="AK55">
        <f t="shared" si="20"/>
        <v>0.88049690007434112</v>
      </c>
      <c r="AL55">
        <f t="shared" si="21"/>
        <v>1</v>
      </c>
      <c r="AM55">
        <f t="shared" si="22"/>
        <v>0</v>
      </c>
      <c r="AO55" s="24">
        <f t="shared" si="23"/>
        <v>0.90039940674559105</v>
      </c>
      <c r="AP55" s="13">
        <f t="shared" si="24"/>
        <v>0.95951019024305828</v>
      </c>
      <c r="AQ55">
        <f t="shared" si="25"/>
        <v>0.90039940674559105</v>
      </c>
      <c r="AR55">
        <f t="shared" si="26"/>
        <v>1</v>
      </c>
      <c r="AS55">
        <f t="shared" si="27"/>
        <v>0</v>
      </c>
      <c r="AU55" s="24">
        <f t="shared" si="28"/>
        <v>0.92482988838169444</v>
      </c>
      <c r="AV55" s="13">
        <f t="shared" si="29"/>
        <v>0.91609071182567214</v>
      </c>
      <c r="AW55">
        <f t="shared" si="30"/>
        <v>0.91609071182567214</v>
      </c>
      <c r="AX55">
        <f t="shared" si="31"/>
        <v>0</v>
      </c>
      <c r="AY55">
        <f t="shared" si="14"/>
        <v>1</v>
      </c>
      <c r="BA55" s="24">
        <f t="shared" si="32"/>
        <v>1.0094364188283438</v>
      </c>
      <c r="BB55" s="13">
        <f t="shared" si="33"/>
        <v>0.85252522122438013</v>
      </c>
      <c r="BC55">
        <f t="shared" si="34"/>
        <v>0.85252522122438013</v>
      </c>
      <c r="BD55">
        <f t="shared" si="35"/>
        <v>0</v>
      </c>
      <c r="BE55">
        <f t="shared" si="15"/>
        <v>1</v>
      </c>
      <c r="BG55" s="24">
        <f t="shared" si="36"/>
        <v>1.0253401643555038</v>
      </c>
      <c r="BH55" s="13">
        <f t="shared" si="37"/>
        <v>0.84509298094551233</v>
      </c>
      <c r="BI55">
        <f t="shared" si="38"/>
        <v>0.84509298094551233</v>
      </c>
      <c r="BJ55">
        <f t="shared" si="39"/>
        <v>0</v>
      </c>
      <c r="BK55">
        <f t="shared" si="16"/>
        <v>1</v>
      </c>
    </row>
    <row r="56" spans="2:63" x14ac:dyDescent="0.3">
      <c r="C56" s="3"/>
      <c r="D56" s="1">
        <v>7.7832897301367193E-2</v>
      </c>
      <c r="E56" s="1">
        <v>0</v>
      </c>
      <c r="F56" s="1">
        <v>0.68571428571428561</v>
      </c>
      <c r="G56" s="1">
        <v>0.14748059465859756</v>
      </c>
      <c r="H56" s="1">
        <v>1</v>
      </c>
      <c r="I56" s="1">
        <v>0.34721661960467926</v>
      </c>
      <c r="J56" s="1">
        <v>0.16020671834625322</v>
      </c>
      <c r="K56" s="1">
        <v>0.99787313234433983</v>
      </c>
      <c r="L56" s="1">
        <v>1.0382059800664453E-3</v>
      </c>
      <c r="M56" s="1">
        <v>0.25403225806451613</v>
      </c>
      <c r="N56" s="1">
        <v>0.61446168613021912</v>
      </c>
      <c r="O56" s="8">
        <v>0.61434265023834955</v>
      </c>
      <c r="Q56" s="24">
        <f t="shared" si="40"/>
        <v>0.74714541197671858</v>
      </c>
      <c r="R56" s="13">
        <f t="shared" si="41"/>
        <v>1.7431851599854478</v>
      </c>
      <c r="S56">
        <f t="shared" si="17"/>
        <v>0.74714541197671858</v>
      </c>
      <c r="T56">
        <f t="shared" si="18"/>
        <v>1</v>
      </c>
      <c r="U56">
        <f t="shared" si="19"/>
        <v>0</v>
      </c>
      <c r="W56" s="24">
        <f t="shared" si="42"/>
        <v>0.87523954934529236</v>
      </c>
      <c r="X56" s="13">
        <f t="shared" si="43"/>
        <v>1.5622909873333053</v>
      </c>
      <c r="Y56">
        <f t="shared" si="44"/>
        <v>0.87523954934529236</v>
      </c>
      <c r="Z56">
        <f t="shared" si="45"/>
        <v>1</v>
      </c>
      <c r="AA56">
        <f t="shared" si="46"/>
        <v>0</v>
      </c>
      <c r="AC56" s="24">
        <f t="shared" si="47"/>
        <v>0.84392177282409442</v>
      </c>
      <c r="AD56" s="13">
        <f t="shared" si="48"/>
        <v>1.4018550818254485</v>
      </c>
      <c r="AE56">
        <f t="shared" si="49"/>
        <v>0.84392177282409442</v>
      </c>
      <c r="AF56">
        <f t="shared" si="50"/>
        <v>1</v>
      </c>
      <c r="AG56">
        <f t="shared" si="51"/>
        <v>0</v>
      </c>
      <c r="AI56" s="24">
        <f t="shared" si="52"/>
        <v>0.83294464820276393</v>
      </c>
      <c r="AJ56" s="13">
        <f t="shared" si="53"/>
        <v>1.3645753295913876</v>
      </c>
      <c r="AK56">
        <f t="shared" si="20"/>
        <v>0.83294464820276393</v>
      </c>
      <c r="AL56">
        <f t="shared" si="21"/>
        <v>1</v>
      </c>
      <c r="AM56">
        <f t="shared" si="22"/>
        <v>0</v>
      </c>
      <c r="AO56" s="24">
        <f t="shared" si="23"/>
        <v>0.82128871617964416</v>
      </c>
      <c r="AP56" s="13">
        <f t="shared" si="24"/>
        <v>1.2783861938928527</v>
      </c>
      <c r="AQ56">
        <f t="shared" si="25"/>
        <v>0.82128871617964416</v>
      </c>
      <c r="AR56">
        <f t="shared" si="26"/>
        <v>1</v>
      </c>
      <c r="AS56">
        <f t="shared" si="27"/>
        <v>0</v>
      </c>
      <c r="AU56" s="24">
        <f t="shared" si="28"/>
        <v>0.80315503721708492</v>
      </c>
      <c r="AV56" s="13">
        <f t="shared" si="29"/>
        <v>1.2391890853115113</v>
      </c>
      <c r="AW56">
        <f t="shared" si="30"/>
        <v>0.80315503721708492</v>
      </c>
      <c r="AX56">
        <f t="shared" si="31"/>
        <v>1</v>
      </c>
      <c r="AY56">
        <f t="shared" si="14"/>
        <v>0</v>
      </c>
      <c r="BA56" s="24">
        <f t="shared" si="32"/>
        <v>0.74537970089475014</v>
      </c>
      <c r="BB56" s="13">
        <f t="shared" si="33"/>
        <v>1.2508420193754144</v>
      </c>
      <c r="BC56">
        <f t="shared" si="34"/>
        <v>0.74537970089475014</v>
      </c>
      <c r="BD56">
        <f t="shared" si="35"/>
        <v>1</v>
      </c>
      <c r="BE56">
        <f t="shared" si="15"/>
        <v>0</v>
      </c>
      <c r="BG56" s="24">
        <f t="shared" si="36"/>
        <v>0.74030603519689409</v>
      </c>
      <c r="BH56" s="13">
        <f t="shared" si="37"/>
        <v>1.2415457828346737</v>
      </c>
      <c r="BI56">
        <f t="shared" si="38"/>
        <v>0.74030603519689409</v>
      </c>
      <c r="BJ56">
        <f t="shared" si="39"/>
        <v>1</v>
      </c>
      <c r="BK56">
        <f t="shared" si="16"/>
        <v>0</v>
      </c>
    </row>
    <row r="57" spans="2:63" x14ac:dyDescent="0.3">
      <c r="C57" s="3"/>
      <c r="D57" s="1">
        <v>0.97002578068783452</v>
      </c>
      <c r="E57" s="1">
        <v>0.16129032258064516</v>
      </c>
      <c r="F57" s="1">
        <v>0.10612244897959182</v>
      </c>
      <c r="G57" s="1">
        <v>0.133008814629654</v>
      </c>
      <c r="H57" s="1">
        <v>0.63636363636363635</v>
      </c>
      <c r="I57" s="1">
        <v>0.30264219443323914</v>
      </c>
      <c r="J57" s="1">
        <v>0.18992248062015507</v>
      </c>
      <c r="K57" s="1">
        <v>0.9606529483702877</v>
      </c>
      <c r="L57" s="1">
        <v>0</v>
      </c>
      <c r="M57" s="1">
        <v>0.16474654377880185</v>
      </c>
      <c r="N57" s="1">
        <v>0.16333386658134699</v>
      </c>
      <c r="O57" s="8">
        <v>0.16505596221139737</v>
      </c>
      <c r="Q57" s="24">
        <f t="shared" si="40"/>
        <v>1.0366210655784756</v>
      </c>
      <c r="R57" s="13">
        <f t="shared" si="41"/>
        <v>1.8751819547830633</v>
      </c>
      <c r="S57">
        <f t="shared" si="17"/>
        <v>1.0366210655784756</v>
      </c>
      <c r="T57">
        <f t="shared" si="18"/>
        <v>1</v>
      </c>
      <c r="U57">
        <f t="shared" si="19"/>
        <v>0</v>
      </c>
      <c r="W57" s="24">
        <f t="shared" si="42"/>
        <v>0.96928831009268646</v>
      </c>
      <c r="X57" s="13">
        <f t="shared" si="43"/>
        <v>1.6619696557445167</v>
      </c>
      <c r="Y57">
        <f t="shared" si="44"/>
        <v>0.96928831009268646</v>
      </c>
      <c r="Z57">
        <f t="shared" si="45"/>
        <v>1</v>
      </c>
      <c r="AA57">
        <f t="shared" si="46"/>
        <v>0</v>
      </c>
      <c r="AC57" s="24">
        <f t="shared" si="47"/>
        <v>0.92397116376505473</v>
      </c>
      <c r="AD57" s="13">
        <f t="shared" si="48"/>
        <v>1.5238482992179132</v>
      </c>
      <c r="AE57">
        <f t="shared" si="49"/>
        <v>0.92397116376505473</v>
      </c>
      <c r="AF57">
        <f t="shared" si="50"/>
        <v>1</v>
      </c>
      <c r="AG57">
        <f t="shared" si="51"/>
        <v>0</v>
      </c>
      <c r="AI57" s="24">
        <f t="shared" si="52"/>
        <v>0.91544695446460134</v>
      </c>
      <c r="AJ57" s="13">
        <f t="shared" si="53"/>
        <v>1.4757610985329399</v>
      </c>
      <c r="AK57">
        <f t="shared" si="20"/>
        <v>0.91544695446460134</v>
      </c>
      <c r="AL57">
        <f t="shared" si="21"/>
        <v>1</v>
      </c>
      <c r="AM57">
        <f t="shared" si="22"/>
        <v>0</v>
      </c>
      <c r="AO57" s="24">
        <f t="shared" si="23"/>
        <v>0.8870130614409103</v>
      </c>
      <c r="AP57" s="13">
        <f t="shared" si="24"/>
        <v>1.4267542852807662</v>
      </c>
      <c r="AQ57">
        <f t="shared" si="25"/>
        <v>0.8870130614409103</v>
      </c>
      <c r="AR57">
        <f t="shared" si="26"/>
        <v>1</v>
      </c>
      <c r="AS57">
        <f t="shared" si="27"/>
        <v>0</v>
      </c>
      <c r="AU57" s="24">
        <f t="shared" si="28"/>
        <v>0.83049012716526782</v>
      </c>
      <c r="AV57" s="13">
        <f t="shared" si="29"/>
        <v>1.3869265590632456</v>
      </c>
      <c r="AW57">
        <f t="shared" si="30"/>
        <v>0.83049012716526782</v>
      </c>
      <c r="AX57">
        <f t="shared" si="31"/>
        <v>1</v>
      </c>
      <c r="AY57">
        <f t="shared" si="14"/>
        <v>0</v>
      </c>
      <c r="BA57" s="24">
        <f t="shared" si="32"/>
        <v>0.81362195684943206</v>
      </c>
      <c r="BB57" s="13">
        <f t="shared" si="33"/>
        <v>1.3580752251421553</v>
      </c>
      <c r="BC57">
        <f t="shared" si="34"/>
        <v>0.81362195684943206</v>
      </c>
      <c r="BD57">
        <f t="shared" si="35"/>
        <v>1</v>
      </c>
      <c r="BE57">
        <f t="shared" si="15"/>
        <v>0</v>
      </c>
      <c r="BG57" s="24">
        <f t="shared" si="36"/>
        <v>0.80866829827140374</v>
      </c>
      <c r="BH57" s="13">
        <f t="shared" si="37"/>
        <v>1.3471384171847256</v>
      </c>
      <c r="BI57">
        <f t="shared" si="38"/>
        <v>0.80866829827140374</v>
      </c>
      <c r="BJ57">
        <f t="shared" si="39"/>
        <v>1</v>
      </c>
      <c r="BK57">
        <f t="shared" si="16"/>
        <v>0</v>
      </c>
    </row>
    <row r="58" spans="2:63" x14ac:dyDescent="0.3">
      <c r="C58" s="3"/>
      <c r="D58" s="1">
        <v>0.49699543000376467</v>
      </c>
      <c r="E58" s="1">
        <v>6.4516129032258063E-2</v>
      </c>
      <c r="F58" s="1">
        <v>0.34693877551020419</v>
      </c>
      <c r="G58" s="1">
        <v>0.344823049598737</v>
      </c>
      <c r="H58" s="1">
        <v>0.63636363636363635</v>
      </c>
      <c r="I58" s="1">
        <v>0.62938684953610324</v>
      </c>
      <c r="J58" s="1">
        <v>0.12015503875968991</v>
      </c>
      <c r="K58" s="1">
        <v>0.72244377093635359</v>
      </c>
      <c r="L58" s="1">
        <v>9.4352159468438553E-3</v>
      </c>
      <c r="M58" s="1">
        <v>4.9395161290322578E-2</v>
      </c>
      <c r="N58" s="1">
        <v>0.29771236602143658</v>
      </c>
      <c r="O58" s="8">
        <v>0.69124836107565535</v>
      </c>
      <c r="Q58" s="24">
        <f t="shared" si="40"/>
        <v>0.43661102805338031</v>
      </c>
      <c r="R58" s="13">
        <f t="shared" si="41"/>
        <v>1.4548291166575513</v>
      </c>
      <c r="S58">
        <f t="shared" si="17"/>
        <v>0.43661102805338031</v>
      </c>
      <c r="T58">
        <f t="shared" si="18"/>
        <v>1</v>
      </c>
      <c r="U58">
        <f t="shared" si="19"/>
        <v>0</v>
      </c>
      <c r="W58" s="24">
        <f t="shared" si="42"/>
        <v>0.4602645413466131</v>
      </c>
      <c r="X58" s="13">
        <f t="shared" si="43"/>
        <v>1.1636451392523637</v>
      </c>
      <c r="Y58">
        <f t="shared" si="44"/>
        <v>0.4602645413466131</v>
      </c>
      <c r="Z58">
        <f t="shared" si="45"/>
        <v>1</v>
      </c>
      <c r="AA58">
        <f t="shared" si="46"/>
        <v>0</v>
      </c>
      <c r="AC58" s="24">
        <f t="shared" si="47"/>
        <v>0.48902753901131074</v>
      </c>
      <c r="AD58" s="13">
        <f t="shared" si="48"/>
        <v>0.93481947777329355</v>
      </c>
      <c r="AE58">
        <f t="shared" si="49"/>
        <v>0.48902753901131074</v>
      </c>
      <c r="AF58">
        <f t="shared" si="50"/>
        <v>1</v>
      </c>
      <c r="AG58">
        <f t="shared" si="51"/>
        <v>0</v>
      </c>
      <c r="AI58" s="24">
        <f t="shared" si="52"/>
        <v>0.50719159658522972</v>
      </c>
      <c r="AJ58" s="13">
        <f t="shared" si="53"/>
        <v>0.87130469606395422</v>
      </c>
      <c r="AK58">
        <f t="shared" si="20"/>
        <v>0.50719159658522972</v>
      </c>
      <c r="AL58">
        <f t="shared" si="21"/>
        <v>1</v>
      </c>
      <c r="AM58">
        <f t="shared" si="22"/>
        <v>0</v>
      </c>
      <c r="AO58" s="24">
        <f t="shared" si="23"/>
        <v>0.49540054237894066</v>
      </c>
      <c r="AP58" s="13">
        <f t="shared" si="24"/>
        <v>0.80399290952717106</v>
      </c>
      <c r="AQ58">
        <f t="shared" si="25"/>
        <v>0.49540054237894066</v>
      </c>
      <c r="AR58">
        <f t="shared" si="26"/>
        <v>1</v>
      </c>
      <c r="AS58">
        <f t="shared" si="27"/>
        <v>0</v>
      </c>
      <c r="AU58" s="24">
        <f t="shared" si="28"/>
        <v>0.49137653428317363</v>
      </c>
      <c r="AV58" s="13">
        <f t="shared" si="29"/>
        <v>0.78581533508699219</v>
      </c>
      <c r="AW58">
        <f t="shared" si="30"/>
        <v>0.49137653428317363</v>
      </c>
      <c r="AX58">
        <f t="shared" si="31"/>
        <v>1</v>
      </c>
      <c r="AY58">
        <f t="shared" si="14"/>
        <v>0</v>
      </c>
      <c r="BA58" s="24">
        <f t="shared" si="32"/>
        <v>0.52258127982573843</v>
      </c>
      <c r="BB58" s="13">
        <f t="shared" si="33"/>
        <v>0.77058897527242132</v>
      </c>
      <c r="BC58">
        <f t="shared" si="34"/>
        <v>0.52258127982573843</v>
      </c>
      <c r="BD58">
        <f t="shared" si="35"/>
        <v>1</v>
      </c>
      <c r="BE58">
        <f t="shared" si="15"/>
        <v>0</v>
      </c>
      <c r="BG58" s="24">
        <f t="shared" si="36"/>
        <v>0.52590929882626669</v>
      </c>
      <c r="BH58" s="13">
        <f t="shared" si="37"/>
        <v>0.76596418292167368</v>
      </c>
      <c r="BI58">
        <f t="shared" si="38"/>
        <v>0.52590929882626669</v>
      </c>
      <c r="BJ58">
        <f t="shared" si="39"/>
        <v>1</v>
      </c>
      <c r="BK58">
        <f t="shared" si="16"/>
        <v>0</v>
      </c>
    </row>
    <row r="59" spans="2:63" x14ac:dyDescent="0.3">
      <c r="C59" s="3"/>
      <c r="D59" s="1">
        <v>0.30401197062621815</v>
      </c>
      <c r="E59" s="1">
        <v>6.4516129032258063E-2</v>
      </c>
      <c r="F59" s="1">
        <v>0.91428571428571448</v>
      </c>
      <c r="G59" s="1">
        <v>0.60136824102091835</v>
      </c>
      <c r="H59" s="1">
        <v>0.45454545454545453</v>
      </c>
      <c r="I59" s="1">
        <v>0.64068172650262201</v>
      </c>
      <c r="J59" s="1">
        <v>0.18863049095607234</v>
      </c>
      <c r="K59" s="1">
        <v>0</v>
      </c>
      <c r="L59" s="1">
        <v>1</v>
      </c>
      <c r="M59" s="1">
        <v>8.8421658986175114E-2</v>
      </c>
      <c r="N59" s="1">
        <v>0.49448088305871057</v>
      </c>
      <c r="O59" s="8">
        <v>0.33808295779172853</v>
      </c>
      <c r="Q59" s="24">
        <f t="shared" si="40"/>
        <v>1.465332944571613</v>
      </c>
      <c r="R59" s="13">
        <f t="shared" si="41"/>
        <v>1.7513322987353637</v>
      </c>
      <c r="S59">
        <f t="shared" si="17"/>
        <v>1.465332944571613</v>
      </c>
      <c r="T59">
        <f t="shared" si="18"/>
        <v>1</v>
      </c>
      <c r="U59">
        <f t="shared" si="19"/>
        <v>0</v>
      </c>
      <c r="W59" s="24">
        <f t="shared" si="42"/>
        <v>1.2477812746768548</v>
      </c>
      <c r="X59" s="13">
        <f t="shared" si="43"/>
        <v>1.3700982886167994</v>
      </c>
      <c r="Y59">
        <f t="shared" si="44"/>
        <v>1.2477812746768548</v>
      </c>
      <c r="Z59">
        <f t="shared" si="45"/>
        <v>1</v>
      </c>
      <c r="AA59">
        <f t="shared" si="46"/>
        <v>0</v>
      </c>
      <c r="AC59" s="24">
        <f t="shared" si="47"/>
        <v>1.2800820327816935</v>
      </c>
      <c r="AD59" s="13">
        <f t="shared" si="48"/>
        <v>1.2836400629579414</v>
      </c>
      <c r="AE59">
        <f t="shared" si="49"/>
        <v>1.2800820327816935</v>
      </c>
      <c r="AF59">
        <f t="shared" si="50"/>
        <v>1</v>
      </c>
      <c r="AG59">
        <f t="shared" si="51"/>
        <v>0</v>
      </c>
      <c r="AI59" s="24">
        <f t="shared" si="52"/>
        <v>1.2850327450608181</v>
      </c>
      <c r="AJ59" s="13">
        <f t="shared" si="53"/>
        <v>1.2825906296363072</v>
      </c>
      <c r="AK59">
        <f t="shared" si="20"/>
        <v>1.2825906296363072</v>
      </c>
      <c r="AL59">
        <f t="shared" si="21"/>
        <v>0</v>
      </c>
      <c r="AM59">
        <f t="shared" si="22"/>
        <v>1</v>
      </c>
      <c r="AO59" s="24">
        <f t="shared" si="23"/>
        <v>1.3353207957256779</v>
      </c>
      <c r="AP59" s="13">
        <f t="shared" si="24"/>
        <v>1.1689310746135442</v>
      </c>
      <c r="AQ59">
        <f t="shared" si="25"/>
        <v>1.1689310746135442</v>
      </c>
      <c r="AR59">
        <f t="shared" si="26"/>
        <v>0</v>
      </c>
      <c r="AS59">
        <f t="shared" si="27"/>
        <v>1</v>
      </c>
      <c r="AU59" s="24">
        <f t="shared" si="28"/>
        <v>1.3757743977755554</v>
      </c>
      <c r="AV59" s="13">
        <f t="shared" si="29"/>
        <v>1.1498884368133835</v>
      </c>
      <c r="AW59">
        <f t="shared" si="30"/>
        <v>1.1498884368133835</v>
      </c>
      <c r="AX59">
        <f t="shared" si="31"/>
        <v>0</v>
      </c>
      <c r="AY59">
        <f t="shared" si="14"/>
        <v>1</v>
      </c>
      <c r="BA59" s="24">
        <f t="shared" si="32"/>
        <v>1.4185064106252696</v>
      </c>
      <c r="BB59" s="13">
        <f t="shared" si="33"/>
        <v>1.1508561716603118</v>
      </c>
      <c r="BC59">
        <f t="shared" si="34"/>
        <v>1.1508561716603118</v>
      </c>
      <c r="BD59">
        <f t="shared" si="35"/>
        <v>0</v>
      </c>
      <c r="BE59">
        <f t="shared" si="15"/>
        <v>1</v>
      </c>
      <c r="BG59" s="24">
        <f t="shared" si="36"/>
        <v>1.4316929223695432</v>
      </c>
      <c r="BH59" s="13">
        <f t="shared" si="37"/>
        <v>1.1498875483655733</v>
      </c>
      <c r="BI59">
        <f t="shared" si="38"/>
        <v>1.1498875483655733</v>
      </c>
      <c r="BJ59">
        <f t="shared" si="39"/>
        <v>0</v>
      </c>
      <c r="BK59">
        <f t="shared" si="16"/>
        <v>1</v>
      </c>
    </row>
    <row r="60" spans="2:63" ht="15" thickBot="1" x14ac:dyDescent="0.35">
      <c r="C60" s="5"/>
      <c r="D60" s="9">
        <v>0.63525330359738286</v>
      </c>
      <c r="E60" s="9">
        <v>0</v>
      </c>
      <c r="F60" s="9">
        <v>0.46326530612244904</v>
      </c>
      <c r="G60" s="9">
        <v>0.22247072753585054</v>
      </c>
      <c r="H60" s="9">
        <v>0.90909090909090906</v>
      </c>
      <c r="I60" s="9">
        <v>0.37736990722065339</v>
      </c>
      <c r="J60" s="9">
        <v>0.24806201550387597</v>
      </c>
      <c r="K60" s="9">
        <v>0.92449619822406559</v>
      </c>
      <c r="L60" s="9">
        <v>4.7009966777408643E-4</v>
      </c>
      <c r="M60" s="9">
        <v>8.4101382488479245E-2</v>
      </c>
      <c r="N60" s="9">
        <v>0.12973924172132459</v>
      </c>
      <c r="O60" s="10">
        <v>0.61011400835308738</v>
      </c>
      <c r="Q60" s="24">
        <f t="shared" si="40"/>
        <v>0.56121964012993308</v>
      </c>
      <c r="R60" s="13">
        <f t="shared" si="41"/>
        <v>1.6007218462646458</v>
      </c>
      <c r="S60">
        <f t="shared" si="17"/>
        <v>0.56121964012993308</v>
      </c>
      <c r="T60">
        <f t="shared" si="18"/>
        <v>1</v>
      </c>
      <c r="U60">
        <f t="shared" si="19"/>
        <v>0</v>
      </c>
      <c r="W60" s="24">
        <f t="shared" si="42"/>
        <v>0.7190027341967431</v>
      </c>
      <c r="X60" s="13">
        <f t="shared" si="43"/>
        <v>1.4822692899433678</v>
      </c>
      <c r="Y60">
        <f t="shared" si="44"/>
        <v>0.7190027341967431</v>
      </c>
      <c r="Z60">
        <f t="shared" si="45"/>
        <v>1</v>
      </c>
      <c r="AA60">
        <f t="shared" si="46"/>
        <v>0</v>
      </c>
      <c r="AC60" s="24">
        <f t="shared" si="47"/>
        <v>0.66875255596621186</v>
      </c>
      <c r="AD60" s="13">
        <f t="shared" si="48"/>
        <v>1.3328141645785658</v>
      </c>
      <c r="AE60">
        <f t="shared" si="49"/>
        <v>0.66875255596621186</v>
      </c>
      <c r="AF60">
        <f t="shared" si="50"/>
        <v>1</v>
      </c>
      <c r="AG60">
        <f t="shared" si="51"/>
        <v>0</v>
      </c>
      <c r="AI60" s="24">
        <f t="shared" si="52"/>
        <v>0.66624803010565148</v>
      </c>
      <c r="AJ60" s="13">
        <f t="shared" si="53"/>
        <v>1.2718141240898702</v>
      </c>
      <c r="AK60">
        <f t="shared" si="20"/>
        <v>0.66624803010565148</v>
      </c>
      <c r="AL60">
        <f t="shared" si="21"/>
        <v>1</v>
      </c>
      <c r="AM60">
        <f t="shared" si="22"/>
        <v>0</v>
      </c>
      <c r="AO60" s="24">
        <f t="shared" si="23"/>
        <v>0.63491895698958978</v>
      </c>
      <c r="AP60" s="13">
        <f t="shared" si="24"/>
        <v>1.1989665125238416</v>
      </c>
      <c r="AQ60">
        <f t="shared" si="25"/>
        <v>0.63491895698958978</v>
      </c>
      <c r="AR60">
        <f t="shared" si="26"/>
        <v>1</v>
      </c>
      <c r="AS60">
        <f t="shared" si="27"/>
        <v>0</v>
      </c>
      <c r="AU60" s="24">
        <f t="shared" si="28"/>
        <v>0.59170864729008332</v>
      </c>
      <c r="AV60" s="13">
        <f t="shared" si="29"/>
        <v>1.1591072199449577</v>
      </c>
      <c r="AW60">
        <f t="shared" si="30"/>
        <v>0.59170864729008332</v>
      </c>
      <c r="AX60">
        <f t="shared" si="31"/>
        <v>1</v>
      </c>
      <c r="AY60">
        <f t="shared" si="14"/>
        <v>0</v>
      </c>
      <c r="BA60" s="24">
        <f t="shared" si="32"/>
        <v>0.57364920198148051</v>
      </c>
      <c r="BB60" s="13">
        <f t="shared" si="33"/>
        <v>1.1363447713493773</v>
      </c>
      <c r="BC60">
        <f t="shared" si="34"/>
        <v>0.57364920198148051</v>
      </c>
      <c r="BD60">
        <f t="shared" si="35"/>
        <v>1</v>
      </c>
      <c r="BE60">
        <f t="shared" si="15"/>
        <v>0</v>
      </c>
      <c r="BG60" s="24">
        <f t="shared" si="36"/>
        <v>0.57132894152393066</v>
      </c>
      <c r="BH60" s="13">
        <f t="shared" si="37"/>
        <v>1.1246801730342586</v>
      </c>
      <c r="BI60">
        <f t="shared" si="38"/>
        <v>0.57132894152393066</v>
      </c>
      <c r="BJ60">
        <f t="shared" si="39"/>
        <v>1</v>
      </c>
      <c r="BK60">
        <f t="shared" si="16"/>
        <v>0</v>
      </c>
    </row>
    <row r="61" spans="2:63" x14ac:dyDescent="0.3">
      <c r="S61" s="35">
        <f>SUM(S10:S60)</f>
        <v>45.242113445470736</v>
      </c>
      <c r="T61">
        <f>SUM(T10:T60)</f>
        <v>46</v>
      </c>
      <c r="U61">
        <f>SUM(U10:U60)</f>
        <v>5</v>
      </c>
      <c r="Y61" s="35">
        <f>SUM(Y10:Y60)</f>
        <v>39.622115651315951</v>
      </c>
      <c r="Z61">
        <f>SUM(Z10:Z60)</f>
        <v>40</v>
      </c>
      <c r="AA61">
        <f>SUM(AA10:AA60)</f>
        <v>11</v>
      </c>
      <c r="AE61" s="35">
        <f>SUM(AE10:AE60)</f>
        <v>38.101324614178452</v>
      </c>
      <c r="AF61">
        <f>SUM(AF10:AF60)</f>
        <v>38</v>
      </c>
      <c r="AG61">
        <f>SUM(AG10:AG60)</f>
        <v>13</v>
      </c>
      <c r="AK61">
        <f>SUM(AK10:AK60)</f>
        <v>37.997068700839087</v>
      </c>
      <c r="AL61">
        <f>SUM(AL10:AL60)</f>
        <v>36</v>
      </c>
      <c r="AM61">
        <f>SUM(AM10:AM60)</f>
        <v>15</v>
      </c>
      <c r="AQ61" s="35">
        <f>SUM(AQ10:AQ60)</f>
        <v>37.457282211881562</v>
      </c>
      <c r="AR61">
        <f>SUM(AR10:AR60)</f>
        <v>32</v>
      </c>
      <c r="AS61">
        <f>SUM(AS10:AS60)</f>
        <v>19</v>
      </c>
      <c r="AW61" s="37">
        <f>SUM(AW10:AW60)</f>
        <v>37.137497545645026</v>
      </c>
      <c r="AX61">
        <f>SUM(AX10:AX60)</f>
        <v>27</v>
      </c>
      <c r="AY61">
        <f>SUM(AY10:AY60)</f>
        <v>24</v>
      </c>
      <c r="BC61" s="37">
        <f>SUM(BC10:BC60)</f>
        <v>36.611663389265047</v>
      </c>
      <c r="BD61">
        <f>SUM(BD10:BD60)</f>
        <v>26</v>
      </c>
      <c r="BE61">
        <f>SUM(BE10:BE60)</f>
        <v>25</v>
      </c>
      <c r="BI61" s="35">
        <f>SUM(BI10:BI60)</f>
        <v>36.582587650129199</v>
      </c>
      <c r="BJ61">
        <f>SUM(BJ10:BJ60)</f>
        <v>26</v>
      </c>
      <c r="BK61">
        <f>SUM(BK10:BK60)</f>
        <v>25</v>
      </c>
    </row>
    <row r="62" spans="2:63" x14ac:dyDescent="0.3">
      <c r="B62" t="s">
        <v>28</v>
      </c>
      <c r="C62" t="s">
        <v>19</v>
      </c>
      <c r="D62" s="24">
        <f>(SUMPRODUCT(D10:D60,$T$10:$T$60))/($T$61)</f>
        <v>0.40413367420279911</v>
      </c>
      <c r="E62" s="24">
        <f t="shared" ref="E62:O62" si="54">(SUMPRODUCT(E10:E60,$T$10:$T$60))/($T$61)</f>
        <v>0.30084151472650794</v>
      </c>
      <c r="F62" s="24">
        <f t="shared" si="54"/>
        <v>0.52040816326530592</v>
      </c>
      <c r="G62" s="24">
        <f t="shared" si="54"/>
        <v>0.45258633017394739</v>
      </c>
      <c r="H62" s="24">
        <f t="shared" si="54"/>
        <v>0.64031620553359669</v>
      </c>
      <c r="I62" s="24">
        <f t="shared" si="54"/>
        <v>0.56567120332532406</v>
      </c>
      <c r="J62" s="24">
        <f t="shared" si="54"/>
        <v>0.18627120548253001</v>
      </c>
      <c r="K62" s="24">
        <f t="shared" si="54"/>
        <v>0.59228640584796144</v>
      </c>
      <c r="L62" s="24">
        <f t="shared" si="54"/>
        <v>5.3416542683807598E-2</v>
      </c>
      <c r="M62" s="24">
        <f t="shared" si="54"/>
        <v>0.13736287818072529</v>
      </c>
      <c r="N62" s="24">
        <f t="shared" si="54"/>
        <v>0.37289685824181179</v>
      </c>
      <c r="O62" s="24">
        <f t="shared" si="54"/>
        <v>0.43638972667668602</v>
      </c>
    </row>
    <row r="63" spans="2:63" x14ac:dyDescent="0.3">
      <c r="B63" t="s">
        <v>29</v>
      </c>
      <c r="C63" t="s">
        <v>20</v>
      </c>
      <c r="D63" s="13">
        <f>(SUMPRODUCT(D10:D60,$U$10:$U$60))/($U$61)</f>
        <v>0.41511291560041369</v>
      </c>
      <c r="E63" s="13">
        <f t="shared" ref="E63:O63" si="55">(SUMPRODUCT(E10:E60,$U$10:$U$60))/($U$61)</f>
        <v>0.67096774193548392</v>
      </c>
      <c r="F63" s="13">
        <f t="shared" si="55"/>
        <v>0.61795918367346947</v>
      </c>
      <c r="G63" s="13">
        <f t="shared" si="55"/>
        <v>0.87264833574529665</v>
      </c>
      <c r="H63" s="13">
        <f t="shared" si="55"/>
        <v>0.36363636363636365</v>
      </c>
      <c r="I63" s="13">
        <f t="shared" si="55"/>
        <v>0.76520774505849121</v>
      </c>
      <c r="J63" s="13">
        <f t="shared" si="55"/>
        <v>0.56873385012919908</v>
      </c>
      <c r="K63" s="13">
        <f t="shared" si="55"/>
        <v>0.24581272930291917</v>
      </c>
      <c r="L63" s="13">
        <f t="shared" si="55"/>
        <v>1.9272425249169438E-4</v>
      </c>
      <c r="M63" s="13">
        <f t="shared" si="55"/>
        <v>7.1111751152073729E-2</v>
      </c>
      <c r="N63" s="13">
        <f t="shared" si="55"/>
        <v>0.61894096944488886</v>
      </c>
      <c r="O63" s="13">
        <f t="shared" si="55"/>
        <v>0.64067484609306491</v>
      </c>
    </row>
    <row r="66" spans="2:15" x14ac:dyDescent="0.3">
      <c r="B66" t="s">
        <v>28</v>
      </c>
      <c r="C66" t="s">
        <v>19</v>
      </c>
      <c r="D66" s="24">
        <f>(SUMPRODUCT(D10:D60,$Z$10:$Z$60))/($Z$61)</f>
        <v>0.40396622301009782</v>
      </c>
      <c r="E66" s="24">
        <f t="shared" ref="E66:O66" si="56">(SUMPRODUCT(E10:E60,$Z$10:$Z$60))/($Z$61)</f>
        <v>0.31451612903225823</v>
      </c>
      <c r="F66" s="24">
        <f t="shared" si="56"/>
        <v>0.53602040816326513</v>
      </c>
      <c r="G66" s="24">
        <f t="shared" si="56"/>
        <v>0.42142152348375211</v>
      </c>
      <c r="H66" s="24">
        <f t="shared" si="56"/>
        <v>0.69772727272727253</v>
      </c>
      <c r="I66" s="24">
        <f t="shared" si="56"/>
        <v>0.53152985074626857</v>
      </c>
      <c r="J66" s="24">
        <f t="shared" si="56"/>
        <v>0.17719638242894056</v>
      </c>
      <c r="K66" s="24">
        <f t="shared" si="56"/>
        <v>0.63680943265805301</v>
      </c>
      <c r="L66" s="24">
        <f t="shared" si="56"/>
        <v>6.1422583056478394E-2</v>
      </c>
      <c r="M66" s="24">
        <f t="shared" si="56"/>
        <v>0.13222206221198157</v>
      </c>
      <c r="N66" s="24">
        <f t="shared" si="56"/>
        <v>0.32526395776675726</v>
      </c>
      <c r="O66" s="24">
        <f t="shared" si="56"/>
        <v>0.3877293408702146</v>
      </c>
    </row>
    <row r="67" spans="2:15" x14ac:dyDescent="0.3">
      <c r="B67" t="s">
        <v>29</v>
      </c>
      <c r="C67" t="s">
        <v>20</v>
      </c>
      <c r="D67" s="13">
        <f>(SUMPRODUCT(D10:D60,$AA$10:$AA$60))/($AA$61)</f>
        <v>0.40973315190244669</v>
      </c>
      <c r="E67" s="13">
        <f t="shared" ref="E67:O67" si="57">(SUMPRODUCT(E10:E60,$AA$10:$AA$60))/($AA$61)</f>
        <v>0.41935483870967744</v>
      </c>
      <c r="F67" s="13">
        <f t="shared" si="57"/>
        <v>0.50797773654916523</v>
      </c>
      <c r="G67" s="13">
        <f t="shared" si="57"/>
        <v>0.7568501752161797</v>
      </c>
      <c r="H67" s="13">
        <f t="shared" si="57"/>
        <v>0.30578512396694207</v>
      </c>
      <c r="I67" s="13">
        <f t="shared" si="57"/>
        <v>0.78052000440060132</v>
      </c>
      <c r="J67" s="13">
        <f t="shared" si="57"/>
        <v>0.3931172186986141</v>
      </c>
      <c r="K67" s="13">
        <f t="shared" si="57"/>
        <v>0.27289645538170026</v>
      </c>
      <c r="L67" s="13">
        <f t="shared" si="57"/>
        <v>1.1102385986106914E-4</v>
      </c>
      <c r="M67" s="13">
        <f t="shared" si="57"/>
        <v>0.12594260578131544</v>
      </c>
      <c r="N67" s="13">
        <f t="shared" si="57"/>
        <v>0.65794563778886284</v>
      </c>
      <c r="O67" s="13">
        <f t="shared" si="57"/>
        <v>0.70619345661675503</v>
      </c>
    </row>
    <row r="70" spans="2:15" x14ac:dyDescent="0.3">
      <c r="B70" t="s">
        <v>28</v>
      </c>
      <c r="C70" t="s">
        <v>19</v>
      </c>
      <c r="D70" s="24">
        <f>(SUMPRODUCT(D10:D60,$AF$10:$AF$60))/($AF$61)</f>
        <v>0.3984596045289136</v>
      </c>
      <c r="E70" s="24">
        <f t="shared" ref="E70:O70" si="58">(SUMPRODUCT(E10:E60,$AF$10:$AF$60))/($AF$61)</f>
        <v>0.31324278438030578</v>
      </c>
      <c r="F70" s="24">
        <f t="shared" si="58"/>
        <v>0.54774436090225553</v>
      </c>
      <c r="G70" s="24">
        <f t="shared" si="58"/>
        <v>0.40831538786447763</v>
      </c>
      <c r="H70" s="24">
        <f t="shared" si="58"/>
        <v>0.70095693779904289</v>
      </c>
      <c r="I70" s="24">
        <f t="shared" si="58"/>
        <v>0.52307806628309361</v>
      </c>
      <c r="J70" s="24">
        <f t="shared" si="58"/>
        <v>0.17441860465116277</v>
      </c>
      <c r="K70" s="24">
        <f t="shared" si="58"/>
        <v>0.65314286673774891</v>
      </c>
      <c r="L70" s="24">
        <f t="shared" si="58"/>
        <v>6.4502701521244973E-2</v>
      </c>
      <c r="M70" s="24">
        <f t="shared" si="58"/>
        <v>0.13445155226776617</v>
      </c>
      <c r="N70" s="24">
        <f t="shared" si="58"/>
        <v>0.32237789322129512</v>
      </c>
      <c r="O70" s="24">
        <f t="shared" si="58"/>
        <v>0.36380601533790974</v>
      </c>
    </row>
    <row r="71" spans="2:15" x14ac:dyDescent="0.3">
      <c r="B71" t="s">
        <v>29</v>
      </c>
      <c r="C71" t="s">
        <v>20</v>
      </c>
      <c r="D71" s="13">
        <f>(SUMPRODUCT(D10:D60,$AG$10:$AG$60))/($AG$61)</f>
        <v>0.42494220147939282</v>
      </c>
      <c r="E71" s="13">
        <f t="shared" ref="E71:O71" si="59">(SUMPRODUCT(E10:E60,$AG$10:$AG$60))/($AG$61)</f>
        <v>0.40694789081885852</v>
      </c>
      <c r="F71" s="13">
        <f t="shared" si="59"/>
        <v>0.4780219780219781</v>
      </c>
      <c r="G71" s="13">
        <f t="shared" si="59"/>
        <v>0.74355600983676251</v>
      </c>
      <c r="H71" s="13">
        <f t="shared" si="59"/>
        <v>0.35664335664335667</v>
      </c>
      <c r="I71" s="13">
        <f t="shared" si="59"/>
        <v>0.76691904303844594</v>
      </c>
      <c r="J71" s="13">
        <f t="shared" si="59"/>
        <v>0.3680182866229379</v>
      </c>
      <c r="K71" s="13">
        <f t="shared" si="59"/>
        <v>0.28113918303741248</v>
      </c>
      <c r="L71" s="13">
        <f t="shared" si="59"/>
        <v>5.4014822386915407E-4</v>
      </c>
      <c r="M71" s="13">
        <f t="shared" si="59"/>
        <v>0.12039170506912442</v>
      </c>
      <c r="N71" s="13">
        <f t="shared" si="59"/>
        <v>0.61520002953373609</v>
      </c>
      <c r="O71" s="13">
        <f t="shared" si="59"/>
        <v>0.7271286980578705</v>
      </c>
    </row>
    <row r="74" spans="2:15" x14ac:dyDescent="0.3">
      <c r="B74" t="s">
        <v>28</v>
      </c>
      <c r="C74" t="s">
        <v>19</v>
      </c>
      <c r="D74" s="24">
        <f>(SUMPRODUCT(D10:D60,$AL$10:$AL$60))/($AL$61)</f>
        <v>0.40304960280585367</v>
      </c>
      <c r="E74" s="24">
        <f t="shared" ref="E74:O74" si="60">(SUMPRODUCT(E10:E60,$AL$10:$AL$60)+E6)/($AL$61+1)</f>
        <v>0.32432432432432451</v>
      </c>
      <c r="F74" s="24">
        <f t="shared" si="60"/>
        <v>0.5365140650854936</v>
      </c>
      <c r="G74" s="24">
        <f t="shared" si="60"/>
        <v>0.39107940989272394</v>
      </c>
      <c r="H74" s="24">
        <f t="shared" si="60"/>
        <v>0.70270270270270252</v>
      </c>
      <c r="I74" s="24">
        <f t="shared" si="60"/>
        <v>0.51349988552489556</v>
      </c>
      <c r="J74" s="24">
        <f t="shared" si="60"/>
        <v>0.17794538724771281</v>
      </c>
      <c r="K74" s="24">
        <f t="shared" si="60"/>
        <v>0.69130527879929704</v>
      </c>
      <c r="L74" s="24">
        <f t="shared" si="60"/>
        <v>3.9218990751548888E-2</v>
      </c>
      <c r="M74" s="24">
        <f t="shared" si="60"/>
        <v>0.13226273508531572</v>
      </c>
      <c r="N74" s="24">
        <f t="shared" si="60"/>
        <v>0.30263698348804735</v>
      </c>
      <c r="O74" s="24">
        <f t="shared" si="60"/>
        <v>0.37328800315593413</v>
      </c>
    </row>
    <row r="75" spans="2:15" x14ac:dyDescent="0.3">
      <c r="B75" t="s">
        <v>29</v>
      </c>
      <c r="C75" t="s">
        <v>20</v>
      </c>
      <c r="D75" s="13">
        <f>(SUMPRODUCT(D10:D60,$AM$10:$AM$60)+D6)/($AM$61+1)</f>
        <v>0.4084094602257835</v>
      </c>
      <c r="E75" s="13">
        <f t="shared" ref="E75:O75" si="61">(SUMPRODUCT(E10:E60,$AM$10:$AM$60)+E6)/($AM$61+1)</f>
        <v>0.35282258064516125</v>
      </c>
      <c r="F75" s="13">
        <f t="shared" si="61"/>
        <v>0.52691326530612248</v>
      </c>
      <c r="G75" s="13">
        <f t="shared" si="61"/>
        <v>0.71031772135245375</v>
      </c>
      <c r="H75" s="13">
        <f t="shared" si="61"/>
        <v>0.43181818181818182</v>
      </c>
      <c r="I75" s="13">
        <f t="shared" si="61"/>
        <v>0.7684109015732149</v>
      </c>
      <c r="J75" s="13">
        <f t="shared" si="61"/>
        <v>0.31984819121447033</v>
      </c>
      <c r="K75" s="13">
        <f t="shared" si="61"/>
        <v>0.28512654862551179</v>
      </c>
      <c r="L75" s="13">
        <f t="shared" si="61"/>
        <v>6.2938870431893681E-2</v>
      </c>
      <c r="M75" s="13">
        <f t="shared" si="61"/>
        <v>0.11923963133640551</v>
      </c>
      <c r="N75" s="13">
        <f t="shared" si="61"/>
        <v>0.59546472564389696</v>
      </c>
      <c r="O75" s="13">
        <f t="shared" si="61"/>
        <v>0.66346805074370263</v>
      </c>
    </row>
    <row r="78" spans="2:15" x14ac:dyDescent="0.3">
      <c r="B78" t="s">
        <v>28</v>
      </c>
      <c r="C78" t="s">
        <v>19</v>
      </c>
      <c r="D78" s="24">
        <f>(SUMPRODUCT(D10:D60,$AR$10:$AR$60))/($AR$61)</f>
        <v>0.42415768988834712</v>
      </c>
      <c r="E78" s="24">
        <f t="shared" ref="E78:O78" si="62">(SUMPRODUCT(E10:E60,$AR$10:$AR$60)+E6)/($AR$61+1)</f>
        <v>0.32062561094819175</v>
      </c>
      <c r="F78" s="24">
        <f t="shared" si="62"/>
        <v>0.52442795299938161</v>
      </c>
      <c r="G78" s="24">
        <f t="shared" si="62"/>
        <v>0.3534702371697504</v>
      </c>
      <c r="H78" s="24">
        <f t="shared" si="62"/>
        <v>0.69146005509641872</v>
      </c>
      <c r="I78" s="24">
        <f t="shared" si="62"/>
        <v>0.48051817081667808</v>
      </c>
      <c r="J78" s="24">
        <f t="shared" si="62"/>
        <v>0.17625871114243208</v>
      </c>
      <c r="K78" s="24">
        <f t="shared" si="62"/>
        <v>0.74811119650807012</v>
      </c>
      <c r="L78" s="24">
        <f t="shared" si="62"/>
        <v>4.3967285814960233E-2</v>
      </c>
      <c r="M78" s="24">
        <f t="shared" si="62"/>
        <v>0.13313870269515432</v>
      </c>
      <c r="N78" s="24">
        <f t="shared" si="62"/>
        <v>0.29319914874226183</v>
      </c>
      <c r="O78" s="24">
        <f t="shared" si="62"/>
        <v>0.37227099197976271</v>
      </c>
    </row>
    <row r="79" spans="2:15" x14ac:dyDescent="0.3">
      <c r="B79" t="s">
        <v>29</v>
      </c>
      <c r="C79" t="s">
        <v>20</v>
      </c>
      <c r="D79" s="13">
        <f>(SUMPRODUCT(D10:D60,$AS$10:$AS$60)+D10)/($AS$61+1)</f>
        <v>0.38381320676492875</v>
      </c>
      <c r="E79" s="13">
        <f t="shared" ref="E79:O79" si="63">(SUMPRODUCT(E10:E60,$AS$10:$AS$60)+E10)/($AS$61+1)</f>
        <v>0.37419354838709667</v>
      </c>
      <c r="F79" s="13">
        <f t="shared" si="63"/>
        <v>0.53948979591836732</v>
      </c>
      <c r="G79" s="13">
        <f t="shared" si="63"/>
        <v>0.70865675569004094</v>
      </c>
      <c r="H79" s="13">
        <f t="shared" si="63"/>
        <v>0.5</v>
      </c>
      <c r="I79" s="13">
        <f t="shared" si="63"/>
        <v>0.74376764824526009</v>
      </c>
      <c r="J79" s="13">
        <f t="shared" si="63"/>
        <v>0.29793281653746773</v>
      </c>
      <c r="K79" s="13">
        <f t="shared" si="63"/>
        <v>0.28098048598925934</v>
      </c>
      <c r="L79" s="13">
        <f t="shared" si="63"/>
        <v>5.1423330564784056E-2</v>
      </c>
      <c r="M79" s="13">
        <f t="shared" si="63"/>
        <v>0.12105414746543779</v>
      </c>
      <c r="N79" s="13">
        <f t="shared" si="63"/>
        <v>0.54839225723884177</v>
      </c>
      <c r="O79" s="13">
        <f t="shared" si="63"/>
        <v>0.58432146361370874</v>
      </c>
    </row>
    <row r="82" spans="2:15" x14ac:dyDescent="0.3">
      <c r="B82" t="s">
        <v>28</v>
      </c>
      <c r="C82" t="s">
        <v>19</v>
      </c>
      <c r="D82" s="24">
        <f>(SUMPRODUCT(D10:D60,$AX$10:$AX$60))/($AX$61)</f>
        <v>0.40000660092917778</v>
      </c>
      <c r="E82" s="24">
        <f t="shared" ref="E82:O82" si="64">(SUMPRODUCT(E10:E60,$AX$10:$AX$60))/($AX$61)</f>
        <v>0.30943847072879332</v>
      </c>
      <c r="F82" s="24">
        <f t="shared" si="64"/>
        <v>0.53189720332577484</v>
      </c>
      <c r="G82" s="24">
        <f t="shared" si="64"/>
        <v>0.30296208588538542</v>
      </c>
      <c r="H82" s="24">
        <f t="shared" si="64"/>
        <v>0.66666666666666685</v>
      </c>
      <c r="I82" s="24">
        <f t="shared" si="64"/>
        <v>0.41514275469499351</v>
      </c>
      <c r="J82" s="24">
        <f t="shared" si="64"/>
        <v>0.18437171021150348</v>
      </c>
      <c r="K82" s="24">
        <f t="shared" si="64"/>
        <v>0.82228839143817622</v>
      </c>
      <c r="L82" s="24">
        <f t="shared" si="64"/>
        <v>5.2258908576350432E-2</v>
      </c>
      <c r="M82" s="24">
        <f t="shared" si="64"/>
        <v>0.14030231268134491</v>
      </c>
      <c r="N82" s="24">
        <f t="shared" si="64"/>
        <v>0.31299288410150666</v>
      </c>
      <c r="O82" s="24">
        <f t="shared" si="64"/>
        <v>0.38061603938113703</v>
      </c>
    </row>
    <row r="83" spans="2:15" x14ac:dyDescent="0.3">
      <c r="B83" t="s">
        <v>29</v>
      </c>
      <c r="C83" t="s">
        <v>20</v>
      </c>
      <c r="D83" s="13">
        <f>(SUMPRODUCT(D10:D60,$AY$10:$AY$60))/($AY$61)</f>
        <v>0.41106397359345936</v>
      </c>
      <c r="E83" s="13">
        <f t="shared" ref="E83:O83" si="65">(SUMPRODUCT(E10:E60,$AY$10:$AY$60))/($AY$61)</f>
        <v>0.36827956989247318</v>
      </c>
      <c r="F83" s="13">
        <f t="shared" si="65"/>
        <v>0.52780612244897951</v>
      </c>
      <c r="G83" s="13">
        <f t="shared" si="65"/>
        <v>0.70842652282594398</v>
      </c>
      <c r="H83" s="13">
        <f t="shared" si="65"/>
        <v>0.55303030303030309</v>
      </c>
      <c r="I83" s="13">
        <f t="shared" si="65"/>
        <v>0.77658582089552219</v>
      </c>
      <c r="J83" s="13">
        <f t="shared" si="65"/>
        <v>0.26808785529715762</v>
      </c>
      <c r="K83" s="13">
        <f t="shared" si="65"/>
        <v>0.26135215611208601</v>
      </c>
      <c r="L83" s="13">
        <f t="shared" si="65"/>
        <v>4.3630585548172757E-2</v>
      </c>
      <c r="M83" s="13">
        <f t="shared" si="65"/>
        <v>0.12025369623655914</v>
      </c>
      <c r="N83" s="13">
        <f t="shared" si="65"/>
        <v>0.49154801898362938</v>
      </c>
      <c r="O83" s="13">
        <f t="shared" si="65"/>
        <v>0.54169452476259117</v>
      </c>
    </row>
    <row r="86" spans="2:15" x14ac:dyDescent="0.3">
      <c r="B86" t="s">
        <v>28</v>
      </c>
      <c r="C86" t="s">
        <v>19</v>
      </c>
      <c r="D86" s="24">
        <f>(SUMPRODUCT(D10:D60,$BD$10:$BD$60))/($BD$61)</f>
        <v>0.39939666665566959</v>
      </c>
      <c r="E86" s="24">
        <f t="shared" ref="E86:O86" si="66">(SUMPRODUCT(E10:E60,$BD$10:$BD$60))/($BD$61)</f>
        <v>0.31265508684863519</v>
      </c>
      <c r="F86" s="24">
        <f t="shared" si="66"/>
        <v>0.52833594976452125</v>
      </c>
      <c r="G86" s="24">
        <f t="shared" si="66"/>
        <v>0.28905609585783248</v>
      </c>
      <c r="H86" s="24">
        <f t="shared" si="66"/>
        <v>0.66083916083916094</v>
      </c>
      <c r="I86" s="24">
        <f t="shared" si="66"/>
        <v>0.40316737518230056</v>
      </c>
      <c r="J86" s="24">
        <f t="shared" si="66"/>
        <v>0.17501490757304708</v>
      </c>
      <c r="K86" s="24">
        <f t="shared" si="66"/>
        <v>0.83831715686876018</v>
      </c>
      <c r="L86" s="24">
        <f t="shared" si="66"/>
        <v>5.4248166368515198E-2</v>
      </c>
      <c r="M86" s="24">
        <f t="shared" si="66"/>
        <v>0.13171858383551932</v>
      </c>
      <c r="N86" s="24">
        <f t="shared" si="66"/>
        <v>0.31598021239678575</v>
      </c>
      <c r="O86" s="24">
        <f t="shared" si="66"/>
        <v>0.38770654788263997</v>
      </c>
    </row>
    <row r="87" spans="2:15" x14ac:dyDescent="0.3">
      <c r="B87" t="s">
        <v>29</v>
      </c>
      <c r="C87" t="s">
        <v>20</v>
      </c>
      <c r="D87" s="13">
        <f>(SUMPRODUCT(D10:D60,$BE$10:$BE$60))/($BE$61)</f>
        <v>0.41125601033133663</v>
      </c>
      <c r="E87" s="13">
        <f t="shared" ref="E87:O87" si="67">(SUMPRODUCT(E10:E60,$BE$10:$BE$60))/($BE$61)</f>
        <v>0.3625806451612904</v>
      </c>
      <c r="F87" s="13">
        <f t="shared" si="67"/>
        <v>0.53167346938775506</v>
      </c>
      <c r="G87" s="13">
        <f t="shared" si="67"/>
        <v>0.70667017497697671</v>
      </c>
      <c r="H87" s="13">
        <f t="shared" si="67"/>
        <v>0.56363636363636371</v>
      </c>
      <c r="I87" s="13">
        <f t="shared" si="67"/>
        <v>0.77458249294070158</v>
      </c>
      <c r="J87" s="13">
        <f t="shared" si="67"/>
        <v>0.27447028423772607</v>
      </c>
      <c r="K87" s="13">
        <f t="shared" si="67"/>
        <v>0.26711968947732234</v>
      </c>
      <c r="L87" s="13">
        <f t="shared" si="67"/>
        <v>4.1906890365448507E-2</v>
      </c>
      <c r="M87" s="13">
        <f t="shared" si="67"/>
        <v>0.1299827188940092</v>
      </c>
      <c r="N87" s="13">
        <f t="shared" si="67"/>
        <v>0.48129899216125421</v>
      </c>
      <c r="O87" s="13">
        <f t="shared" si="67"/>
        <v>0.52787725650577</v>
      </c>
    </row>
  </sheetData>
  <conditionalFormatting sqref="T10:U61">
    <cfRule type="cellIs" dxfId="15" priority="35" operator="equal">
      <formula>0</formula>
    </cfRule>
    <cfRule type="cellIs" dxfId="14" priority="36" operator="equal">
      <formula>1</formula>
    </cfRule>
  </conditionalFormatting>
  <conditionalFormatting sqref="Z10:AA61">
    <cfRule type="cellIs" dxfId="13" priority="29" operator="equal">
      <formula>0</formula>
    </cfRule>
    <cfRule type="cellIs" dxfId="12" priority="30" operator="equal">
      <formula>1</formula>
    </cfRule>
  </conditionalFormatting>
  <conditionalFormatting sqref="AF10:AG61">
    <cfRule type="cellIs" dxfId="11" priority="25" operator="equal">
      <formula>0</formula>
    </cfRule>
    <cfRule type="cellIs" dxfId="10" priority="26" operator="equal">
      <formula>1</formula>
    </cfRule>
  </conditionalFormatting>
  <conditionalFormatting sqref="AL10:AM61">
    <cfRule type="cellIs" dxfId="9" priority="19" operator="equal">
      <formula>0</formula>
    </cfRule>
    <cfRule type="cellIs" dxfId="8" priority="20" operator="equal">
      <formula>1</formula>
    </cfRule>
  </conditionalFormatting>
  <conditionalFormatting sqref="AR10:AS61">
    <cfRule type="cellIs" dxfId="7" priority="15" operator="equal">
      <formula>0</formula>
    </cfRule>
    <cfRule type="cellIs" dxfId="6" priority="16" operator="equal">
      <formula>1</formula>
    </cfRule>
  </conditionalFormatting>
  <conditionalFormatting sqref="AX10:AY61">
    <cfRule type="cellIs" dxfId="5" priority="7" operator="equal">
      <formula>0</formula>
    </cfRule>
    <cfRule type="cellIs" dxfId="4" priority="8" operator="equal">
      <formula>1</formula>
    </cfRule>
  </conditionalFormatting>
  <conditionalFormatting sqref="BD10:BE61">
    <cfRule type="cellIs" dxfId="3" priority="3" operator="equal">
      <formula>0</formula>
    </cfRule>
    <cfRule type="cellIs" dxfId="2" priority="4" operator="equal">
      <formula>1</formula>
    </cfRule>
  </conditionalFormatting>
  <conditionalFormatting sqref="BJ10:BK61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Clustering</vt:lpstr>
      <vt:lpstr>Medoides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</dc:creator>
  <cp:lastModifiedBy>Ranfery Morales</cp:lastModifiedBy>
  <dcterms:created xsi:type="dcterms:W3CDTF">2026-03-25T23:09:52Z</dcterms:created>
  <dcterms:modified xsi:type="dcterms:W3CDTF">2026-05-24T02:33:12Z</dcterms:modified>
</cp:coreProperties>
</file>
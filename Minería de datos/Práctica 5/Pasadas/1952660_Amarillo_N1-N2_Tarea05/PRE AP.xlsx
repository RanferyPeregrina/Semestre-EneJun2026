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is\OneDrive\Documentos\11vo Semestre Agosto-Diciembre\LAB CIEN III\Práctica 6 archivos\"/>
    </mc:Choice>
  </mc:AlternateContent>
  <xr:revisionPtr revIDLastSave="0" documentId="13_ncr:1_{C649880D-D41E-4100-972A-EB3DF05B0965}" xr6:coauthVersionLast="47" xr6:coauthVersionMax="47" xr10:uidLastSave="{00000000-0000-0000-0000-000000000000}"/>
  <bookViews>
    <workbookView xWindow="-120" yWindow="-120" windowWidth="20730" windowHeight="11160" xr2:uid="{7FF775CB-54DB-4B5A-BC67-504297322B13}"/>
  </bookViews>
  <sheets>
    <sheet name="Sheet1" sheetId="1" r:id="rId1"/>
    <sheet name="Sheet2" sheetId="2" r:id="rId2"/>
  </sheets>
  <definedNames>
    <definedName name="_xlnm._FilterDatabase" localSheetId="0" hidden="1">Sheet1!$A$1:$C$101</definedName>
    <definedName name="_xlnm._FilterDatabase" localSheetId="1" hidden="1">Sheet2!$A$1:$C$101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2" l="1"/>
  <c r="M53" i="2"/>
  <c r="L53" i="2"/>
  <c r="N52" i="2"/>
  <c r="M52" i="2"/>
  <c r="L52" i="2"/>
  <c r="N49" i="2"/>
  <c r="M49" i="2"/>
  <c r="L49" i="2"/>
  <c r="N48" i="2"/>
  <c r="M48" i="2"/>
  <c r="L48" i="2"/>
  <c r="N45" i="2"/>
  <c r="M45" i="2"/>
  <c r="L45" i="2"/>
  <c r="N44" i="2"/>
  <c r="M44" i="2"/>
  <c r="L44" i="2"/>
  <c r="N41" i="2"/>
  <c r="M41" i="2"/>
  <c r="L41" i="2"/>
  <c r="N40" i="2"/>
  <c r="M40" i="2"/>
  <c r="L40" i="2"/>
  <c r="N37" i="2"/>
  <c r="M37" i="2"/>
  <c r="L37" i="2"/>
  <c r="N36" i="2"/>
  <c r="M36" i="2"/>
  <c r="L36" i="2"/>
  <c r="L32" i="2"/>
  <c r="M32" i="2"/>
  <c r="N32" i="2"/>
  <c r="L33" i="2"/>
  <c r="M33" i="2"/>
  <c r="N33" i="2"/>
  <c r="N29" i="2"/>
  <c r="M29" i="2"/>
  <c r="L29" i="2"/>
  <c r="N28" i="2"/>
  <c r="M28" i="2"/>
  <c r="L28" i="2"/>
  <c r="N25" i="2"/>
  <c r="M25" i="2"/>
  <c r="L25" i="2"/>
  <c r="N24" i="2"/>
  <c r="M24" i="2"/>
  <c r="L24" i="2"/>
  <c r="W26" i="2"/>
  <c r="W25" i="2"/>
  <c r="W24" i="2"/>
  <c r="W23" i="2"/>
  <c r="W22" i="2"/>
  <c r="W19" i="2"/>
  <c r="W18" i="2"/>
  <c r="W17" i="2"/>
  <c r="W16" i="2"/>
  <c r="W15" i="2"/>
  <c r="W14" i="2"/>
  <c r="W13" i="2"/>
  <c r="W12" i="2"/>
  <c r="W11" i="2"/>
  <c r="W10" i="2"/>
  <c r="W9" i="2"/>
  <c r="W6" i="2"/>
  <c r="W5" i="2"/>
  <c r="W3" i="2"/>
  <c r="W4" i="2"/>
  <c r="N21" i="2"/>
  <c r="M21" i="2"/>
  <c r="L21" i="2"/>
  <c r="N20" i="2"/>
  <c r="M20" i="2"/>
  <c r="L20" i="2"/>
  <c r="N17" i="2"/>
  <c r="M17" i="2"/>
  <c r="L17" i="2"/>
  <c r="N16" i="2"/>
  <c r="M16" i="2"/>
  <c r="L16" i="2"/>
  <c r="N13" i="2"/>
  <c r="M13" i="2"/>
  <c r="L13" i="2"/>
  <c r="N12" i="2"/>
  <c r="M12" i="2"/>
  <c r="L12" i="2"/>
  <c r="N9" i="2"/>
  <c r="M9" i="2"/>
  <c r="L9" i="2"/>
  <c r="N8" i="2"/>
  <c r="M8" i="2"/>
  <c r="L8" i="2"/>
  <c r="F19" i="1"/>
  <c r="F18" i="1"/>
  <c r="F17" i="1"/>
  <c r="F16" i="1"/>
  <c r="N8" i="1"/>
  <c r="M8" i="1"/>
  <c r="L8" i="1"/>
  <c r="L9" i="1"/>
  <c r="M9" i="1"/>
  <c r="N9" i="1"/>
</calcChain>
</file>

<file path=xl/sharedStrings.xml><?xml version="1.0" encoding="utf-8"?>
<sst xmlns="http://schemas.openxmlformats.org/spreadsheetml/2006/main" count="234" uniqueCount="82">
  <si>
    <t>recamaras</t>
  </si>
  <si>
    <t>baÃ±os</t>
  </si>
  <si>
    <t>pisos</t>
  </si>
  <si>
    <t>X (REC = 2)</t>
  </si>
  <si>
    <t>Y(PIS = 1)</t>
  </si>
  <si>
    <t>N</t>
  </si>
  <si>
    <t>NX</t>
  </si>
  <si>
    <t>NY</t>
  </si>
  <si>
    <t>NX^Y</t>
  </si>
  <si>
    <t>SUP</t>
  </si>
  <si>
    <t>CON</t>
  </si>
  <si>
    <t>LIF</t>
  </si>
  <si>
    <t>X(PIS = 1)</t>
  </si>
  <si>
    <t>Y (REC = 2)</t>
  </si>
  <si>
    <t>REC</t>
  </si>
  <si>
    <t>BAN</t>
  </si>
  <si>
    <t>PIS</t>
  </si>
  <si>
    <t>R1</t>
  </si>
  <si>
    <t>R2</t>
  </si>
  <si>
    <t>R7</t>
  </si>
  <si>
    <t>R44</t>
  </si>
  <si>
    <t>R7 &gt; R44</t>
  </si>
  <si>
    <t xml:space="preserve">REC 2 </t>
  </si>
  <si>
    <t>PIS 1</t>
  </si>
  <si>
    <t>BAÑOS 2.25</t>
  </si>
  <si>
    <t>REC 2</t>
  </si>
  <si>
    <t>PIS1 AND BAÑOS 2.25</t>
  </si>
  <si>
    <t>PISOS 1</t>
  </si>
  <si>
    <t>PISOS 1.5</t>
  </si>
  <si>
    <t>PISOS 2</t>
  </si>
  <si>
    <t>PISOS 2.5</t>
  </si>
  <si>
    <t>PISOS 3</t>
  </si>
  <si>
    <t>Y(PIS = 1.5)</t>
  </si>
  <si>
    <t>Recamara 2</t>
  </si>
  <si>
    <t>Recamara 3</t>
  </si>
  <si>
    <t>Recamara 4</t>
  </si>
  <si>
    <t>Recamara 5</t>
  </si>
  <si>
    <t>R3</t>
  </si>
  <si>
    <t>R4</t>
  </si>
  <si>
    <t>Y(PIS = 2)</t>
  </si>
  <si>
    <t>X(PIS = 2)</t>
  </si>
  <si>
    <t>R5</t>
  </si>
  <si>
    <t>R6</t>
  </si>
  <si>
    <t>Y(PIS = 3)</t>
  </si>
  <si>
    <t>X(PIS = 3)</t>
  </si>
  <si>
    <t>R8</t>
  </si>
  <si>
    <t>X (REC = 3)</t>
  </si>
  <si>
    <t>Y (REC = 3)</t>
  </si>
  <si>
    <t># Recamaras</t>
  </si>
  <si>
    <t>#2</t>
  </si>
  <si>
    <t>#3</t>
  </si>
  <si>
    <t>#4</t>
  </si>
  <si>
    <t>#5</t>
  </si>
  <si>
    <t># baños</t>
  </si>
  <si>
    <t>#1</t>
  </si>
  <si>
    <t>#1.5</t>
  </si>
  <si>
    <t>#2.5</t>
  </si>
  <si>
    <t>#pisos</t>
  </si>
  <si>
    <t>#1.75</t>
  </si>
  <si>
    <t>#2.25</t>
  </si>
  <si>
    <t>#2.75</t>
  </si>
  <si>
    <t>#3.25</t>
  </si>
  <si>
    <t>#3.5</t>
  </si>
  <si>
    <t>R9</t>
  </si>
  <si>
    <t>R10</t>
  </si>
  <si>
    <t>X(PIS = 1.5)</t>
  </si>
  <si>
    <t>R11</t>
  </si>
  <si>
    <t>R12</t>
  </si>
  <si>
    <t>R13</t>
  </si>
  <si>
    <t>R14</t>
  </si>
  <si>
    <t>Y(PIS = 2.5)</t>
  </si>
  <si>
    <t>X(PIS = 2.5)</t>
  </si>
  <si>
    <t>R15</t>
  </si>
  <si>
    <t>R16</t>
  </si>
  <si>
    <t>X (REC = 4)</t>
  </si>
  <si>
    <t>Y (REC = 4)</t>
  </si>
  <si>
    <t>R17</t>
  </si>
  <si>
    <t>R18</t>
  </si>
  <si>
    <t>R19</t>
  </si>
  <si>
    <t>R20</t>
  </si>
  <si>
    <t>X (REC = 5)</t>
  </si>
  <si>
    <t>Y (REC =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</si>
</sst>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9</xdr:col>
      <xdr:colOff>390913</xdr:colOff>
      <xdr:row>2</xdr:row>
      <xdr:rowOff>66737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DEEEB-167E-E4B4-B117-00382210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0"/>
          <a:ext cx="2781688" cy="447737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2</xdr:row>
      <xdr:rowOff>47625</xdr:rowOff>
    </xdr:from>
    <xdr:to>
      <xdr:col>10</xdr:col>
      <xdr:colOff>105186</xdr:colOff>
      <xdr:row>4</xdr:row>
      <xdr:rowOff>152468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BAD72-8FD7-DE34-17E7-6E39C3E38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428625"/>
          <a:ext cx="2943636" cy="485843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16</xdr:col>
      <xdr:colOff>448261</xdr:colOff>
      <xdr:row>3</xdr:row>
      <xdr:rowOff>85817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1BBFE1-2673-D5BB-A3A6-B73F6651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0" y="0"/>
          <a:ext cx="4201111" cy="6573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9</xdr:col>
      <xdr:colOff>390913</xdr:colOff>
      <xdr:row>2</xdr:row>
      <xdr:rowOff>66737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5BE56-D94E-418B-AB88-C2EAEDBC7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5" y="0"/>
          <a:ext cx="2781688" cy="447737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2</xdr:row>
      <xdr:rowOff>47625</xdr:rowOff>
    </xdr:from>
    <xdr:to>
      <xdr:col>10</xdr:col>
      <xdr:colOff>105186</xdr:colOff>
      <xdr:row>4</xdr:row>
      <xdr:rowOff>152468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2C4BFB-115B-4F2C-B12B-7953207D8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4700" y="428625"/>
          <a:ext cx="2943636" cy="485843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0</xdr:rowOff>
    </xdr:from>
    <xdr:to>
      <xdr:col>16</xdr:col>
      <xdr:colOff>448261</xdr:colOff>
      <xdr:row>3</xdr:row>
      <xdr:rowOff>85817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9E9824-EAFF-4BAD-B3D7-344496808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7900" y="0"/>
          <a:ext cx="4201111" cy="657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BB6C-A149-40A8-90E1-02C740453B3A}">
  <dimension ref="A1:N101"/>
  <sheetViews>
    <sheetView tabSelected="1" topLeftCell="A5" workbookViewId="0">
      <selection activeCell="L13" sqref="L13"/>
    </sheetView>
  </sheetViews>
  <sheetFormatPr baseColWidth="10" defaultColWidth="9.140625" defaultRowHeight="15" x14ac:dyDescent="0.25"/>
  <cols>
    <col min="6" max="6" width="10.140625" bestFit="1" customWidth="1"/>
    <col min="7" max="7" width="9" bestFit="1" customWidth="1"/>
  </cols>
  <sheetData>
    <row r="1" spans="1:14" x14ac:dyDescent="0.25">
      <c r="A1" t="s">
        <v>0</v>
      </c>
      <c r="B1" t="s">
        <v>1</v>
      </c>
      <c r="C1" t="s">
        <v>2</v>
      </c>
    </row>
    <row r="2" spans="1:14" x14ac:dyDescent="0.25">
      <c r="A2">
        <v>2</v>
      </c>
      <c r="B2">
        <v>1</v>
      </c>
      <c r="C2">
        <v>1</v>
      </c>
    </row>
    <row r="3" spans="1:14" x14ac:dyDescent="0.25">
      <c r="A3">
        <v>2</v>
      </c>
      <c r="B3">
        <v>2</v>
      </c>
      <c r="C3">
        <v>1</v>
      </c>
    </row>
    <row r="4" spans="1:14" x14ac:dyDescent="0.25">
      <c r="A4">
        <v>2</v>
      </c>
      <c r="B4">
        <v>1</v>
      </c>
      <c r="C4">
        <v>1</v>
      </c>
    </row>
    <row r="5" spans="1:14" x14ac:dyDescent="0.25">
      <c r="A5">
        <v>2</v>
      </c>
      <c r="B5">
        <v>1.5</v>
      </c>
      <c r="C5">
        <v>1</v>
      </c>
    </row>
    <row r="6" spans="1:14" x14ac:dyDescent="0.25">
      <c r="A6">
        <v>2</v>
      </c>
      <c r="B6">
        <v>1</v>
      </c>
      <c r="C6">
        <v>1</v>
      </c>
    </row>
    <row r="7" spans="1:14" x14ac:dyDescent="0.25">
      <c r="A7">
        <v>2</v>
      </c>
      <c r="B7">
        <v>1</v>
      </c>
      <c r="C7">
        <v>1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</row>
    <row r="8" spans="1:14" x14ac:dyDescent="0.25">
      <c r="A8">
        <v>3</v>
      </c>
      <c r="B8">
        <v>1.75</v>
      </c>
      <c r="C8">
        <v>1</v>
      </c>
      <c r="E8" t="s">
        <v>17</v>
      </c>
      <c r="F8" t="s">
        <v>3</v>
      </c>
      <c r="G8" t="s">
        <v>4</v>
      </c>
      <c r="H8">
        <v>100</v>
      </c>
      <c r="I8">
        <v>9</v>
      </c>
      <c r="J8">
        <v>53</v>
      </c>
      <c r="K8">
        <v>6</v>
      </c>
      <c r="L8">
        <f>K8/H8</f>
        <v>0.06</v>
      </c>
      <c r="M8">
        <f>K8/I8</f>
        <v>0.66666666666666663</v>
      </c>
      <c r="N8">
        <f>K8*H8/(I8*J8)</f>
        <v>1.2578616352201257</v>
      </c>
    </row>
    <row r="9" spans="1:14" x14ac:dyDescent="0.25">
      <c r="A9">
        <v>3</v>
      </c>
      <c r="B9">
        <v>2.5</v>
      </c>
      <c r="C9">
        <v>1</v>
      </c>
      <c r="E9" t="s">
        <v>18</v>
      </c>
      <c r="F9" t="s">
        <v>12</v>
      </c>
      <c r="G9" t="s">
        <v>13</v>
      </c>
      <c r="H9">
        <v>100</v>
      </c>
      <c r="I9">
        <v>53</v>
      </c>
      <c r="J9">
        <v>9</v>
      </c>
      <c r="K9">
        <v>6</v>
      </c>
      <c r="L9">
        <f>K9/H9</f>
        <v>0.06</v>
      </c>
      <c r="M9">
        <f>K9/I9</f>
        <v>0.11320754716981132</v>
      </c>
      <c r="N9">
        <f>K9*H9/(I9*J9)</f>
        <v>1.2578616352201257</v>
      </c>
    </row>
    <row r="10" spans="1:14" x14ac:dyDescent="0.25">
      <c r="A10">
        <v>3</v>
      </c>
      <c r="B10">
        <v>1</v>
      </c>
      <c r="C10">
        <v>1</v>
      </c>
    </row>
    <row r="11" spans="1:14" x14ac:dyDescent="0.25">
      <c r="A11">
        <v>3</v>
      </c>
      <c r="B11">
        <v>1</v>
      </c>
      <c r="C11">
        <v>1</v>
      </c>
    </row>
    <row r="12" spans="1:14" x14ac:dyDescent="0.25">
      <c r="A12">
        <v>3</v>
      </c>
      <c r="B12">
        <v>1</v>
      </c>
      <c r="C12">
        <v>1</v>
      </c>
    </row>
    <row r="13" spans="1:14" x14ac:dyDescent="0.25">
      <c r="A13">
        <v>3</v>
      </c>
      <c r="B13">
        <v>2</v>
      </c>
      <c r="C13">
        <v>1</v>
      </c>
      <c r="F13" t="s">
        <v>14</v>
      </c>
      <c r="G13" t="s">
        <v>15</v>
      </c>
      <c r="H13" t="s">
        <v>16</v>
      </c>
      <c r="K13" t="s">
        <v>19</v>
      </c>
      <c r="L13" t="s">
        <v>22</v>
      </c>
      <c r="M13" t="s">
        <v>23</v>
      </c>
    </row>
    <row r="14" spans="1:14" x14ac:dyDescent="0.25">
      <c r="A14">
        <v>3</v>
      </c>
      <c r="B14">
        <v>2.5</v>
      </c>
      <c r="C14">
        <v>1</v>
      </c>
      <c r="F14">
        <v>4</v>
      </c>
      <c r="G14">
        <v>11</v>
      </c>
      <c r="H14">
        <v>5</v>
      </c>
      <c r="K14" t="s">
        <v>20</v>
      </c>
      <c r="L14" t="s">
        <v>22</v>
      </c>
      <c r="M14" t="s">
        <v>24</v>
      </c>
    </row>
    <row r="15" spans="1:14" x14ac:dyDescent="0.25">
      <c r="A15">
        <v>3</v>
      </c>
      <c r="B15">
        <v>1.5</v>
      </c>
      <c r="C15">
        <v>1</v>
      </c>
    </row>
    <row r="16" spans="1:14" x14ac:dyDescent="0.25">
      <c r="A16">
        <v>3</v>
      </c>
      <c r="B16">
        <v>1.75</v>
      </c>
      <c r="C16">
        <v>1</v>
      </c>
      <c r="F16">
        <f>F14*G14*2</f>
        <v>88</v>
      </c>
      <c r="K16" t="s">
        <v>21</v>
      </c>
      <c r="L16" t="s">
        <v>25</v>
      </c>
      <c r="M16" t="s">
        <v>26</v>
      </c>
    </row>
    <row r="17" spans="1:6" x14ac:dyDescent="0.25">
      <c r="A17">
        <v>3</v>
      </c>
      <c r="B17">
        <v>1</v>
      </c>
      <c r="C17">
        <v>1</v>
      </c>
      <c r="F17">
        <f>F14*H14*2</f>
        <v>40</v>
      </c>
    </row>
    <row r="18" spans="1:6" x14ac:dyDescent="0.25">
      <c r="A18">
        <v>3</v>
      </c>
      <c r="B18">
        <v>1</v>
      </c>
      <c r="C18">
        <v>1</v>
      </c>
      <c r="F18">
        <f>G14*H14*2</f>
        <v>110</v>
      </c>
    </row>
    <row r="19" spans="1:6" x14ac:dyDescent="0.25">
      <c r="A19">
        <v>3</v>
      </c>
      <c r="B19">
        <v>2</v>
      </c>
      <c r="C19">
        <v>1</v>
      </c>
      <c r="F19">
        <f>SUM(F16:F18)</f>
        <v>238</v>
      </c>
    </row>
    <row r="20" spans="1:6" x14ac:dyDescent="0.25">
      <c r="A20">
        <v>3</v>
      </c>
      <c r="B20">
        <v>2.5</v>
      </c>
      <c r="C20">
        <v>1</v>
      </c>
    </row>
    <row r="21" spans="1:6" x14ac:dyDescent="0.25">
      <c r="A21">
        <v>3</v>
      </c>
      <c r="B21">
        <v>1.75</v>
      </c>
      <c r="C21">
        <v>1</v>
      </c>
    </row>
    <row r="22" spans="1:6" x14ac:dyDescent="0.25">
      <c r="A22">
        <v>3</v>
      </c>
      <c r="B22">
        <v>2.25</v>
      </c>
      <c r="C22">
        <v>1</v>
      </c>
    </row>
    <row r="23" spans="1:6" x14ac:dyDescent="0.25">
      <c r="A23">
        <v>3</v>
      </c>
      <c r="B23">
        <v>2.25</v>
      </c>
      <c r="C23">
        <v>1</v>
      </c>
    </row>
    <row r="24" spans="1:6" x14ac:dyDescent="0.25">
      <c r="A24">
        <v>3</v>
      </c>
      <c r="B24">
        <v>1.75</v>
      </c>
      <c r="C24">
        <v>1</v>
      </c>
    </row>
    <row r="25" spans="1:6" x14ac:dyDescent="0.25">
      <c r="A25">
        <v>3</v>
      </c>
      <c r="B25">
        <v>2</v>
      </c>
      <c r="C25">
        <v>1</v>
      </c>
    </row>
    <row r="26" spans="1:6" x14ac:dyDescent="0.25">
      <c r="A26">
        <v>3</v>
      </c>
      <c r="B26">
        <v>1</v>
      </c>
      <c r="C26">
        <v>1</v>
      </c>
    </row>
    <row r="27" spans="1:6" x14ac:dyDescent="0.25">
      <c r="A27">
        <v>3</v>
      </c>
      <c r="B27">
        <v>1.5</v>
      </c>
      <c r="C27">
        <v>1</v>
      </c>
    </row>
    <row r="28" spans="1:6" x14ac:dyDescent="0.25">
      <c r="A28">
        <v>3</v>
      </c>
      <c r="B28">
        <v>2.5</v>
      </c>
      <c r="C28">
        <v>1</v>
      </c>
    </row>
    <row r="29" spans="1:6" x14ac:dyDescent="0.25">
      <c r="A29">
        <v>3</v>
      </c>
      <c r="B29">
        <v>1.5</v>
      </c>
      <c r="C29">
        <v>1</v>
      </c>
    </row>
    <row r="30" spans="1:6" x14ac:dyDescent="0.25">
      <c r="A30">
        <v>3</v>
      </c>
      <c r="B30">
        <v>2.75</v>
      </c>
      <c r="C30">
        <v>1</v>
      </c>
    </row>
    <row r="31" spans="1:6" x14ac:dyDescent="0.25">
      <c r="A31">
        <v>3</v>
      </c>
      <c r="B31">
        <v>2</v>
      </c>
      <c r="C31">
        <v>1</v>
      </c>
    </row>
    <row r="32" spans="1:6" x14ac:dyDescent="0.25">
      <c r="A32">
        <v>3</v>
      </c>
      <c r="B32">
        <v>2.5</v>
      </c>
      <c r="C32">
        <v>1</v>
      </c>
    </row>
    <row r="33" spans="1:3" x14ac:dyDescent="0.25">
      <c r="A33">
        <v>3</v>
      </c>
      <c r="B33">
        <v>1</v>
      </c>
      <c r="C33">
        <v>1</v>
      </c>
    </row>
    <row r="34" spans="1:3" x14ac:dyDescent="0.25">
      <c r="A34">
        <v>3</v>
      </c>
      <c r="B34">
        <v>1</v>
      </c>
      <c r="C34">
        <v>1</v>
      </c>
    </row>
    <row r="35" spans="1:3" x14ac:dyDescent="0.25">
      <c r="A35">
        <v>3</v>
      </c>
      <c r="B35">
        <v>1.75</v>
      </c>
      <c r="C35">
        <v>1</v>
      </c>
    </row>
    <row r="36" spans="1:3" x14ac:dyDescent="0.25">
      <c r="A36">
        <v>3</v>
      </c>
      <c r="B36">
        <v>1.75</v>
      </c>
      <c r="C36">
        <v>1</v>
      </c>
    </row>
    <row r="37" spans="1:3" x14ac:dyDescent="0.25">
      <c r="A37">
        <v>3</v>
      </c>
      <c r="B37">
        <v>1</v>
      </c>
      <c r="C37">
        <v>1</v>
      </c>
    </row>
    <row r="38" spans="1:3" x14ac:dyDescent="0.25">
      <c r="A38">
        <v>4</v>
      </c>
      <c r="B38">
        <v>2.5</v>
      </c>
      <c r="C38">
        <v>1</v>
      </c>
    </row>
    <row r="39" spans="1:3" x14ac:dyDescent="0.25">
      <c r="A39">
        <v>4</v>
      </c>
      <c r="B39">
        <v>2.5</v>
      </c>
      <c r="C39">
        <v>1</v>
      </c>
    </row>
    <row r="40" spans="1:3" x14ac:dyDescent="0.25">
      <c r="A40">
        <v>4</v>
      </c>
      <c r="B40">
        <v>1.75</v>
      </c>
      <c r="C40">
        <v>1</v>
      </c>
    </row>
    <row r="41" spans="1:3" x14ac:dyDescent="0.25">
      <c r="A41">
        <v>4</v>
      </c>
      <c r="B41">
        <v>2.25</v>
      </c>
      <c r="C41">
        <v>1</v>
      </c>
    </row>
    <row r="42" spans="1:3" x14ac:dyDescent="0.25">
      <c r="A42">
        <v>4</v>
      </c>
      <c r="B42">
        <v>2</v>
      </c>
      <c r="C42">
        <v>1</v>
      </c>
    </row>
    <row r="43" spans="1:3" x14ac:dyDescent="0.25">
      <c r="A43">
        <v>4</v>
      </c>
      <c r="B43">
        <v>2.75</v>
      </c>
      <c r="C43">
        <v>1</v>
      </c>
    </row>
    <row r="44" spans="1:3" x14ac:dyDescent="0.25">
      <c r="A44">
        <v>4</v>
      </c>
      <c r="B44">
        <v>1.75</v>
      </c>
      <c r="C44">
        <v>1</v>
      </c>
    </row>
    <row r="45" spans="1:3" x14ac:dyDescent="0.25">
      <c r="A45">
        <v>4</v>
      </c>
      <c r="B45">
        <v>1</v>
      </c>
      <c r="C45">
        <v>1</v>
      </c>
    </row>
    <row r="46" spans="1:3" x14ac:dyDescent="0.25">
      <c r="A46">
        <v>4</v>
      </c>
      <c r="B46">
        <v>2.25</v>
      </c>
      <c r="C46">
        <v>1</v>
      </c>
    </row>
    <row r="47" spans="1:3" x14ac:dyDescent="0.25">
      <c r="A47">
        <v>4</v>
      </c>
      <c r="B47">
        <v>1.75</v>
      </c>
      <c r="C47">
        <v>1</v>
      </c>
    </row>
    <row r="48" spans="1:3" x14ac:dyDescent="0.25">
      <c r="A48">
        <v>4</v>
      </c>
      <c r="B48">
        <v>2.75</v>
      </c>
      <c r="C48">
        <v>1</v>
      </c>
    </row>
    <row r="49" spans="1:3" x14ac:dyDescent="0.25">
      <c r="A49">
        <v>4</v>
      </c>
      <c r="B49">
        <v>1.75</v>
      </c>
      <c r="C49">
        <v>1</v>
      </c>
    </row>
    <row r="50" spans="1:3" x14ac:dyDescent="0.25">
      <c r="A50">
        <v>4</v>
      </c>
      <c r="B50">
        <v>1.75</v>
      </c>
      <c r="C50">
        <v>1</v>
      </c>
    </row>
    <row r="51" spans="1:3" x14ac:dyDescent="0.25">
      <c r="A51">
        <v>4</v>
      </c>
      <c r="B51">
        <v>1.75</v>
      </c>
      <c r="C51">
        <v>1</v>
      </c>
    </row>
    <row r="52" spans="1:3" x14ac:dyDescent="0.25">
      <c r="A52">
        <v>4</v>
      </c>
      <c r="B52">
        <v>1.75</v>
      </c>
      <c r="C52">
        <v>1</v>
      </c>
    </row>
    <row r="53" spans="1:3" x14ac:dyDescent="0.25">
      <c r="A53">
        <v>4</v>
      </c>
      <c r="B53">
        <v>2</v>
      </c>
      <c r="C53">
        <v>1</v>
      </c>
    </row>
    <row r="54" spans="1:3" x14ac:dyDescent="0.25">
      <c r="A54">
        <v>5</v>
      </c>
      <c r="B54">
        <v>3</v>
      </c>
      <c r="C54">
        <v>1</v>
      </c>
    </row>
    <row r="55" spans="1:3" x14ac:dyDescent="0.25">
      <c r="A55">
        <v>3</v>
      </c>
      <c r="B55">
        <v>1</v>
      </c>
      <c r="C55">
        <v>1.5</v>
      </c>
    </row>
    <row r="56" spans="1:3" x14ac:dyDescent="0.25">
      <c r="A56">
        <v>3</v>
      </c>
      <c r="B56">
        <v>2</v>
      </c>
      <c r="C56">
        <v>1.5</v>
      </c>
    </row>
    <row r="57" spans="1:3" x14ac:dyDescent="0.25">
      <c r="A57">
        <v>3</v>
      </c>
      <c r="B57">
        <v>1.75</v>
      </c>
      <c r="C57">
        <v>1.5</v>
      </c>
    </row>
    <row r="58" spans="1:3" x14ac:dyDescent="0.25">
      <c r="A58">
        <v>4</v>
      </c>
      <c r="B58">
        <v>1.75</v>
      </c>
      <c r="C58">
        <v>1.5</v>
      </c>
    </row>
    <row r="59" spans="1:3" x14ac:dyDescent="0.25">
      <c r="A59">
        <v>4</v>
      </c>
      <c r="B59">
        <v>1</v>
      </c>
      <c r="C59">
        <v>1.5</v>
      </c>
    </row>
    <row r="60" spans="1:3" x14ac:dyDescent="0.25">
      <c r="A60">
        <v>4</v>
      </c>
      <c r="B60">
        <v>3</v>
      </c>
      <c r="C60">
        <v>1.5</v>
      </c>
    </row>
    <row r="61" spans="1:3" x14ac:dyDescent="0.25">
      <c r="A61">
        <v>4</v>
      </c>
      <c r="B61">
        <v>3.25</v>
      </c>
      <c r="C61">
        <v>1.5</v>
      </c>
    </row>
    <row r="62" spans="1:3" x14ac:dyDescent="0.25">
      <c r="A62">
        <v>2</v>
      </c>
      <c r="B62">
        <v>2.25</v>
      </c>
      <c r="C62">
        <v>2</v>
      </c>
    </row>
    <row r="63" spans="1:3" x14ac:dyDescent="0.25">
      <c r="A63">
        <v>2</v>
      </c>
      <c r="B63">
        <v>2</v>
      </c>
      <c r="C63">
        <v>2</v>
      </c>
    </row>
    <row r="64" spans="1:3" x14ac:dyDescent="0.25">
      <c r="A64">
        <v>3</v>
      </c>
      <c r="B64">
        <v>2.5</v>
      </c>
      <c r="C64">
        <v>2</v>
      </c>
    </row>
    <row r="65" spans="1:3" x14ac:dyDescent="0.25">
      <c r="A65">
        <v>3</v>
      </c>
      <c r="B65">
        <v>2.25</v>
      </c>
      <c r="C65">
        <v>2</v>
      </c>
    </row>
    <row r="66" spans="1:3" x14ac:dyDescent="0.25">
      <c r="A66">
        <v>3</v>
      </c>
      <c r="B66">
        <v>2.25</v>
      </c>
      <c r="C66">
        <v>2</v>
      </c>
    </row>
    <row r="67" spans="1:3" x14ac:dyDescent="0.25">
      <c r="A67">
        <v>3</v>
      </c>
      <c r="B67">
        <v>2.5</v>
      </c>
      <c r="C67">
        <v>2</v>
      </c>
    </row>
    <row r="68" spans="1:3" x14ac:dyDescent="0.25">
      <c r="A68">
        <v>3</v>
      </c>
      <c r="B68">
        <v>2.5</v>
      </c>
      <c r="C68">
        <v>2</v>
      </c>
    </row>
    <row r="69" spans="1:3" x14ac:dyDescent="0.25">
      <c r="A69">
        <v>3</v>
      </c>
      <c r="B69">
        <v>2.5</v>
      </c>
      <c r="C69">
        <v>2</v>
      </c>
    </row>
    <row r="70" spans="1:3" x14ac:dyDescent="0.25">
      <c r="A70">
        <v>3</v>
      </c>
      <c r="B70">
        <v>2.5</v>
      </c>
      <c r="C70">
        <v>2</v>
      </c>
    </row>
    <row r="71" spans="1:3" x14ac:dyDescent="0.25">
      <c r="A71">
        <v>3</v>
      </c>
      <c r="B71">
        <v>2.75</v>
      </c>
      <c r="C71">
        <v>2</v>
      </c>
    </row>
    <row r="72" spans="1:3" x14ac:dyDescent="0.25">
      <c r="A72">
        <v>3</v>
      </c>
      <c r="B72">
        <v>2.5</v>
      </c>
      <c r="C72">
        <v>2</v>
      </c>
    </row>
    <row r="73" spans="1:3" x14ac:dyDescent="0.25">
      <c r="A73">
        <v>3</v>
      </c>
      <c r="B73">
        <v>3.25</v>
      </c>
      <c r="C73">
        <v>2</v>
      </c>
    </row>
    <row r="74" spans="1:3" x14ac:dyDescent="0.25">
      <c r="A74">
        <v>3</v>
      </c>
      <c r="B74">
        <v>2</v>
      </c>
      <c r="C74">
        <v>2</v>
      </c>
    </row>
    <row r="75" spans="1:3" x14ac:dyDescent="0.25">
      <c r="A75">
        <v>3</v>
      </c>
      <c r="B75">
        <v>2.5</v>
      </c>
      <c r="C75">
        <v>2</v>
      </c>
    </row>
    <row r="76" spans="1:3" x14ac:dyDescent="0.25">
      <c r="A76">
        <v>3</v>
      </c>
      <c r="B76">
        <v>2.5</v>
      </c>
      <c r="C76">
        <v>2</v>
      </c>
    </row>
    <row r="77" spans="1:3" x14ac:dyDescent="0.25">
      <c r="A77">
        <v>3</v>
      </c>
      <c r="B77">
        <v>2.5</v>
      </c>
      <c r="C77">
        <v>2</v>
      </c>
    </row>
    <row r="78" spans="1:3" x14ac:dyDescent="0.25">
      <c r="A78">
        <v>3</v>
      </c>
      <c r="B78">
        <v>2.5</v>
      </c>
      <c r="C78">
        <v>2</v>
      </c>
    </row>
    <row r="79" spans="1:3" x14ac:dyDescent="0.25">
      <c r="A79">
        <v>4</v>
      </c>
      <c r="B79">
        <v>2.5</v>
      </c>
      <c r="C79">
        <v>2</v>
      </c>
    </row>
    <row r="80" spans="1:3" x14ac:dyDescent="0.25">
      <c r="A80">
        <v>4</v>
      </c>
      <c r="B80">
        <v>3.25</v>
      </c>
      <c r="C80">
        <v>2</v>
      </c>
    </row>
    <row r="81" spans="1:3" x14ac:dyDescent="0.25">
      <c r="A81">
        <v>4</v>
      </c>
      <c r="B81">
        <v>3.5</v>
      </c>
      <c r="C81">
        <v>2</v>
      </c>
    </row>
    <row r="82" spans="1:3" x14ac:dyDescent="0.25">
      <c r="A82">
        <v>4</v>
      </c>
      <c r="B82">
        <v>2.25</v>
      </c>
      <c r="C82">
        <v>2</v>
      </c>
    </row>
    <row r="83" spans="1:3" x14ac:dyDescent="0.25">
      <c r="A83">
        <v>4</v>
      </c>
      <c r="B83">
        <v>3.5</v>
      </c>
      <c r="C83">
        <v>2</v>
      </c>
    </row>
    <row r="84" spans="1:3" x14ac:dyDescent="0.25">
      <c r="A84">
        <v>4</v>
      </c>
      <c r="B84">
        <v>2.5</v>
      </c>
      <c r="C84">
        <v>2</v>
      </c>
    </row>
    <row r="85" spans="1:3" x14ac:dyDescent="0.25">
      <c r="A85">
        <v>4</v>
      </c>
      <c r="B85">
        <v>3.5</v>
      </c>
      <c r="C85">
        <v>2</v>
      </c>
    </row>
    <row r="86" spans="1:3" x14ac:dyDescent="0.25">
      <c r="A86">
        <v>4</v>
      </c>
      <c r="B86">
        <v>2.75</v>
      </c>
      <c r="C86">
        <v>2</v>
      </c>
    </row>
    <row r="87" spans="1:3" x14ac:dyDescent="0.25">
      <c r="A87">
        <v>4</v>
      </c>
      <c r="B87">
        <v>2.5</v>
      </c>
      <c r="C87">
        <v>2</v>
      </c>
    </row>
    <row r="88" spans="1:3" x14ac:dyDescent="0.25">
      <c r="A88">
        <v>4</v>
      </c>
      <c r="B88">
        <v>2.5</v>
      </c>
      <c r="C88">
        <v>2</v>
      </c>
    </row>
    <row r="89" spans="1:3" x14ac:dyDescent="0.25">
      <c r="A89">
        <v>4</v>
      </c>
      <c r="B89">
        <v>4</v>
      </c>
      <c r="C89">
        <v>2</v>
      </c>
    </row>
    <row r="90" spans="1:3" x14ac:dyDescent="0.25">
      <c r="A90">
        <v>4</v>
      </c>
      <c r="B90">
        <v>2.25</v>
      </c>
      <c r="C90">
        <v>2</v>
      </c>
    </row>
    <row r="91" spans="1:3" x14ac:dyDescent="0.25">
      <c r="A91">
        <v>4</v>
      </c>
      <c r="B91">
        <v>3.25</v>
      </c>
      <c r="C91">
        <v>2</v>
      </c>
    </row>
    <row r="92" spans="1:3" x14ac:dyDescent="0.25">
      <c r="A92">
        <v>4</v>
      </c>
      <c r="B92">
        <v>2.5</v>
      </c>
      <c r="C92">
        <v>2</v>
      </c>
    </row>
    <row r="93" spans="1:3" x14ac:dyDescent="0.25">
      <c r="A93">
        <v>4</v>
      </c>
      <c r="B93">
        <v>2.5</v>
      </c>
      <c r="C93">
        <v>2</v>
      </c>
    </row>
    <row r="94" spans="1:3" x14ac:dyDescent="0.25">
      <c r="A94">
        <v>4</v>
      </c>
      <c r="B94">
        <v>3.5</v>
      </c>
      <c r="C94">
        <v>2</v>
      </c>
    </row>
    <row r="95" spans="1:3" x14ac:dyDescent="0.25">
      <c r="A95">
        <v>5</v>
      </c>
      <c r="B95">
        <v>2.75</v>
      </c>
      <c r="C95">
        <v>2</v>
      </c>
    </row>
    <row r="96" spans="1:3" x14ac:dyDescent="0.25">
      <c r="A96">
        <v>5</v>
      </c>
      <c r="B96">
        <v>3.25</v>
      </c>
      <c r="C96">
        <v>2</v>
      </c>
    </row>
    <row r="97" spans="1:3" x14ac:dyDescent="0.25">
      <c r="A97">
        <v>5</v>
      </c>
      <c r="B97">
        <v>3</v>
      </c>
      <c r="C97">
        <v>2</v>
      </c>
    </row>
    <row r="98" spans="1:3" x14ac:dyDescent="0.25">
      <c r="A98">
        <v>5</v>
      </c>
      <c r="B98">
        <v>2.75</v>
      </c>
      <c r="C98">
        <v>2</v>
      </c>
    </row>
    <row r="99" spans="1:3" x14ac:dyDescent="0.25">
      <c r="A99">
        <v>5</v>
      </c>
      <c r="B99">
        <v>3.25</v>
      </c>
      <c r="C99">
        <v>2</v>
      </c>
    </row>
    <row r="100" spans="1:3" x14ac:dyDescent="0.25">
      <c r="A100">
        <v>3</v>
      </c>
      <c r="B100">
        <v>2</v>
      </c>
      <c r="C100">
        <v>2.5</v>
      </c>
    </row>
    <row r="101" spans="1:3" x14ac:dyDescent="0.25">
      <c r="A101">
        <v>2</v>
      </c>
      <c r="B101">
        <v>2.25</v>
      </c>
      <c r="C101">
        <v>3</v>
      </c>
    </row>
  </sheetData>
  <autoFilter ref="A1:C101" xr:uid="{4E7BBB6C-A149-40A8-90E1-02C740453B3A}"/>
  <sortState xmlns:xlrd2="http://schemas.microsoft.com/office/spreadsheetml/2017/richdata2" ref="A2:C101">
    <sortCondition ref="C2:C1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7024-A8CD-4426-AD51-7A61E985DDB2}">
  <dimension ref="A1:W101"/>
  <sheetViews>
    <sheetView zoomScale="77" workbookViewId="0">
      <selection activeCell="K54" sqref="K54"/>
    </sheetView>
  </sheetViews>
  <sheetFormatPr baseColWidth="10" defaultColWidth="9.140625" defaultRowHeight="15" x14ac:dyDescent="0.25"/>
  <cols>
    <col min="6" max="6" width="10.140625" bestFit="1" customWidth="1"/>
    <col min="7" max="7" width="9" bestFit="1" customWidth="1"/>
    <col min="18" max="18" width="12.85546875" customWidth="1"/>
    <col min="22" max="22" width="11.7109375" bestFit="1" customWidth="1"/>
  </cols>
  <sheetData>
    <row r="1" spans="1:23" x14ac:dyDescent="0.25">
      <c r="A1" t="s">
        <v>0</v>
      </c>
      <c r="B1" t="s">
        <v>1</v>
      </c>
      <c r="C1" t="s">
        <v>2</v>
      </c>
    </row>
    <row r="2" spans="1:23" x14ac:dyDescent="0.25">
      <c r="A2">
        <v>2</v>
      </c>
      <c r="B2">
        <v>1</v>
      </c>
      <c r="C2">
        <v>1</v>
      </c>
      <c r="R2" s="1" t="s">
        <v>33</v>
      </c>
      <c r="S2" s="1" t="s">
        <v>27</v>
      </c>
      <c r="V2" t="s">
        <v>48</v>
      </c>
    </row>
    <row r="3" spans="1:23" x14ac:dyDescent="0.25">
      <c r="A3">
        <v>2</v>
      </c>
      <c r="B3">
        <v>1</v>
      </c>
      <c r="C3">
        <v>1</v>
      </c>
      <c r="R3" s="1" t="s">
        <v>33</v>
      </c>
      <c r="S3" s="1" t="s">
        <v>29</v>
      </c>
      <c r="V3" t="s">
        <v>49</v>
      </c>
      <c r="W3">
        <f>COUNTIF($A$2:$A$101, 2)</f>
        <v>9</v>
      </c>
    </row>
    <row r="4" spans="1:23" x14ac:dyDescent="0.25">
      <c r="A4">
        <v>2</v>
      </c>
      <c r="B4">
        <v>1</v>
      </c>
      <c r="C4">
        <v>1</v>
      </c>
      <c r="R4" s="1" t="s">
        <v>33</v>
      </c>
      <c r="S4" s="1" t="s">
        <v>31</v>
      </c>
      <c r="V4" t="s">
        <v>50</v>
      </c>
      <c r="W4">
        <f>COUNTIF($A$2:$A$101, 3)</f>
        <v>49</v>
      </c>
    </row>
    <row r="5" spans="1:23" x14ac:dyDescent="0.25">
      <c r="A5">
        <v>2</v>
      </c>
      <c r="B5">
        <v>1</v>
      </c>
      <c r="C5">
        <v>1</v>
      </c>
      <c r="R5" s="2" t="s">
        <v>34</v>
      </c>
      <c r="S5" s="2" t="s">
        <v>27</v>
      </c>
      <c r="V5" t="s">
        <v>51</v>
      </c>
      <c r="W5">
        <f>COUNTIF($A$2:$A$101, 4)</f>
        <v>36</v>
      </c>
    </row>
    <row r="6" spans="1:23" x14ac:dyDescent="0.25">
      <c r="A6">
        <v>2</v>
      </c>
      <c r="B6">
        <v>1.5</v>
      </c>
      <c r="C6">
        <v>1</v>
      </c>
      <c r="R6" s="2" t="s">
        <v>34</v>
      </c>
      <c r="S6" s="2" t="s">
        <v>28</v>
      </c>
      <c r="V6" t="s">
        <v>52</v>
      </c>
      <c r="W6">
        <f>COUNTIF($A$2:$A$101, 5)</f>
        <v>6</v>
      </c>
    </row>
    <row r="7" spans="1:23" x14ac:dyDescent="0.25">
      <c r="A7">
        <v>2</v>
      </c>
      <c r="B7">
        <v>2</v>
      </c>
      <c r="C7">
        <v>1</v>
      </c>
      <c r="E7" s="1"/>
      <c r="F7" s="1"/>
      <c r="G7" s="1"/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R7" s="2" t="s">
        <v>34</v>
      </c>
      <c r="S7" s="2" t="s">
        <v>29</v>
      </c>
    </row>
    <row r="8" spans="1:23" x14ac:dyDescent="0.25">
      <c r="A8">
        <v>3</v>
      </c>
      <c r="B8">
        <v>1</v>
      </c>
      <c r="C8">
        <v>1</v>
      </c>
      <c r="E8" s="1" t="s">
        <v>17</v>
      </c>
      <c r="F8" s="1" t="s">
        <v>3</v>
      </c>
      <c r="G8" s="1" t="s">
        <v>4</v>
      </c>
      <c r="H8" s="1">
        <v>100</v>
      </c>
      <c r="I8" s="1">
        <v>9</v>
      </c>
      <c r="J8" s="1">
        <v>53</v>
      </c>
      <c r="K8" s="1">
        <v>6</v>
      </c>
      <c r="L8" s="1">
        <f>K8/H8</f>
        <v>0.06</v>
      </c>
      <c r="M8" s="1">
        <f>K8/I8</f>
        <v>0.66666666666666663</v>
      </c>
      <c r="N8" s="1">
        <f>K8*H8/(I8*J8)</f>
        <v>1.2578616352201257</v>
      </c>
      <c r="R8" s="2" t="s">
        <v>34</v>
      </c>
      <c r="S8" s="2" t="s">
        <v>30</v>
      </c>
      <c r="V8" t="s">
        <v>53</v>
      </c>
    </row>
    <row r="9" spans="1:23" x14ac:dyDescent="0.25">
      <c r="A9">
        <v>3</v>
      </c>
      <c r="B9">
        <v>1</v>
      </c>
      <c r="C9">
        <v>1</v>
      </c>
      <c r="E9" s="1" t="s">
        <v>18</v>
      </c>
      <c r="F9" s="1" t="s">
        <v>12</v>
      </c>
      <c r="G9" s="1" t="s">
        <v>13</v>
      </c>
      <c r="H9" s="1">
        <v>100</v>
      </c>
      <c r="I9" s="1">
        <v>53</v>
      </c>
      <c r="J9" s="1">
        <v>9</v>
      </c>
      <c r="K9" s="1">
        <v>6</v>
      </c>
      <c r="L9" s="1">
        <f>K9/H9</f>
        <v>0.06</v>
      </c>
      <c r="M9" s="1">
        <f>K9/I9</f>
        <v>0.11320754716981132</v>
      </c>
      <c r="N9" s="1">
        <f>K9*H9/(I9*J9)</f>
        <v>1.2578616352201257</v>
      </c>
      <c r="R9" s="3" t="s">
        <v>35</v>
      </c>
      <c r="S9" s="3" t="s">
        <v>27</v>
      </c>
      <c r="V9" t="s">
        <v>54</v>
      </c>
      <c r="W9">
        <f>COUNTIF($B$2:$B$101, 1)</f>
        <v>16</v>
      </c>
    </row>
    <row r="10" spans="1:23" x14ac:dyDescent="0.25">
      <c r="A10">
        <v>3</v>
      </c>
      <c r="B10">
        <v>1</v>
      </c>
      <c r="C10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R10" s="3" t="s">
        <v>35</v>
      </c>
      <c r="S10" s="3" t="s">
        <v>28</v>
      </c>
      <c r="V10" t="s">
        <v>55</v>
      </c>
      <c r="W10">
        <f>COUNTIF($B$2:$B$101, 1.5)</f>
        <v>4</v>
      </c>
    </row>
    <row r="11" spans="1:23" x14ac:dyDescent="0.25">
      <c r="A11">
        <v>3</v>
      </c>
      <c r="B11">
        <v>1</v>
      </c>
      <c r="C11">
        <v>1</v>
      </c>
      <c r="E11" s="1"/>
      <c r="F11" s="1"/>
      <c r="G11" s="1"/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R11" s="3" t="s">
        <v>35</v>
      </c>
      <c r="S11" s="3" t="s">
        <v>29</v>
      </c>
      <c r="V11" t="s">
        <v>58</v>
      </c>
      <c r="W11">
        <f>COUNTIF($B$2:$B$101, 1.75)</f>
        <v>15</v>
      </c>
    </row>
    <row r="12" spans="1:23" x14ac:dyDescent="0.25">
      <c r="A12">
        <v>3</v>
      </c>
      <c r="B12">
        <v>1</v>
      </c>
      <c r="C12">
        <v>1</v>
      </c>
      <c r="E12" s="1" t="s">
        <v>37</v>
      </c>
      <c r="F12" s="1" t="s">
        <v>3</v>
      </c>
      <c r="G12" s="1" t="s">
        <v>39</v>
      </c>
      <c r="H12" s="1">
        <v>100</v>
      </c>
      <c r="I12" s="1">
        <v>9</v>
      </c>
      <c r="J12" s="1">
        <v>38</v>
      </c>
      <c r="K12" s="1">
        <v>2</v>
      </c>
      <c r="L12" s="1">
        <f>K12/H12</f>
        <v>0.02</v>
      </c>
      <c r="M12" s="1">
        <f>K12/I12</f>
        <v>0.22222222222222221</v>
      </c>
      <c r="N12" s="1">
        <f>K12*H12/(I12*J12)</f>
        <v>0.58479532163742687</v>
      </c>
      <c r="R12" s="4" t="s">
        <v>36</v>
      </c>
      <c r="S12" s="4" t="s">
        <v>27</v>
      </c>
      <c r="V12" t="s">
        <v>49</v>
      </c>
      <c r="W12">
        <f>COUNTIF($B$2:$B$101, 2)</f>
        <v>11</v>
      </c>
    </row>
    <row r="13" spans="1:23" x14ac:dyDescent="0.25">
      <c r="A13">
        <v>3</v>
      </c>
      <c r="B13">
        <v>1</v>
      </c>
      <c r="C13">
        <v>1</v>
      </c>
      <c r="E13" s="1" t="s">
        <v>38</v>
      </c>
      <c r="F13" s="1" t="s">
        <v>40</v>
      </c>
      <c r="G13" s="1" t="s">
        <v>13</v>
      </c>
      <c r="H13" s="1">
        <v>100</v>
      </c>
      <c r="I13" s="1">
        <v>38</v>
      </c>
      <c r="J13" s="1">
        <v>9</v>
      </c>
      <c r="K13" s="1">
        <v>2</v>
      </c>
      <c r="L13" s="1">
        <f>K13/H13</f>
        <v>0.02</v>
      </c>
      <c r="M13" s="1">
        <f>K13/I13</f>
        <v>5.2631578947368418E-2</v>
      </c>
      <c r="N13" s="1">
        <f>K13*H13/(I13*J13)</f>
        <v>0.58479532163742687</v>
      </c>
      <c r="R13" s="4" t="s">
        <v>36</v>
      </c>
      <c r="S13" s="4" t="s">
        <v>29</v>
      </c>
      <c r="V13" t="s">
        <v>59</v>
      </c>
      <c r="W13">
        <f>COUNTIF($B$2:$B$101, 2.25)</f>
        <v>10</v>
      </c>
    </row>
    <row r="14" spans="1:23" x14ac:dyDescent="0.25">
      <c r="A14">
        <v>3</v>
      </c>
      <c r="B14">
        <v>1</v>
      </c>
      <c r="C14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V14" t="s">
        <v>56</v>
      </c>
      <c r="W14">
        <f>COUNTIF($B$2:$B$101, 2.5)</f>
        <v>23</v>
      </c>
    </row>
    <row r="15" spans="1:23" x14ac:dyDescent="0.25">
      <c r="A15">
        <v>3</v>
      </c>
      <c r="B15">
        <v>1</v>
      </c>
      <c r="C15">
        <v>1</v>
      </c>
      <c r="E15" s="1"/>
      <c r="F15" s="1"/>
      <c r="G15" s="1"/>
      <c r="H15" s="1" t="s">
        <v>5</v>
      </c>
      <c r="I15" s="1" t="s">
        <v>6</v>
      </c>
      <c r="J15" s="1" t="s">
        <v>7</v>
      </c>
      <c r="K15" s="1" t="s">
        <v>8</v>
      </c>
      <c r="L15" s="1" t="s">
        <v>9</v>
      </c>
      <c r="M15" s="1" t="s">
        <v>10</v>
      </c>
      <c r="N15" s="1" t="s">
        <v>11</v>
      </c>
      <c r="V15" t="s">
        <v>60</v>
      </c>
      <c r="W15">
        <f>COUNTIF($B$2:$B$101, 2.75)</f>
        <v>7</v>
      </c>
    </row>
    <row r="16" spans="1:23" x14ac:dyDescent="0.25">
      <c r="A16">
        <v>3</v>
      </c>
      <c r="B16">
        <v>1</v>
      </c>
      <c r="C16">
        <v>1</v>
      </c>
      <c r="E16" s="1" t="s">
        <v>41</v>
      </c>
      <c r="F16" s="1" t="s">
        <v>3</v>
      </c>
      <c r="G16" s="1" t="s">
        <v>43</v>
      </c>
      <c r="H16" s="1">
        <v>100</v>
      </c>
      <c r="I16" s="1">
        <v>9</v>
      </c>
      <c r="J16" s="1">
        <v>1</v>
      </c>
      <c r="K16" s="1">
        <v>1</v>
      </c>
      <c r="L16" s="1">
        <f>K16/H16</f>
        <v>0.01</v>
      </c>
      <c r="M16" s="1">
        <f>K16/I16</f>
        <v>0.1111111111111111</v>
      </c>
      <c r="N16" s="1">
        <f>K16*H16/(I16*J16)</f>
        <v>11.111111111111111</v>
      </c>
      <c r="V16" t="s">
        <v>50</v>
      </c>
      <c r="W16">
        <f>COUNTIF($B$2:$B$101, 3)</f>
        <v>3</v>
      </c>
    </row>
    <row r="17" spans="1:23" x14ac:dyDescent="0.25">
      <c r="A17">
        <v>3</v>
      </c>
      <c r="B17">
        <v>1.5</v>
      </c>
      <c r="C17">
        <v>1</v>
      </c>
      <c r="E17" s="1" t="s">
        <v>42</v>
      </c>
      <c r="F17" s="1" t="s">
        <v>44</v>
      </c>
      <c r="G17" s="1" t="s">
        <v>13</v>
      </c>
      <c r="H17" s="1">
        <v>100</v>
      </c>
      <c r="I17" s="1">
        <v>1</v>
      </c>
      <c r="J17" s="1">
        <v>9</v>
      </c>
      <c r="K17" s="1">
        <v>1</v>
      </c>
      <c r="L17" s="1">
        <f>K17/H17</f>
        <v>0.01</v>
      </c>
      <c r="M17" s="1">
        <f>K17/I17</f>
        <v>1</v>
      </c>
      <c r="N17" s="1">
        <f>K17*H17/(I17*J17)</f>
        <v>11.111111111111111</v>
      </c>
      <c r="V17" t="s">
        <v>61</v>
      </c>
      <c r="W17">
        <f>COUNTIF($B$2:$B$101, 3.25)</f>
        <v>6</v>
      </c>
    </row>
    <row r="18" spans="1:23" x14ac:dyDescent="0.25">
      <c r="A18">
        <v>3</v>
      </c>
      <c r="B18">
        <v>1.5</v>
      </c>
      <c r="C18">
        <v>1</v>
      </c>
      <c r="V18" t="s">
        <v>62</v>
      </c>
      <c r="W18">
        <f>COUNTIF($B$2:$B$101, 3.5)</f>
        <v>4</v>
      </c>
    </row>
    <row r="19" spans="1:23" x14ac:dyDescent="0.25">
      <c r="A19">
        <v>3</v>
      </c>
      <c r="B19">
        <v>1.5</v>
      </c>
      <c r="C19">
        <v>1</v>
      </c>
      <c r="E19" s="2"/>
      <c r="F19" s="2"/>
      <c r="G19" s="2"/>
      <c r="H19" s="2" t="s">
        <v>5</v>
      </c>
      <c r="I19" s="2" t="s">
        <v>6</v>
      </c>
      <c r="J19" s="2" t="s">
        <v>7</v>
      </c>
      <c r="K19" s="2" t="s">
        <v>8</v>
      </c>
      <c r="L19" s="2" t="s">
        <v>9</v>
      </c>
      <c r="M19" s="2" t="s">
        <v>10</v>
      </c>
      <c r="N19" s="2" t="s">
        <v>11</v>
      </c>
      <c r="V19" t="s">
        <v>51</v>
      </c>
      <c r="W19">
        <f>COUNTIF($B$2:$B$101, 4)</f>
        <v>1</v>
      </c>
    </row>
    <row r="20" spans="1:23" x14ac:dyDescent="0.25">
      <c r="A20">
        <v>3</v>
      </c>
      <c r="B20">
        <v>1.75</v>
      </c>
      <c r="C20">
        <v>1</v>
      </c>
      <c r="E20" s="2" t="s">
        <v>19</v>
      </c>
      <c r="F20" s="2" t="s">
        <v>46</v>
      </c>
      <c r="G20" s="2" t="s">
        <v>4</v>
      </c>
      <c r="H20" s="2">
        <v>100</v>
      </c>
      <c r="I20" s="2">
        <v>49</v>
      </c>
      <c r="J20" s="2">
        <v>53</v>
      </c>
      <c r="K20" s="2">
        <v>30</v>
      </c>
      <c r="L20" s="2">
        <f>K20/H20</f>
        <v>0.3</v>
      </c>
      <c r="M20" s="2">
        <f>K20/I20</f>
        <v>0.61224489795918369</v>
      </c>
      <c r="N20" s="2">
        <f>K20*H20/(I20*J20)</f>
        <v>1.1551790527531767</v>
      </c>
    </row>
    <row r="21" spans="1:23" x14ac:dyDescent="0.25">
      <c r="A21">
        <v>3</v>
      </c>
      <c r="B21">
        <v>1.75</v>
      </c>
      <c r="C21">
        <v>1</v>
      </c>
      <c r="E21" s="2" t="s">
        <v>45</v>
      </c>
      <c r="F21" s="2" t="s">
        <v>12</v>
      </c>
      <c r="G21" s="2" t="s">
        <v>47</v>
      </c>
      <c r="H21" s="2">
        <v>100</v>
      </c>
      <c r="I21" s="2">
        <v>53</v>
      </c>
      <c r="J21" s="2">
        <v>49</v>
      </c>
      <c r="K21" s="2">
        <v>30</v>
      </c>
      <c r="L21" s="2">
        <f>K21/H21</f>
        <v>0.3</v>
      </c>
      <c r="M21" s="2">
        <f>K21/I21</f>
        <v>0.56603773584905659</v>
      </c>
      <c r="N21" s="2">
        <f>K21*H21/(I21*J21)</f>
        <v>1.1551790527531767</v>
      </c>
      <c r="V21" t="s">
        <v>57</v>
      </c>
    </row>
    <row r="22" spans="1:23" x14ac:dyDescent="0.25">
      <c r="A22">
        <v>3</v>
      </c>
      <c r="B22">
        <v>1.75</v>
      </c>
      <c r="C22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V22" t="s">
        <v>54</v>
      </c>
      <c r="W22">
        <f>COUNTIF($C$2:$C$101, 1)</f>
        <v>53</v>
      </c>
    </row>
    <row r="23" spans="1:23" x14ac:dyDescent="0.25">
      <c r="A23">
        <v>3</v>
      </c>
      <c r="B23">
        <v>1.75</v>
      </c>
      <c r="C23">
        <v>1</v>
      </c>
      <c r="E23" s="2"/>
      <c r="F23" s="2"/>
      <c r="G23" s="2"/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2" t="s">
        <v>10</v>
      </c>
      <c r="N23" s="2" t="s">
        <v>11</v>
      </c>
      <c r="V23" t="s">
        <v>55</v>
      </c>
      <c r="W23">
        <f>COUNTIF($C$2:$C$101, 1.5)</f>
        <v>7</v>
      </c>
    </row>
    <row r="24" spans="1:23" x14ac:dyDescent="0.25">
      <c r="A24">
        <v>3</v>
      </c>
      <c r="B24">
        <v>1.75</v>
      </c>
      <c r="C24">
        <v>1</v>
      </c>
      <c r="E24" s="2" t="s">
        <v>63</v>
      </c>
      <c r="F24" s="2" t="s">
        <v>46</v>
      </c>
      <c r="G24" s="2" t="s">
        <v>32</v>
      </c>
      <c r="H24" s="2">
        <v>100</v>
      </c>
      <c r="I24" s="2">
        <v>49</v>
      </c>
      <c r="J24" s="2">
        <v>7</v>
      </c>
      <c r="K24" s="2">
        <v>3</v>
      </c>
      <c r="L24" s="2">
        <f>K24/H24</f>
        <v>0.03</v>
      </c>
      <c r="M24" s="2">
        <f>K24/I24</f>
        <v>6.1224489795918366E-2</v>
      </c>
      <c r="N24" s="2">
        <f>K24*H24/(I24*J24)</f>
        <v>0.87463556851311952</v>
      </c>
      <c r="V24" t="s">
        <v>49</v>
      </c>
      <c r="W24">
        <f>COUNTIF($C$2:$C$101, 2)</f>
        <v>38</v>
      </c>
    </row>
    <row r="25" spans="1:23" x14ac:dyDescent="0.25">
      <c r="A25">
        <v>3</v>
      </c>
      <c r="B25">
        <v>1.75</v>
      </c>
      <c r="C25">
        <v>1</v>
      </c>
      <c r="E25" s="2" t="s">
        <v>64</v>
      </c>
      <c r="F25" s="2" t="s">
        <v>65</v>
      </c>
      <c r="G25" s="2" t="s">
        <v>47</v>
      </c>
      <c r="H25" s="2">
        <v>100</v>
      </c>
      <c r="I25" s="2">
        <v>7</v>
      </c>
      <c r="J25" s="2">
        <v>49</v>
      </c>
      <c r="K25" s="2">
        <v>3</v>
      </c>
      <c r="L25" s="2">
        <f>K25/H25</f>
        <v>0.03</v>
      </c>
      <c r="M25" s="2">
        <f>K25/I25</f>
        <v>0.42857142857142855</v>
      </c>
      <c r="N25" s="2">
        <f>K25*H25/(I25*J25)</f>
        <v>0.87463556851311952</v>
      </c>
      <c r="V25" t="s">
        <v>56</v>
      </c>
      <c r="W25">
        <f>COUNTIF($C$2:$C$101, 2.5)</f>
        <v>1</v>
      </c>
    </row>
    <row r="26" spans="1:23" x14ac:dyDescent="0.25">
      <c r="A26">
        <v>3</v>
      </c>
      <c r="B26">
        <v>2</v>
      </c>
      <c r="C26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V26" t="s">
        <v>50</v>
      </c>
      <c r="W26">
        <f>COUNTIF($C$2:$C$101, 3)</f>
        <v>1</v>
      </c>
    </row>
    <row r="27" spans="1:23" x14ac:dyDescent="0.25">
      <c r="A27">
        <v>3</v>
      </c>
      <c r="B27">
        <v>2</v>
      </c>
      <c r="C27">
        <v>1</v>
      </c>
      <c r="E27" s="2"/>
      <c r="F27" s="2"/>
      <c r="G27" s="2"/>
      <c r="H27" s="2" t="s">
        <v>5</v>
      </c>
      <c r="I27" s="2" t="s">
        <v>6</v>
      </c>
      <c r="J27" s="2" t="s">
        <v>7</v>
      </c>
      <c r="K27" s="2" t="s">
        <v>8</v>
      </c>
      <c r="L27" s="2" t="s">
        <v>9</v>
      </c>
      <c r="M27" s="2" t="s">
        <v>10</v>
      </c>
      <c r="N27" s="2" t="s">
        <v>11</v>
      </c>
    </row>
    <row r="28" spans="1:23" x14ac:dyDescent="0.25">
      <c r="A28">
        <v>3</v>
      </c>
      <c r="B28">
        <v>2</v>
      </c>
      <c r="C28">
        <v>1</v>
      </c>
      <c r="E28" s="2" t="s">
        <v>66</v>
      </c>
      <c r="F28" s="2" t="s">
        <v>46</v>
      </c>
      <c r="G28" s="2" t="s">
        <v>39</v>
      </c>
      <c r="H28" s="2">
        <v>100</v>
      </c>
      <c r="I28" s="2">
        <v>49</v>
      </c>
      <c r="J28" s="2">
        <v>38</v>
      </c>
      <c r="K28" s="2">
        <v>15</v>
      </c>
      <c r="L28" s="2">
        <f>K28/H28</f>
        <v>0.15</v>
      </c>
      <c r="M28" s="2">
        <f>K28/I28</f>
        <v>0.30612244897959184</v>
      </c>
      <c r="N28" s="2">
        <f>K28*H28/(I28*J28)</f>
        <v>0.80558539205155744</v>
      </c>
    </row>
    <row r="29" spans="1:23" x14ac:dyDescent="0.25">
      <c r="A29">
        <v>3</v>
      </c>
      <c r="B29">
        <v>2</v>
      </c>
      <c r="C29">
        <v>1</v>
      </c>
      <c r="E29" s="2" t="s">
        <v>67</v>
      </c>
      <c r="F29" s="2" t="s">
        <v>40</v>
      </c>
      <c r="G29" s="2" t="s">
        <v>47</v>
      </c>
      <c r="H29" s="2">
        <v>100</v>
      </c>
      <c r="I29" s="2">
        <v>38</v>
      </c>
      <c r="J29" s="2">
        <v>49</v>
      </c>
      <c r="K29" s="2">
        <v>15</v>
      </c>
      <c r="L29" s="2">
        <f>K29/H29</f>
        <v>0.15</v>
      </c>
      <c r="M29" s="2">
        <f>K29/I29</f>
        <v>0.39473684210526316</v>
      </c>
      <c r="N29" s="2">
        <f>K29*H29/(I29*J29)</f>
        <v>0.80558539205155744</v>
      </c>
    </row>
    <row r="30" spans="1:23" x14ac:dyDescent="0.25">
      <c r="A30">
        <v>3</v>
      </c>
      <c r="B30">
        <v>2.25</v>
      </c>
      <c r="C30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23" x14ac:dyDescent="0.25">
      <c r="A31">
        <v>3</v>
      </c>
      <c r="B31">
        <v>2.25</v>
      </c>
      <c r="C31">
        <v>1</v>
      </c>
      <c r="E31" s="2"/>
      <c r="F31" s="2"/>
      <c r="G31" s="2"/>
      <c r="H31" s="2" t="s">
        <v>5</v>
      </c>
      <c r="I31" s="2" t="s">
        <v>6</v>
      </c>
      <c r="J31" s="2" t="s">
        <v>7</v>
      </c>
      <c r="K31" s="2" t="s">
        <v>8</v>
      </c>
      <c r="L31" s="2" t="s">
        <v>9</v>
      </c>
      <c r="M31" s="2" t="s">
        <v>10</v>
      </c>
      <c r="N31" s="2" t="s">
        <v>11</v>
      </c>
    </row>
    <row r="32" spans="1:23" x14ac:dyDescent="0.25">
      <c r="A32">
        <v>3</v>
      </c>
      <c r="B32">
        <v>2.5</v>
      </c>
      <c r="C32">
        <v>1</v>
      </c>
      <c r="E32" s="2" t="s">
        <v>68</v>
      </c>
      <c r="F32" s="2" t="s">
        <v>46</v>
      </c>
      <c r="G32" s="2" t="s">
        <v>70</v>
      </c>
      <c r="H32" s="2">
        <v>100</v>
      </c>
      <c r="I32" s="2">
        <v>49</v>
      </c>
      <c r="J32" s="2">
        <v>1</v>
      </c>
      <c r="K32" s="2">
        <v>1</v>
      </c>
      <c r="L32" s="2">
        <f>K32/H32</f>
        <v>0.01</v>
      </c>
      <c r="M32" s="2">
        <f>K32/I32</f>
        <v>2.0408163265306121E-2</v>
      </c>
      <c r="N32" s="2">
        <f>K32*H32/(I32*J32)</f>
        <v>2.0408163265306123</v>
      </c>
    </row>
    <row r="33" spans="1:14" x14ac:dyDescent="0.25">
      <c r="A33">
        <v>3</v>
      </c>
      <c r="B33">
        <v>2.5</v>
      </c>
      <c r="C33">
        <v>1</v>
      </c>
      <c r="E33" s="2" t="s">
        <v>69</v>
      </c>
      <c r="F33" s="2" t="s">
        <v>71</v>
      </c>
      <c r="G33" s="2" t="s">
        <v>47</v>
      </c>
      <c r="H33" s="2">
        <v>100</v>
      </c>
      <c r="I33" s="2">
        <v>1</v>
      </c>
      <c r="J33" s="2">
        <v>49</v>
      </c>
      <c r="K33" s="2">
        <v>1</v>
      </c>
      <c r="L33" s="2">
        <f>K33/H33</f>
        <v>0.01</v>
      </c>
      <c r="M33" s="2">
        <f>K33/I33</f>
        <v>1</v>
      </c>
      <c r="N33" s="2">
        <f>K33*H33/(I33*J33)</f>
        <v>2.0408163265306123</v>
      </c>
    </row>
    <row r="34" spans="1:14" x14ac:dyDescent="0.25">
      <c r="A34">
        <v>3</v>
      </c>
      <c r="B34">
        <v>2.5</v>
      </c>
      <c r="C34">
        <v>1</v>
      </c>
    </row>
    <row r="35" spans="1:14" x14ac:dyDescent="0.25">
      <c r="A35">
        <v>3</v>
      </c>
      <c r="B35">
        <v>2.5</v>
      </c>
      <c r="C35">
        <v>1</v>
      </c>
      <c r="E35" s="3"/>
      <c r="F35" s="3"/>
      <c r="G35" s="3"/>
      <c r="H35" s="3" t="s">
        <v>5</v>
      </c>
      <c r="I35" s="3" t="s">
        <v>6</v>
      </c>
      <c r="J35" s="3" t="s">
        <v>7</v>
      </c>
      <c r="K35" s="3" t="s">
        <v>8</v>
      </c>
      <c r="L35" s="3" t="s">
        <v>9</v>
      </c>
      <c r="M35" s="3" t="s">
        <v>10</v>
      </c>
      <c r="N35" s="3" t="s">
        <v>11</v>
      </c>
    </row>
    <row r="36" spans="1:14" x14ac:dyDescent="0.25">
      <c r="A36">
        <v>3</v>
      </c>
      <c r="B36">
        <v>2.5</v>
      </c>
      <c r="C36">
        <v>1</v>
      </c>
      <c r="E36" s="3" t="s">
        <v>72</v>
      </c>
      <c r="F36" s="3" t="s">
        <v>74</v>
      </c>
      <c r="G36" s="3" t="s">
        <v>4</v>
      </c>
      <c r="H36" s="3">
        <v>100</v>
      </c>
      <c r="I36" s="3">
        <v>36</v>
      </c>
      <c r="J36" s="3">
        <v>53</v>
      </c>
      <c r="K36" s="3">
        <v>16</v>
      </c>
      <c r="L36" s="3">
        <f>K36/H36</f>
        <v>0.16</v>
      </c>
      <c r="M36" s="3">
        <f>K36/I36</f>
        <v>0.44444444444444442</v>
      </c>
      <c r="N36" s="3">
        <f>K36*H36/(I36*J36)</f>
        <v>0.83857442348008382</v>
      </c>
    </row>
    <row r="37" spans="1:14" x14ac:dyDescent="0.25">
      <c r="A37">
        <v>3</v>
      </c>
      <c r="B37">
        <v>2.75</v>
      </c>
      <c r="C37">
        <v>1</v>
      </c>
      <c r="E37" s="3" t="s">
        <v>73</v>
      </c>
      <c r="F37" s="3" t="s">
        <v>12</v>
      </c>
      <c r="G37" s="3" t="s">
        <v>75</v>
      </c>
      <c r="H37" s="3">
        <v>100</v>
      </c>
      <c r="I37" s="3">
        <v>53</v>
      </c>
      <c r="J37" s="3">
        <v>36</v>
      </c>
      <c r="K37" s="3">
        <v>16</v>
      </c>
      <c r="L37" s="3">
        <f>K37/H37</f>
        <v>0.16</v>
      </c>
      <c r="M37" s="3">
        <f>K37/I37</f>
        <v>0.30188679245283018</v>
      </c>
      <c r="N37" s="3">
        <f>K37*H37/(I37*J37)</f>
        <v>0.83857442348008382</v>
      </c>
    </row>
    <row r="38" spans="1:14" x14ac:dyDescent="0.25">
      <c r="A38">
        <v>4</v>
      </c>
      <c r="B38">
        <v>1</v>
      </c>
      <c r="C38">
        <v>1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>
        <v>4</v>
      </c>
      <c r="B39">
        <v>1.75</v>
      </c>
      <c r="C39">
        <v>1</v>
      </c>
      <c r="E39" s="3"/>
      <c r="F39" s="3"/>
      <c r="G39" s="3"/>
      <c r="H39" s="3" t="s">
        <v>5</v>
      </c>
      <c r="I39" s="3" t="s">
        <v>6</v>
      </c>
      <c r="J39" s="3" t="s">
        <v>7</v>
      </c>
      <c r="K39" s="3" t="s">
        <v>8</v>
      </c>
      <c r="L39" s="3" t="s">
        <v>9</v>
      </c>
      <c r="M39" s="3" t="s">
        <v>10</v>
      </c>
      <c r="N39" s="3" t="s">
        <v>11</v>
      </c>
    </row>
    <row r="40" spans="1:14" x14ac:dyDescent="0.25">
      <c r="A40">
        <v>4</v>
      </c>
      <c r="B40">
        <v>1.75</v>
      </c>
      <c r="C40">
        <v>1</v>
      </c>
      <c r="E40" s="3" t="s">
        <v>76</v>
      </c>
      <c r="F40" s="3" t="s">
        <v>74</v>
      </c>
      <c r="G40" s="3" t="s">
        <v>32</v>
      </c>
      <c r="H40" s="3">
        <v>100</v>
      </c>
      <c r="I40" s="3">
        <v>36</v>
      </c>
      <c r="J40" s="3">
        <v>7</v>
      </c>
      <c r="K40" s="3">
        <v>4</v>
      </c>
      <c r="L40" s="3">
        <f>K40/H40</f>
        <v>0.04</v>
      </c>
      <c r="M40" s="3">
        <f>K40/I40</f>
        <v>0.1111111111111111</v>
      </c>
      <c r="N40" s="3">
        <f>K40*H40/(I40*J40)</f>
        <v>1.5873015873015872</v>
      </c>
    </row>
    <row r="41" spans="1:14" x14ac:dyDescent="0.25">
      <c r="A41">
        <v>4</v>
      </c>
      <c r="B41">
        <v>1.75</v>
      </c>
      <c r="C41">
        <v>1</v>
      </c>
      <c r="E41" s="3" t="s">
        <v>77</v>
      </c>
      <c r="F41" s="3" t="s">
        <v>65</v>
      </c>
      <c r="G41" s="3" t="s">
        <v>75</v>
      </c>
      <c r="H41" s="3">
        <v>100</v>
      </c>
      <c r="I41" s="3">
        <v>7</v>
      </c>
      <c r="J41" s="3">
        <v>36</v>
      </c>
      <c r="K41" s="3">
        <v>4</v>
      </c>
      <c r="L41" s="3">
        <f>K41/H41</f>
        <v>0.04</v>
      </c>
      <c r="M41" s="3">
        <f>K41/I41</f>
        <v>0.5714285714285714</v>
      </c>
      <c r="N41" s="3">
        <f>K41*H41/(I41*J41)</f>
        <v>1.5873015873015872</v>
      </c>
    </row>
    <row r="42" spans="1:14" x14ac:dyDescent="0.25">
      <c r="A42">
        <v>4</v>
      </c>
      <c r="B42">
        <v>1.75</v>
      </c>
      <c r="C42">
        <v>1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>
        <v>4</v>
      </c>
      <c r="B43">
        <v>1.75</v>
      </c>
      <c r="C43">
        <v>1</v>
      </c>
      <c r="E43" s="3"/>
      <c r="F43" s="3"/>
      <c r="G43" s="3"/>
      <c r="H43" s="3" t="s">
        <v>5</v>
      </c>
      <c r="I43" s="3" t="s">
        <v>6</v>
      </c>
      <c r="J43" s="3" t="s">
        <v>7</v>
      </c>
      <c r="K43" s="3" t="s">
        <v>8</v>
      </c>
      <c r="L43" s="3" t="s">
        <v>9</v>
      </c>
      <c r="M43" s="3" t="s">
        <v>10</v>
      </c>
      <c r="N43" s="3" t="s">
        <v>11</v>
      </c>
    </row>
    <row r="44" spans="1:14" x14ac:dyDescent="0.25">
      <c r="A44">
        <v>4</v>
      </c>
      <c r="B44">
        <v>1.75</v>
      </c>
      <c r="C44">
        <v>1</v>
      </c>
      <c r="E44" s="3" t="s">
        <v>78</v>
      </c>
      <c r="F44" s="3" t="s">
        <v>74</v>
      </c>
      <c r="G44" s="3" t="s">
        <v>39</v>
      </c>
      <c r="H44" s="3">
        <v>100</v>
      </c>
      <c r="I44" s="3">
        <v>36</v>
      </c>
      <c r="J44" s="3">
        <v>38</v>
      </c>
      <c r="K44" s="3">
        <v>16</v>
      </c>
      <c r="L44" s="3">
        <f>K44/H44</f>
        <v>0.16</v>
      </c>
      <c r="M44" s="3">
        <f>K44/I44</f>
        <v>0.44444444444444442</v>
      </c>
      <c r="N44" s="3">
        <f>K44*H44/(I44*J44)</f>
        <v>1.1695906432748537</v>
      </c>
    </row>
    <row r="45" spans="1:14" x14ac:dyDescent="0.25">
      <c r="A45">
        <v>4</v>
      </c>
      <c r="B45">
        <v>1.75</v>
      </c>
      <c r="C45">
        <v>1</v>
      </c>
      <c r="E45" s="3" t="s">
        <v>79</v>
      </c>
      <c r="F45" s="3" t="s">
        <v>40</v>
      </c>
      <c r="G45" s="3" t="s">
        <v>75</v>
      </c>
      <c r="H45" s="3">
        <v>100</v>
      </c>
      <c r="I45" s="3">
        <v>38</v>
      </c>
      <c r="J45" s="3">
        <v>36</v>
      </c>
      <c r="K45" s="3">
        <v>16</v>
      </c>
      <c r="L45" s="3">
        <f>K45/H45</f>
        <v>0.16</v>
      </c>
      <c r="M45" s="3">
        <f>K45/I45</f>
        <v>0.42105263157894735</v>
      </c>
      <c r="N45" s="3">
        <f>K45*H45/(I45*J45)</f>
        <v>1.1695906432748537</v>
      </c>
    </row>
    <row r="46" spans="1:14" x14ac:dyDescent="0.25">
      <c r="A46">
        <v>4</v>
      </c>
      <c r="B46">
        <v>2</v>
      </c>
      <c r="C46">
        <v>1</v>
      </c>
    </row>
    <row r="47" spans="1:14" x14ac:dyDescent="0.25">
      <c r="A47">
        <v>4</v>
      </c>
      <c r="B47">
        <v>2</v>
      </c>
      <c r="C47">
        <v>1</v>
      </c>
      <c r="E47" s="4"/>
      <c r="F47" s="4"/>
      <c r="G47" s="4"/>
      <c r="H47" s="4" t="s">
        <v>5</v>
      </c>
      <c r="I47" s="4" t="s">
        <v>6</v>
      </c>
      <c r="J47" s="4" t="s">
        <v>7</v>
      </c>
      <c r="K47" s="4" t="s">
        <v>8</v>
      </c>
      <c r="L47" s="4" t="s">
        <v>9</v>
      </c>
      <c r="M47" s="4" t="s">
        <v>10</v>
      </c>
      <c r="N47" s="4" t="s">
        <v>11</v>
      </c>
    </row>
    <row r="48" spans="1:14" x14ac:dyDescent="0.25">
      <c r="A48">
        <v>4</v>
      </c>
      <c r="B48">
        <v>2.25</v>
      </c>
      <c r="C48">
        <v>1</v>
      </c>
      <c r="E48" s="4" t="s">
        <v>78</v>
      </c>
      <c r="F48" s="4" t="s">
        <v>80</v>
      </c>
      <c r="G48" s="4" t="s">
        <v>4</v>
      </c>
      <c r="H48" s="4">
        <v>100</v>
      </c>
      <c r="I48" s="4">
        <v>6</v>
      </c>
      <c r="J48" s="4">
        <v>53</v>
      </c>
      <c r="K48" s="4">
        <v>1</v>
      </c>
      <c r="L48" s="4">
        <f>K48/H48</f>
        <v>0.01</v>
      </c>
      <c r="M48" s="4">
        <f>K48/I48</f>
        <v>0.16666666666666666</v>
      </c>
      <c r="N48" s="4">
        <f>K48*H48/(I48*J48)</f>
        <v>0.31446540880503143</v>
      </c>
    </row>
    <row r="49" spans="1:14" x14ac:dyDescent="0.25">
      <c r="A49">
        <v>4</v>
      </c>
      <c r="B49">
        <v>2.25</v>
      </c>
      <c r="C49">
        <v>1</v>
      </c>
      <c r="E49" s="4" t="s">
        <v>79</v>
      </c>
      <c r="F49" s="4" t="s">
        <v>12</v>
      </c>
      <c r="G49" s="4" t="s">
        <v>81</v>
      </c>
      <c r="H49" s="4">
        <v>100</v>
      </c>
      <c r="I49" s="4">
        <v>53</v>
      </c>
      <c r="J49" s="4">
        <v>6</v>
      </c>
      <c r="K49" s="4">
        <v>1</v>
      </c>
      <c r="L49" s="4">
        <f>K49/H49</f>
        <v>0.01</v>
      </c>
      <c r="M49" s="4">
        <f>K49/I49</f>
        <v>1.8867924528301886E-2</v>
      </c>
      <c r="N49" s="4">
        <f>K49*H49/(I49*J49)</f>
        <v>0.31446540880503143</v>
      </c>
    </row>
    <row r="50" spans="1:14" x14ac:dyDescent="0.25">
      <c r="A50">
        <v>4</v>
      </c>
      <c r="B50">
        <v>2.5</v>
      </c>
      <c r="C50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>
        <v>4</v>
      </c>
      <c r="B51">
        <v>2.5</v>
      </c>
      <c r="C51">
        <v>1</v>
      </c>
      <c r="E51" s="4"/>
      <c r="F51" s="4"/>
      <c r="G51" s="4"/>
      <c r="H51" s="4" t="s">
        <v>5</v>
      </c>
      <c r="I51" s="4" t="s">
        <v>6</v>
      </c>
      <c r="J51" s="4" t="s">
        <v>7</v>
      </c>
      <c r="K51" s="4" t="s">
        <v>8</v>
      </c>
      <c r="L51" s="4" t="s">
        <v>9</v>
      </c>
      <c r="M51" s="4" t="s">
        <v>10</v>
      </c>
      <c r="N51" s="4" t="s">
        <v>11</v>
      </c>
    </row>
    <row r="52" spans="1:14" x14ac:dyDescent="0.25">
      <c r="A52">
        <v>4</v>
      </c>
      <c r="B52">
        <v>2.75</v>
      </c>
      <c r="C52">
        <v>1</v>
      </c>
      <c r="E52" s="4" t="s">
        <v>78</v>
      </c>
      <c r="F52" s="4" t="s">
        <v>80</v>
      </c>
      <c r="G52" s="4" t="s">
        <v>39</v>
      </c>
      <c r="H52" s="4">
        <v>100</v>
      </c>
      <c r="I52" s="4">
        <v>6</v>
      </c>
      <c r="J52" s="4">
        <v>38</v>
      </c>
      <c r="K52" s="4">
        <v>5</v>
      </c>
      <c r="L52" s="4">
        <f>K52/H52</f>
        <v>0.05</v>
      </c>
      <c r="M52" s="4">
        <f>K52/I52</f>
        <v>0.83333333333333337</v>
      </c>
      <c r="N52" s="4">
        <f>K52*H52/(I52*J52)</f>
        <v>2.192982456140351</v>
      </c>
    </row>
    <row r="53" spans="1:14" x14ac:dyDescent="0.25">
      <c r="A53">
        <v>4</v>
      </c>
      <c r="B53">
        <v>2.75</v>
      </c>
      <c r="C53">
        <v>1</v>
      </c>
      <c r="E53" s="4" t="s">
        <v>79</v>
      </c>
      <c r="F53" s="4" t="s">
        <v>40</v>
      </c>
      <c r="G53" s="4" t="s">
        <v>81</v>
      </c>
      <c r="H53" s="4">
        <v>100</v>
      </c>
      <c r="I53" s="4">
        <v>38</v>
      </c>
      <c r="J53" s="4">
        <v>6</v>
      </c>
      <c r="K53" s="4">
        <v>5</v>
      </c>
      <c r="L53" s="4">
        <f>K53/H53</f>
        <v>0.05</v>
      </c>
      <c r="M53" s="4">
        <f>K53/I53</f>
        <v>0.13157894736842105</v>
      </c>
      <c r="N53" s="4">
        <f>K53*H53/(I53*J53)</f>
        <v>2.192982456140351</v>
      </c>
    </row>
    <row r="54" spans="1:14" x14ac:dyDescent="0.25">
      <c r="A54">
        <v>5</v>
      </c>
      <c r="B54">
        <v>3</v>
      </c>
      <c r="C54">
        <v>1</v>
      </c>
    </row>
    <row r="55" spans="1:14" x14ac:dyDescent="0.25">
      <c r="A55">
        <v>3</v>
      </c>
      <c r="B55">
        <v>1</v>
      </c>
      <c r="C55">
        <v>1.5</v>
      </c>
    </row>
    <row r="56" spans="1:14" x14ac:dyDescent="0.25">
      <c r="A56">
        <v>3</v>
      </c>
      <c r="B56">
        <v>1.75</v>
      </c>
      <c r="C56">
        <v>1.5</v>
      </c>
    </row>
    <row r="57" spans="1:14" x14ac:dyDescent="0.25">
      <c r="A57">
        <v>3</v>
      </c>
      <c r="B57">
        <v>2</v>
      </c>
      <c r="C57">
        <v>1.5</v>
      </c>
    </row>
    <row r="58" spans="1:14" x14ac:dyDescent="0.25">
      <c r="A58">
        <v>4</v>
      </c>
      <c r="B58">
        <v>1</v>
      </c>
      <c r="C58">
        <v>1.5</v>
      </c>
    </row>
    <row r="59" spans="1:14" x14ac:dyDescent="0.25">
      <c r="A59">
        <v>4</v>
      </c>
      <c r="B59">
        <v>1.75</v>
      </c>
      <c r="C59">
        <v>1.5</v>
      </c>
    </row>
    <row r="60" spans="1:14" x14ac:dyDescent="0.25">
      <c r="A60">
        <v>4</v>
      </c>
      <c r="B60">
        <v>3</v>
      </c>
      <c r="C60">
        <v>1.5</v>
      </c>
    </row>
    <row r="61" spans="1:14" x14ac:dyDescent="0.25">
      <c r="A61">
        <v>4</v>
      </c>
      <c r="B61">
        <v>3.25</v>
      </c>
      <c r="C61">
        <v>1.5</v>
      </c>
    </row>
    <row r="62" spans="1:14" x14ac:dyDescent="0.25">
      <c r="A62">
        <v>2</v>
      </c>
      <c r="B62">
        <v>2</v>
      </c>
      <c r="C62">
        <v>2</v>
      </c>
    </row>
    <row r="63" spans="1:14" x14ac:dyDescent="0.25">
      <c r="A63">
        <v>2</v>
      </c>
      <c r="B63">
        <v>2.25</v>
      </c>
      <c r="C63">
        <v>2</v>
      </c>
    </row>
    <row r="64" spans="1:14" x14ac:dyDescent="0.25">
      <c r="A64">
        <v>3</v>
      </c>
      <c r="B64">
        <v>2</v>
      </c>
      <c r="C64">
        <v>2</v>
      </c>
    </row>
    <row r="65" spans="1:3" x14ac:dyDescent="0.25">
      <c r="A65">
        <v>3</v>
      </c>
      <c r="B65">
        <v>2.25</v>
      </c>
      <c r="C65">
        <v>2</v>
      </c>
    </row>
    <row r="66" spans="1:3" x14ac:dyDescent="0.25">
      <c r="A66">
        <v>3</v>
      </c>
      <c r="B66">
        <v>2.25</v>
      </c>
      <c r="C66">
        <v>2</v>
      </c>
    </row>
    <row r="67" spans="1:3" x14ac:dyDescent="0.25">
      <c r="A67">
        <v>3</v>
      </c>
      <c r="B67">
        <v>2.5</v>
      </c>
      <c r="C67">
        <v>2</v>
      </c>
    </row>
    <row r="68" spans="1:3" x14ac:dyDescent="0.25">
      <c r="A68">
        <v>3</v>
      </c>
      <c r="B68">
        <v>2.5</v>
      </c>
      <c r="C68">
        <v>2</v>
      </c>
    </row>
    <row r="69" spans="1:3" x14ac:dyDescent="0.25">
      <c r="A69">
        <v>3</v>
      </c>
      <c r="B69">
        <v>2.5</v>
      </c>
      <c r="C69">
        <v>2</v>
      </c>
    </row>
    <row r="70" spans="1:3" x14ac:dyDescent="0.25">
      <c r="A70">
        <v>3</v>
      </c>
      <c r="B70">
        <v>2.5</v>
      </c>
      <c r="C70">
        <v>2</v>
      </c>
    </row>
    <row r="71" spans="1:3" x14ac:dyDescent="0.25">
      <c r="A71">
        <v>3</v>
      </c>
      <c r="B71">
        <v>2.5</v>
      </c>
      <c r="C71">
        <v>2</v>
      </c>
    </row>
    <row r="72" spans="1:3" x14ac:dyDescent="0.25">
      <c r="A72">
        <v>3</v>
      </c>
      <c r="B72">
        <v>2.5</v>
      </c>
      <c r="C72">
        <v>2</v>
      </c>
    </row>
    <row r="73" spans="1:3" x14ac:dyDescent="0.25">
      <c r="A73">
        <v>3</v>
      </c>
      <c r="B73">
        <v>2.5</v>
      </c>
      <c r="C73">
        <v>2</v>
      </c>
    </row>
    <row r="74" spans="1:3" x14ac:dyDescent="0.25">
      <c r="A74">
        <v>3</v>
      </c>
      <c r="B74">
        <v>2.5</v>
      </c>
      <c r="C74">
        <v>2</v>
      </c>
    </row>
    <row r="75" spans="1:3" x14ac:dyDescent="0.25">
      <c r="A75">
        <v>3</v>
      </c>
      <c r="B75">
        <v>2.5</v>
      </c>
      <c r="C75">
        <v>2</v>
      </c>
    </row>
    <row r="76" spans="1:3" x14ac:dyDescent="0.25">
      <c r="A76">
        <v>3</v>
      </c>
      <c r="B76">
        <v>2.5</v>
      </c>
      <c r="C76">
        <v>2</v>
      </c>
    </row>
    <row r="77" spans="1:3" x14ac:dyDescent="0.25">
      <c r="A77">
        <v>3</v>
      </c>
      <c r="B77">
        <v>2.75</v>
      </c>
      <c r="C77">
        <v>2</v>
      </c>
    </row>
    <row r="78" spans="1:3" x14ac:dyDescent="0.25">
      <c r="A78">
        <v>3</v>
      </c>
      <c r="B78">
        <v>3.25</v>
      </c>
      <c r="C78">
        <v>2</v>
      </c>
    </row>
    <row r="79" spans="1:3" x14ac:dyDescent="0.25">
      <c r="A79">
        <v>4</v>
      </c>
      <c r="B79">
        <v>2.25</v>
      </c>
      <c r="C79">
        <v>2</v>
      </c>
    </row>
    <row r="80" spans="1:3" x14ac:dyDescent="0.25">
      <c r="A80">
        <v>4</v>
      </c>
      <c r="B80">
        <v>2.25</v>
      </c>
      <c r="C80">
        <v>2</v>
      </c>
    </row>
    <row r="81" spans="1:3" x14ac:dyDescent="0.25">
      <c r="A81">
        <v>4</v>
      </c>
      <c r="B81">
        <v>2.5</v>
      </c>
      <c r="C81">
        <v>2</v>
      </c>
    </row>
    <row r="82" spans="1:3" x14ac:dyDescent="0.25">
      <c r="A82">
        <v>4</v>
      </c>
      <c r="B82">
        <v>2.5</v>
      </c>
      <c r="C82">
        <v>2</v>
      </c>
    </row>
    <row r="83" spans="1:3" x14ac:dyDescent="0.25">
      <c r="A83">
        <v>4</v>
      </c>
      <c r="B83">
        <v>2.5</v>
      </c>
      <c r="C83">
        <v>2</v>
      </c>
    </row>
    <row r="84" spans="1:3" x14ac:dyDescent="0.25">
      <c r="A84">
        <v>4</v>
      </c>
      <c r="B84">
        <v>2.5</v>
      </c>
      <c r="C84">
        <v>2</v>
      </c>
    </row>
    <row r="85" spans="1:3" x14ac:dyDescent="0.25">
      <c r="A85">
        <v>4</v>
      </c>
      <c r="B85">
        <v>2.5</v>
      </c>
      <c r="C85">
        <v>2</v>
      </c>
    </row>
    <row r="86" spans="1:3" x14ac:dyDescent="0.25">
      <c r="A86">
        <v>4</v>
      </c>
      <c r="B86">
        <v>2.5</v>
      </c>
      <c r="C86">
        <v>2</v>
      </c>
    </row>
    <row r="87" spans="1:3" x14ac:dyDescent="0.25">
      <c r="A87">
        <v>4</v>
      </c>
      <c r="B87">
        <v>2.75</v>
      </c>
      <c r="C87">
        <v>2</v>
      </c>
    </row>
    <row r="88" spans="1:3" x14ac:dyDescent="0.25">
      <c r="A88">
        <v>4</v>
      </c>
      <c r="B88">
        <v>3.25</v>
      </c>
      <c r="C88">
        <v>2</v>
      </c>
    </row>
    <row r="89" spans="1:3" x14ac:dyDescent="0.25">
      <c r="A89">
        <v>4</v>
      </c>
      <c r="B89">
        <v>3.25</v>
      </c>
      <c r="C89">
        <v>2</v>
      </c>
    </row>
    <row r="90" spans="1:3" x14ac:dyDescent="0.25">
      <c r="A90">
        <v>4</v>
      </c>
      <c r="B90">
        <v>3.5</v>
      </c>
      <c r="C90">
        <v>2</v>
      </c>
    </row>
    <row r="91" spans="1:3" x14ac:dyDescent="0.25">
      <c r="A91">
        <v>4</v>
      </c>
      <c r="B91">
        <v>3.5</v>
      </c>
      <c r="C91">
        <v>2</v>
      </c>
    </row>
    <row r="92" spans="1:3" x14ac:dyDescent="0.25">
      <c r="A92">
        <v>4</v>
      </c>
      <c r="B92">
        <v>3.5</v>
      </c>
      <c r="C92">
        <v>2</v>
      </c>
    </row>
    <row r="93" spans="1:3" x14ac:dyDescent="0.25">
      <c r="A93">
        <v>4</v>
      </c>
      <c r="B93">
        <v>3.5</v>
      </c>
      <c r="C93">
        <v>2</v>
      </c>
    </row>
    <row r="94" spans="1:3" x14ac:dyDescent="0.25">
      <c r="A94">
        <v>4</v>
      </c>
      <c r="B94">
        <v>4</v>
      </c>
      <c r="C94">
        <v>2</v>
      </c>
    </row>
    <row r="95" spans="1:3" x14ac:dyDescent="0.25">
      <c r="A95">
        <v>5</v>
      </c>
      <c r="B95">
        <v>2.75</v>
      </c>
      <c r="C95">
        <v>2</v>
      </c>
    </row>
    <row r="96" spans="1:3" x14ac:dyDescent="0.25">
      <c r="A96">
        <v>5</v>
      </c>
      <c r="B96">
        <v>2.75</v>
      </c>
      <c r="C96">
        <v>2</v>
      </c>
    </row>
    <row r="97" spans="1:3" x14ac:dyDescent="0.25">
      <c r="A97">
        <v>5</v>
      </c>
      <c r="B97">
        <v>3</v>
      </c>
      <c r="C97">
        <v>2</v>
      </c>
    </row>
    <row r="98" spans="1:3" x14ac:dyDescent="0.25">
      <c r="A98">
        <v>5</v>
      </c>
      <c r="B98">
        <v>3.25</v>
      </c>
      <c r="C98">
        <v>2</v>
      </c>
    </row>
    <row r="99" spans="1:3" x14ac:dyDescent="0.25">
      <c r="A99">
        <v>5</v>
      </c>
      <c r="B99">
        <v>3.25</v>
      </c>
      <c r="C99">
        <v>2</v>
      </c>
    </row>
    <row r="100" spans="1:3" x14ac:dyDescent="0.25">
      <c r="A100">
        <v>3</v>
      </c>
      <c r="B100">
        <v>2</v>
      </c>
      <c r="C100">
        <v>2.5</v>
      </c>
    </row>
    <row r="101" spans="1:3" x14ac:dyDescent="0.25">
      <c r="A101">
        <v>2</v>
      </c>
      <c r="B101">
        <v>2.25</v>
      </c>
      <c r="C101">
        <v>3</v>
      </c>
    </row>
  </sheetData>
  <autoFilter ref="A1:C101" xr:uid="{ED567024-A8CD-4426-AD51-7A61E985DDB2}">
    <sortState xmlns:xlrd2="http://schemas.microsoft.com/office/spreadsheetml/2017/richdata2" ref="A2:C101">
      <sortCondition ref="C1:C101"/>
    </sortState>
  </autoFilter>
  <sortState xmlns:xlrd2="http://schemas.microsoft.com/office/spreadsheetml/2017/richdata2" ref="A2:C101">
    <sortCondition ref="A2:A10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C86DEA9B9B34C81962A9C9C834C01" ma:contentTypeVersion="3" ma:contentTypeDescription="Create a new document." ma:contentTypeScope="" ma:versionID="7bf09e0e30409f1557579c35be381c9f">
  <xsd:schema xmlns:xsd="http://www.w3.org/2001/XMLSchema" xmlns:xs="http://www.w3.org/2001/XMLSchema" xmlns:p="http://schemas.microsoft.com/office/2006/metadata/properties" xmlns:ns2="4415bf17-0796-478c-9616-b683eacc571f" targetNamespace="http://schemas.microsoft.com/office/2006/metadata/properties" ma:root="true" ma:fieldsID="019895417464f0ac275e0ad564e1feba" ns2:_="">
    <xsd:import namespace="4415bf17-0796-478c-9616-b683eacc5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5bf17-0796-478c-9616-b683eacc5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92B5BE-C2C9-4C2F-8721-D89E5FA281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337985-92C2-481C-839C-D8127233E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15bf17-0796-478c-9616-b683eacc5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C9B86F-83EA-4983-BE0F-99E1A59194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Raymundo Said Zamora Pequeño</dc:creator>
  <cp:lastModifiedBy>JOSE LUIS MORALES LOYOLA</cp:lastModifiedBy>
  <dcterms:created xsi:type="dcterms:W3CDTF">2025-04-03T21:28:33Z</dcterms:created>
  <dcterms:modified xsi:type="dcterms:W3CDTF">2025-11-22T23:03:42Z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0x010100FE9C86DEA9B9B34C81962A9C9C834C01</vt:lpwstr>
  </property>
</Properties>
</file>
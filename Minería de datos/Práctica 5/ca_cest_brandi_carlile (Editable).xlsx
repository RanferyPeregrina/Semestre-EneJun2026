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repositories\Semestre-EneJun2026\Minería de datos\Práctica 5\"/>
    </mc:Choice>
  </mc:AlternateContent>
  <xr:revisionPtr revIDLastSave="0" documentId="13_ncr:1_{BB23A893-00B8-4EBD-B7E9-F513F7747D4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lustering" sheetId="1" r:id="rId1"/>
    <sheet name="Medoid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6" i="1" l="1"/>
  <c r="BN6" i="1"/>
  <c r="L3" i="1"/>
  <c r="M3" i="1"/>
  <c r="C3" i="1"/>
  <c r="D3" i="1"/>
  <c r="E3" i="1"/>
  <c r="F3" i="1"/>
  <c r="G3" i="1"/>
  <c r="H3" i="1"/>
  <c r="I3" i="1"/>
  <c r="J3" i="1"/>
  <c r="K3" i="1"/>
  <c r="C2" i="1"/>
  <c r="D2" i="1"/>
  <c r="E2" i="1"/>
  <c r="F2" i="1"/>
  <c r="G2" i="1"/>
  <c r="H2" i="1"/>
  <c r="I2" i="1"/>
  <c r="J2" i="1"/>
  <c r="K2" i="1"/>
  <c r="L2" i="1"/>
  <c r="M2" i="1"/>
  <c r="B2" i="1"/>
  <c r="B3" i="1"/>
  <c r="Y21" i="1" l="1"/>
  <c r="U7" i="1"/>
  <c r="W8" i="1"/>
  <c r="S8" i="1"/>
  <c r="Q39" i="1"/>
  <c r="R54" i="1"/>
  <c r="X32" i="1"/>
  <c r="V12" i="1"/>
  <c r="Z36" i="1"/>
  <c r="Q17" i="1"/>
  <c r="P7" i="1"/>
  <c r="R42" i="1"/>
  <c r="Q55" i="1"/>
  <c r="R30" i="1"/>
  <c r="Q53" i="1"/>
  <c r="Y47" i="1"/>
  <c r="W9" i="1"/>
  <c r="Q43" i="1"/>
  <c r="Y45" i="1"/>
  <c r="Z9" i="1"/>
  <c r="S18" i="1"/>
  <c r="Q29" i="1"/>
  <c r="Y19" i="1"/>
  <c r="Q28" i="1"/>
  <c r="Y7" i="1"/>
  <c r="X17" i="1"/>
  <c r="Q27" i="1"/>
  <c r="S51" i="1"/>
  <c r="Z49" i="1"/>
  <c r="X41" i="1"/>
  <c r="X16" i="1"/>
  <c r="W43" i="1"/>
  <c r="W27" i="1"/>
  <c r="W11" i="1"/>
  <c r="V43" i="1"/>
  <c r="V27" i="1"/>
  <c r="V11" i="1"/>
  <c r="P54" i="1"/>
  <c r="P46" i="1"/>
  <c r="P38" i="1"/>
  <c r="P30" i="1"/>
  <c r="P22" i="1"/>
  <c r="P14" i="1"/>
  <c r="R40" i="1"/>
  <c r="Z47" i="1"/>
  <c r="Y46" i="1"/>
  <c r="Y9" i="1"/>
  <c r="X33" i="1"/>
  <c r="X8" i="1"/>
  <c r="W42" i="1"/>
  <c r="W26" i="1"/>
  <c r="W7" i="1"/>
  <c r="V41" i="1"/>
  <c r="V25" i="1"/>
  <c r="S55" i="1"/>
  <c r="P53" i="1"/>
  <c r="P45" i="1"/>
  <c r="P37" i="1"/>
  <c r="P29" i="1"/>
  <c r="P21" i="1"/>
  <c r="P13" i="1"/>
  <c r="X7" i="1"/>
  <c r="W25" i="1"/>
  <c r="V23" i="1"/>
  <c r="P52" i="1"/>
  <c r="P28" i="1"/>
  <c r="R28" i="1"/>
  <c r="Z35" i="1"/>
  <c r="Y35" i="1"/>
  <c r="X56" i="1"/>
  <c r="X31" i="1"/>
  <c r="W55" i="1"/>
  <c r="W39" i="1"/>
  <c r="W19" i="1"/>
  <c r="V53" i="1"/>
  <c r="V37" i="1"/>
  <c r="V19" i="1"/>
  <c r="S34" i="1"/>
  <c r="P51" i="1"/>
  <c r="P43" i="1"/>
  <c r="P35" i="1"/>
  <c r="P27" i="1"/>
  <c r="P19" i="1"/>
  <c r="P11" i="1"/>
  <c r="V55" i="1"/>
  <c r="P20" i="1"/>
  <c r="Q52" i="1"/>
  <c r="Q15" i="1"/>
  <c r="R16" i="1"/>
  <c r="Z23" i="1"/>
  <c r="Y33" i="1"/>
  <c r="X55" i="1"/>
  <c r="X29" i="1"/>
  <c r="W53" i="1"/>
  <c r="W37" i="1"/>
  <c r="W18" i="1"/>
  <c r="V52" i="1"/>
  <c r="V36" i="1"/>
  <c r="V17" i="1"/>
  <c r="S31" i="1"/>
  <c r="P50" i="1"/>
  <c r="P42" i="1"/>
  <c r="P34" i="1"/>
  <c r="P26" i="1"/>
  <c r="P18" i="1"/>
  <c r="P10" i="1"/>
  <c r="W41" i="1"/>
  <c r="Q13" i="1"/>
  <c r="R15" i="1"/>
  <c r="Z21" i="1"/>
  <c r="Y31" i="1"/>
  <c r="X47" i="1"/>
  <c r="X21" i="1"/>
  <c r="W51" i="1"/>
  <c r="W33" i="1"/>
  <c r="W17" i="1"/>
  <c r="V51" i="1"/>
  <c r="V31" i="1"/>
  <c r="V15" i="1"/>
  <c r="P6" i="1"/>
  <c r="P49" i="1"/>
  <c r="P41" i="1"/>
  <c r="P33" i="1"/>
  <c r="P25" i="1"/>
  <c r="P17" i="1"/>
  <c r="P9" i="1"/>
  <c r="P44" i="1"/>
  <c r="P36" i="1"/>
  <c r="U15" i="1"/>
  <c r="AA8" i="1"/>
  <c r="Q41" i="1"/>
  <c r="R55" i="1"/>
  <c r="W6" i="1"/>
  <c r="Z11" i="1"/>
  <c r="Y22" i="1"/>
  <c r="X45" i="1"/>
  <c r="X19" i="1"/>
  <c r="W50" i="1"/>
  <c r="W31" i="1"/>
  <c r="W15" i="1"/>
  <c r="V49" i="1"/>
  <c r="V29" i="1"/>
  <c r="V13" i="1"/>
  <c r="P56" i="1"/>
  <c r="P48" i="1"/>
  <c r="P40" i="1"/>
  <c r="P32" i="1"/>
  <c r="P24" i="1"/>
  <c r="P16" i="1"/>
  <c r="P8" i="1"/>
  <c r="V39" i="1"/>
  <c r="P12" i="1"/>
  <c r="Y6" i="1"/>
  <c r="X43" i="1"/>
  <c r="W45" i="1"/>
  <c r="W29" i="1"/>
  <c r="W13" i="1"/>
  <c r="V44" i="1"/>
  <c r="V28" i="1"/>
  <c r="P55" i="1"/>
  <c r="P47" i="1"/>
  <c r="P39" i="1"/>
  <c r="P31" i="1"/>
  <c r="P23" i="1"/>
  <c r="P15" i="1"/>
  <c r="AA50" i="1"/>
  <c r="AA11" i="1"/>
  <c r="AA47" i="1"/>
  <c r="AA34" i="1"/>
  <c r="AA21" i="1"/>
  <c r="AA9" i="1"/>
  <c r="AA45" i="1"/>
  <c r="AA33" i="1"/>
  <c r="AA19" i="1"/>
  <c r="AA7" i="1"/>
  <c r="AA25" i="1"/>
  <c r="AA49" i="1"/>
  <c r="AA35" i="1"/>
  <c r="AA23" i="1"/>
  <c r="AA10" i="1"/>
  <c r="AA6" i="1"/>
  <c r="AA43" i="1"/>
  <c r="AA31" i="1"/>
  <c r="AA18" i="1"/>
  <c r="AA37" i="1"/>
  <c r="AA55" i="1"/>
  <c r="AA42" i="1"/>
  <c r="AA29" i="1"/>
  <c r="AA17" i="1"/>
  <c r="AA53" i="1"/>
  <c r="AA41" i="1"/>
  <c r="AA27" i="1"/>
  <c r="AA15" i="1"/>
  <c r="AA51" i="1"/>
  <c r="AA39" i="1"/>
  <c r="AA26" i="1"/>
  <c r="AA13" i="1"/>
  <c r="T14" i="1"/>
  <c r="T22" i="1"/>
  <c r="T30" i="1"/>
  <c r="T38" i="1"/>
  <c r="T46" i="1"/>
  <c r="T54" i="1"/>
  <c r="T6" i="1"/>
  <c r="T7" i="1"/>
  <c r="T15" i="1"/>
  <c r="T23" i="1"/>
  <c r="T10" i="1"/>
  <c r="T18" i="1"/>
  <c r="T26" i="1"/>
  <c r="T34" i="1"/>
  <c r="T42" i="1"/>
  <c r="T50" i="1"/>
  <c r="T11" i="1"/>
  <c r="T19" i="1"/>
  <c r="T27" i="1"/>
  <c r="T35" i="1"/>
  <c r="T12" i="1"/>
  <c r="T20" i="1"/>
  <c r="T28" i="1"/>
  <c r="T36" i="1"/>
  <c r="T44" i="1"/>
  <c r="T52" i="1"/>
  <c r="U43" i="1"/>
  <c r="U17" i="1"/>
  <c r="T41" i="1"/>
  <c r="U54" i="1"/>
  <c r="U29" i="1"/>
  <c r="T53" i="1"/>
  <c r="T24" i="1"/>
  <c r="Z10" i="1"/>
  <c r="Z18" i="1"/>
  <c r="Z26" i="1"/>
  <c r="Z34" i="1"/>
  <c r="Z42" i="1"/>
  <c r="Z50" i="1"/>
  <c r="Z14" i="1"/>
  <c r="Z22" i="1"/>
  <c r="Z30" i="1"/>
  <c r="Z38" i="1"/>
  <c r="Z46" i="1"/>
  <c r="Z54" i="1"/>
  <c r="Z8" i="1"/>
  <c r="Z16" i="1"/>
  <c r="Z24" i="1"/>
  <c r="Z32" i="1"/>
  <c r="Z40" i="1"/>
  <c r="Z48" i="1"/>
  <c r="Z56" i="1"/>
  <c r="R13" i="1"/>
  <c r="R21" i="1"/>
  <c r="R29" i="1"/>
  <c r="R37" i="1"/>
  <c r="R45" i="1"/>
  <c r="R53" i="1"/>
  <c r="R9" i="1"/>
  <c r="R17" i="1"/>
  <c r="R25" i="1"/>
  <c r="R33" i="1"/>
  <c r="R41" i="1"/>
  <c r="R49" i="1"/>
  <c r="R6" i="1"/>
  <c r="R11" i="1"/>
  <c r="R19" i="1"/>
  <c r="R27" i="1"/>
  <c r="R35" i="1"/>
  <c r="R43" i="1"/>
  <c r="R51" i="1"/>
  <c r="R39" i="1"/>
  <c r="Z45" i="1"/>
  <c r="Z20" i="1"/>
  <c r="Z7" i="1"/>
  <c r="U53" i="1"/>
  <c r="U39" i="1"/>
  <c r="U27" i="1"/>
  <c r="U14" i="1"/>
  <c r="T51" i="1"/>
  <c r="T39" i="1"/>
  <c r="T21" i="1"/>
  <c r="S50" i="1"/>
  <c r="S27" i="1"/>
  <c r="Y12" i="1"/>
  <c r="Y20" i="1"/>
  <c r="Y28" i="1"/>
  <c r="Y36" i="1"/>
  <c r="Y44" i="1"/>
  <c r="Y52" i="1"/>
  <c r="Y8" i="1"/>
  <c r="Y16" i="1"/>
  <c r="Y24" i="1"/>
  <c r="Y32" i="1"/>
  <c r="Y40" i="1"/>
  <c r="Y48" i="1"/>
  <c r="Y56" i="1"/>
  <c r="Y10" i="1"/>
  <c r="Y18" i="1"/>
  <c r="Y26" i="1"/>
  <c r="Y34" i="1"/>
  <c r="Y42" i="1"/>
  <c r="Y50" i="1"/>
  <c r="Q10" i="1"/>
  <c r="Q18" i="1"/>
  <c r="Q26" i="1"/>
  <c r="Q34" i="1"/>
  <c r="Q42" i="1"/>
  <c r="Q50" i="1"/>
  <c r="Q14" i="1"/>
  <c r="Q22" i="1"/>
  <c r="Q30" i="1"/>
  <c r="Q38" i="1"/>
  <c r="Q46" i="1"/>
  <c r="Q54" i="1"/>
  <c r="Q8" i="1"/>
  <c r="Q16" i="1"/>
  <c r="Q24" i="1"/>
  <c r="Q32" i="1"/>
  <c r="Q40" i="1"/>
  <c r="Q48" i="1"/>
  <c r="Q56" i="1"/>
  <c r="Q51" i="1"/>
  <c r="Q37" i="1"/>
  <c r="Q25" i="1"/>
  <c r="Q12" i="1"/>
  <c r="R50" i="1"/>
  <c r="R38" i="1"/>
  <c r="R24" i="1"/>
  <c r="R12" i="1"/>
  <c r="Z6" i="1"/>
  <c r="Z44" i="1"/>
  <c r="Z31" i="1"/>
  <c r="Z19" i="1"/>
  <c r="Y55" i="1"/>
  <c r="Y43" i="1"/>
  <c r="Y30" i="1"/>
  <c r="Y17" i="1"/>
  <c r="U51" i="1"/>
  <c r="U38" i="1"/>
  <c r="U25" i="1"/>
  <c r="U13" i="1"/>
  <c r="T49" i="1"/>
  <c r="T37" i="1"/>
  <c r="T17" i="1"/>
  <c r="S47" i="1"/>
  <c r="S26" i="1"/>
  <c r="X14" i="1"/>
  <c r="X22" i="1"/>
  <c r="X30" i="1"/>
  <c r="X38" i="1"/>
  <c r="X46" i="1"/>
  <c r="X54" i="1"/>
  <c r="X10" i="1"/>
  <c r="X18" i="1"/>
  <c r="X26" i="1"/>
  <c r="X34" i="1"/>
  <c r="X42" i="1"/>
  <c r="X50" i="1"/>
  <c r="X6" i="1"/>
  <c r="X12" i="1"/>
  <c r="X20" i="1"/>
  <c r="X28" i="1"/>
  <c r="X36" i="1"/>
  <c r="X44" i="1"/>
  <c r="X52" i="1"/>
  <c r="Q49" i="1"/>
  <c r="Q36" i="1"/>
  <c r="Q23" i="1"/>
  <c r="Q11" i="1"/>
  <c r="R48" i="1"/>
  <c r="R36" i="1"/>
  <c r="R23" i="1"/>
  <c r="R10" i="1"/>
  <c r="Z55" i="1"/>
  <c r="Z43" i="1"/>
  <c r="Z29" i="1"/>
  <c r="Z17" i="1"/>
  <c r="Y54" i="1"/>
  <c r="Y41" i="1"/>
  <c r="Y29" i="1"/>
  <c r="Y15" i="1"/>
  <c r="X53" i="1"/>
  <c r="X40" i="1"/>
  <c r="X27" i="1"/>
  <c r="X15" i="1"/>
  <c r="U49" i="1"/>
  <c r="U37" i="1"/>
  <c r="U23" i="1"/>
  <c r="U11" i="1"/>
  <c r="T48" i="1"/>
  <c r="T33" i="1"/>
  <c r="T16" i="1"/>
  <c r="S43" i="1"/>
  <c r="S23" i="1"/>
  <c r="Q47" i="1"/>
  <c r="Q35" i="1"/>
  <c r="Q21" i="1"/>
  <c r="Q9" i="1"/>
  <c r="R47" i="1"/>
  <c r="R34" i="1"/>
  <c r="R22" i="1"/>
  <c r="R8" i="1"/>
  <c r="Z53" i="1"/>
  <c r="Z28" i="1"/>
  <c r="Y53" i="1"/>
  <c r="Y27" i="1"/>
  <c r="X51" i="1"/>
  <c r="X39" i="1"/>
  <c r="X13" i="1"/>
  <c r="U47" i="1"/>
  <c r="U35" i="1"/>
  <c r="U22" i="1"/>
  <c r="U9" i="1"/>
  <c r="T47" i="1"/>
  <c r="T32" i="1"/>
  <c r="T13" i="1"/>
  <c r="S19" i="1"/>
  <c r="V10" i="1"/>
  <c r="V18" i="1"/>
  <c r="V26" i="1"/>
  <c r="V34" i="1"/>
  <c r="V42" i="1"/>
  <c r="V50" i="1"/>
  <c r="V14" i="1"/>
  <c r="V22" i="1"/>
  <c r="V30" i="1"/>
  <c r="V38" i="1"/>
  <c r="V46" i="1"/>
  <c r="V54" i="1"/>
  <c r="V8" i="1"/>
  <c r="V16" i="1"/>
  <c r="V24" i="1"/>
  <c r="V32" i="1"/>
  <c r="V40" i="1"/>
  <c r="V48" i="1"/>
  <c r="V56" i="1"/>
  <c r="V6" i="1"/>
  <c r="Q45" i="1"/>
  <c r="Q33" i="1"/>
  <c r="Q20" i="1"/>
  <c r="Q7" i="1"/>
  <c r="R46" i="1"/>
  <c r="R32" i="1"/>
  <c r="R20" i="1"/>
  <c r="R7" i="1"/>
  <c r="Z52" i="1"/>
  <c r="Z39" i="1"/>
  <c r="Z27" i="1"/>
  <c r="Z13" i="1"/>
  <c r="Y51" i="1"/>
  <c r="Y38" i="1"/>
  <c r="Y25" i="1"/>
  <c r="Y13" i="1"/>
  <c r="X49" i="1"/>
  <c r="X37" i="1"/>
  <c r="X24" i="1"/>
  <c r="X11" i="1"/>
  <c r="W49" i="1"/>
  <c r="W35" i="1"/>
  <c r="W23" i="1"/>
  <c r="W10" i="1"/>
  <c r="V47" i="1"/>
  <c r="V35" i="1"/>
  <c r="V21" i="1"/>
  <c r="V9" i="1"/>
  <c r="U46" i="1"/>
  <c r="U33" i="1"/>
  <c r="U21" i="1"/>
  <c r="T45" i="1"/>
  <c r="T31" i="1"/>
  <c r="T9" i="1"/>
  <c r="S39" i="1"/>
  <c r="U6" i="1"/>
  <c r="U55" i="1"/>
  <c r="U30" i="1"/>
  <c r="T55" i="1"/>
  <c r="T25" i="1"/>
  <c r="U41" i="1"/>
  <c r="T40" i="1"/>
  <c r="S7" i="1"/>
  <c r="S17" i="1"/>
  <c r="S25" i="1"/>
  <c r="S33" i="1"/>
  <c r="S41" i="1"/>
  <c r="S49" i="1"/>
  <c r="S9" i="1"/>
  <c r="S10" i="1"/>
  <c r="S11" i="1"/>
  <c r="S21" i="1"/>
  <c r="S29" i="1"/>
  <c r="S37" i="1"/>
  <c r="S45" i="1"/>
  <c r="S53" i="1"/>
  <c r="S13" i="1"/>
  <c r="R52" i="1"/>
  <c r="R26" i="1"/>
  <c r="R14" i="1"/>
  <c r="Z33" i="1"/>
  <c r="Z41" i="1"/>
  <c r="Z15" i="1"/>
  <c r="Y39" i="1"/>
  <c r="Y14" i="1"/>
  <c r="X25" i="1"/>
  <c r="S42" i="1"/>
  <c r="U12" i="1"/>
  <c r="U20" i="1"/>
  <c r="U28" i="1"/>
  <c r="U36" i="1"/>
  <c r="U44" i="1"/>
  <c r="U52" i="1"/>
  <c r="U8" i="1"/>
  <c r="U16" i="1"/>
  <c r="U24" i="1"/>
  <c r="U32" i="1"/>
  <c r="U40" i="1"/>
  <c r="U48" i="1"/>
  <c r="U56" i="1"/>
  <c r="U10" i="1"/>
  <c r="U18" i="1"/>
  <c r="U26" i="1"/>
  <c r="U34" i="1"/>
  <c r="U42" i="1"/>
  <c r="U50" i="1"/>
  <c r="Q6" i="1"/>
  <c r="Q44" i="1"/>
  <c r="Q31" i="1"/>
  <c r="Q19" i="1"/>
  <c r="R56" i="1"/>
  <c r="R44" i="1"/>
  <c r="R31" i="1"/>
  <c r="R18" i="1"/>
  <c r="S6" i="1"/>
  <c r="Z51" i="1"/>
  <c r="Z37" i="1"/>
  <c r="Z25" i="1"/>
  <c r="Z12" i="1"/>
  <c r="Y49" i="1"/>
  <c r="Y37" i="1"/>
  <c r="Y23" i="1"/>
  <c r="Y11" i="1"/>
  <c r="X48" i="1"/>
  <c r="X35" i="1"/>
  <c r="X23" i="1"/>
  <c r="X9" i="1"/>
  <c r="W47" i="1"/>
  <c r="W34" i="1"/>
  <c r="W21" i="1"/>
  <c r="V45" i="1"/>
  <c r="V33" i="1"/>
  <c r="V20" i="1"/>
  <c r="V7" i="1"/>
  <c r="U45" i="1"/>
  <c r="U31" i="1"/>
  <c r="U19" i="1"/>
  <c r="T56" i="1"/>
  <c r="T43" i="1"/>
  <c r="T29" i="1"/>
  <c r="T8" i="1"/>
  <c r="S35" i="1"/>
  <c r="S15" i="1"/>
  <c r="AA54" i="1"/>
  <c r="AA46" i="1"/>
  <c r="AA38" i="1"/>
  <c r="AA30" i="1"/>
  <c r="AA22" i="1"/>
  <c r="AA14" i="1"/>
  <c r="W54" i="1"/>
  <c r="W46" i="1"/>
  <c r="W38" i="1"/>
  <c r="W30" i="1"/>
  <c r="W22" i="1"/>
  <c r="W14" i="1"/>
  <c r="S54" i="1"/>
  <c r="S46" i="1"/>
  <c r="S38" i="1"/>
  <c r="S30" i="1"/>
  <c r="S22" i="1"/>
  <c r="S14" i="1"/>
  <c r="AA52" i="1"/>
  <c r="AA44" i="1"/>
  <c r="AA36" i="1"/>
  <c r="AA28" i="1"/>
  <c r="AA20" i="1"/>
  <c r="AA12" i="1"/>
  <c r="W52" i="1"/>
  <c r="W44" i="1"/>
  <c r="W36" i="1"/>
  <c r="W28" i="1"/>
  <c r="W20" i="1"/>
  <c r="W12" i="1"/>
  <c r="S52" i="1"/>
  <c r="S44" i="1"/>
  <c r="S36" i="1"/>
  <c r="S28" i="1"/>
  <c r="S20" i="1"/>
  <c r="S12" i="1"/>
  <c r="AA56" i="1"/>
  <c r="AA48" i="1"/>
  <c r="AA40" i="1"/>
  <c r="AA32" i="1"/>
  <c r="AA24" i="1"/>
  <c r="AA16" i="1"/>
  <c r="W56" i="1"/>
  <c r="W48" i="1"/>
  <c r="W40" i="1"/>
  <c r="W32" i="1"/>
  <c r="W24" i="1"/>
  <c r="W16" i="1"/>
  <c r="S56" i="1"/>
  <c r="S48" i="1"/>
  <c r="S40" i="1"/>
  <c r="S32" i="1"/>
  <c r="S24" i="1"/>
  <c r="S16" i="1"/>
  <c r="W2" i="1" l="1"/>
  <c r="Y2" i="1"/>
  <c r="P2" i="1"/>
  <c r="P3" i="1"/>
  <c r="R2" i="1"/>
  <c r="R3" i="1"/>
  <c r="X2" i="1"/>
  <c r="X3" i="1"/>
  <c r="W3" i="1"/>
  <c r="T3" i="1"/>
  <c r="T2" i="1"/>
  <c r="Y3" i="1"/>
  <c r="V2" i="1"/>
  <c r="V3" i="1"/>
  <c r="Z2" i="1"/>
  <c r="Z3" i="1"/>
  <c r="U3" i="1"/>
  <c r="U2" i="1"/>
  <c r="S3" i="1"/>
  <c r="S2" i="1"/>
  <c r="Q2" i="1"/>
  <c r="Q3" i="1"/>
  <c r="AA2" i="1"/>
  <c r="AA3" i="1"/>
  <c r="AC7" i="1" l="1"/>
  <c r="AD35" i="1"/>
  <c r="AC39" i="1"/>
  <c r="AD15" i="1"/>
  <c r="AC44" i="1"/>
  <c r="AD26" i="1"/>
  <c r="AD25" i="1"/>
  <c r="AD31" i="1"/>
  <c r="AD18" i="1"/>
  <c r="AC48" i="1"/>
  <c r="AD42" i="1"/>
  <c r="AD17" i="1"/>
  <c r="AD16" i="1"/>
  <c r="AD10" i="1"/>
  <c r="AD21" i="1"/>
  <c r="AD7" i="1"/>
  <c r="AD9" i="1"/>
  <c r="AD54" i="1"/>
  <c r="AC23" i="1"/>
  <c r="AD36" i="1"/>
  <c r="AD11" i="1"/>
  <c r="AD56" i="1"/>
  <c r="AD12" i="1"/>
  <c r="AD22" i="1"/>
  <c r="AC11" i="1"/>
  <c r="AC42" i="1"/>
  <c r="AD37" i="1"/>
  <c r="AD52" i="1"/>
  <c r="AC50" i="1"/>
  <c r="AC14" i="1"/>
  <c r="AD13" i="1"/>
  <c r="AD50" i="1"/>
  <c r="AD20" i="1"/>
  <c r="AD48" i="1"/>
  <c r="AD29" i="1"/>
  <c r="AD14" i="1"/>
  <c r="AD53" i="1"/>
  <c r="AC6" i="1"/>
  <c r="AC13" i="1"/>
  <c r="AE13" i="1" s="1"/>
  <c r="AD6" i="1"/>
  <c r="AD40" i="1"/>
  <c r="AD43" i="1"/>
  <c r="AC51" i="1"/>
  <c r="AC35" i="1"/>
  <c r="AD44" i="1"/>
  <c r="AE44" i="1" s="1"/>
  <c r="AC41" i="1"/>
  <c r="AD49" i="1"/>
  <c r="AD32" i="1"/>
  <c r="AD41" i="1"/>
  <c r="AD27" i="1"/>
  <c r="AD19" i="1"/>
  <c r="AC38" i="1"/>
  <c r="AC56" i="1"/>
  <c r="AD28" i="1"/>
  <c r="AD34" i="1"/>
  <c r="AC55" i="1"/>
  <c r="AD51" i="1"/>
  <c r="AD33" i="1"/>
  <c r="AD24" i="1"/>
  <c r="AC18" i="1"/>
  <c r="AC47" i="1"/>
  <c r="AC54" i="1"/>
  <c r="AC9" i="1"/>
  <c r="AC20" i="1"/>
  <c r="AC25" i="1"/>
  <c r="AC31" i="1"/>
  <c r="AC22" i="1"/>
  <c r="AC8" i="1"/>
  <c r="AC43" i="1"/>
  <c r="AC15" i="1"/>
  <c r="AC53" i="1"/>
  <c r="AC32" i="1"/>
  <c r="AE32" i="1" s="1"/>
  <c r="AC27" i="1"/>
  <c r="AC24" i="1"/>
  <c r="AC12" i="1"/>
  <c r="AC45" i="1"/>
  <c r="AC30" i="1"/>
  <c r="AC40" i="1"/>
  <c r="AC33" i="1"/>
  <c r="AC21" i="1"/>
  <c r="AC52" i="1"/>
  <c r="AC49" i="1"/>
  <c r="AC37" i="1"/>
  <c r="AC34" i="1"/>
  <c r="AC36" i="1"/>
  <c r="AC19" i="1"/>
  <c r="AD8" i="1"/>
  <c r="AD55" i="1"/>
  <c r="AD46" i="1"/>
  <c r="AC16" i="1"/>
  <c r="AC29" i="1"/>
  <c r="AC17" i="1"/>
  <c r="AC28" i="1"/>
  <c r="AC10" i="1"/>
  <c r="AE10" i="1" s="1"/>
  <c r="AD45" i="1"/>
  <c r="AD47" i="1"/>
  <c r="AD38" i="1"/>
  <c r="AD39" i="1"/>
  <c r="AE39" i="1" s="1"/>
  <c r="AD30" i="1"/>
  <c r="AC26" i="1"/>
  <c r="AC46" i="1"/>
  <c r="AD23" i="1"/>
  <c r="AE36" i="1" l="1"/>
  <c r="AE15" i="1"/>
  <c r="AG15" i="1" s="1"/>
  <c r="AE53" i="1"/>
  <c r="AF53" i="1" s="1"/>
  <c r="AE48" i="1"/>
  <c r="AG48" i="1" s="1"/>
  <c r="AE27" i="1"/>
  <c r="AG27" i="1" s="1"/>
  <c r="AE33" i="1"/>
  <c r="AG33" i="1" s="1"/>
  <c r="AE23" i="1"/>
  <c r="AG23" i="1" s="1"/>
  <c r="AE19" i="1"/>
  <c r="AG19" i="1" s="1"/>
  <c r="AE54" i="1"/>
  <c r="AG54" i="1" s="1"/>
  <c r="AE17" i="1"/>
  <c r="AF17" i="1" s="1"/>
  <c r="AE43" i="1"/>
  <c r="AG43" i="1" s="1"/>
  <c r="AE29" i="1"/>
  <c r="AG29" i="1" s="1"/>
  <c r="AE37" i="1"/>
  <c r="AF37" i="1" s="1"/>
  <c r="AE35" i="1"/>
  <c r="AF35" i="1" s="1"/>
  <c r="AE24" i="1"/>
  <c r="AG24" i="1" s="1"/>
  <c r="AE42" i="1"/>
  <c r="AG42" i="1" s="1"/>
  <c r="AE16" i="1"/>
  <c r="AF16" i="1" s="1"/>
  <c r="AE7" i="1"/>
  <c r="AF7" i="1" s="1"/>
  <c r="AE34" i="1"/>
  <c r="AF34" i="1" s="1"/>
  <c r="AE20" i="1"/>
  <c r="AF20" i="1" s="1"/>
  <c r="AE18" i="1"/>
  <c r="AF18" i="1" s="1"/>
  <c r="AE26" i="1"/>
  <c r="AG26" i="1" s="1"/>
  <c r="AE51" i="1"/>
  <c r="AG51" i="1" s="1"/>
  <c r="AE30" i="1"/>
  <c r="AG30" i="1" s="1"/>
  <c r="AE49" i="1"/>
  <c r="AG49" i="1" s="1"/>
  <c r="AE12" i="1"/>
  <c r="AF12" i="1" s="1"/>
  <c r="AE22" i="1"/>
  <c r="AG22" i="1" s="1"/>
  <c r="AE14" i="1"/>
  <c r="AF14" i="1" s="1"/>
  <c r="AE9" i="1"/>
  <c r="AG9" i="1" s="1"/>
  <c r="AE40" i="1"/>
  <c r="AG40" i="1" s="1"/>
  <c r="AE41" i="1"/>
  <c r="AG41" i="1" s="1"/>
  <c r="AE55" i="1"/>
  <c r="AF55" i="1" s="1"/>
  <c r="AE31" i="1"/>
  <c r="AG31" i="1" s="1"/>
  <c r="AE6" i="1"/>
  <c r="AG6" i="1" s="1"/>
  <c r="AE45" i="1"/>
  <c r="AF45" i="1" s="1"/>
  <c r="AE8" i="1"/>
  <c r="AG8" i="1" s="1"/>
  <c r="AE21" i="1"/>
  <c r="AF21" i="1" s="1"/>
  <c r="AE25" i="1"/>
  <c r="AF25" i="1" s="1"/>
  <c r="AG39" i="1"/>
  <c r="AF39" i="1"/>
  <c r="AE56" i="1"/>
  <c r="AG44" i="1"/>
  <c r="AF44" i="1"/>
  <c r="AE47" i="1"/>
  <c r="AF10" i="1"/>
  <c r="AG10" i="1"/>
  <c r="AG32" i="1"/>
  <c r="AF32" i="1"/>
  <c r="AE28" i="1"/>
  <c r="AF36" i="1"/>
  <c r="AG36" i="1"/>
  <c r="AE38" i="1"/>
  <c r="AE46" i="1"/>
  <c r="AF13" i="1"/>
  <c r="AG13" i="1"/>
  <c r="AE52" i="1"/>
  <c r="AE11" i="1"/>
  <c r="AE50" i="1"/>
  <c r="AF15" i="1" l="1"/>
  <c r="AG53" i="1"/>
  <c r="AF23" i="1"/>
  <c r="AF33" i="1"/>
  <c r="AG7" i="1"/>
  <c r="AF42" i="1"/>
  <c r="AF24" i="1"/>
  <c r="AF6" i="1"/>
  <c r="AG37" i="1"/>
  <c r="AF29" i="1"/>
  <c r="AF27" i="1"/>
  <c r="AG16" i="1"/>
  <c r="AF48" i="1"/>
  <c r="AF19" i="1"/>
  <c r="AF31" i="1"/>
  <c r="AG35" i="1"/>
  <c r="AG17" i="1"/>
  <c r="AF54" i="1"/>
  <c r="AG20" i="1"/>
  <c r="AG34" i="1"/>
  <c r="AF43" i="1"/>
  <c r="AF26" i="1"/>
  <c r="AG25" i="1"/>
  <c r="AG18" i="1"/>
  <c r="AG12" i="1"/>
  <c r="AF22" i="1"/>
  <c r="AF8" i="1"/>
  <c r="AF40" i="1"/>
  <c r="AF30" i="1"/>
  <c r="AG55" i="1"/>
  <c r="AF49" i="1"/>
  <c r="AF51" i="1"/>
  <c r="AF41" i="1"/>
  <c r="AF9" i="1"/>
  <c r="AG45" i="1"/>
  <c r="AG14" i="1"/>
  <c r="AG21" i="1"/>
  <c r="AG47" i="1"/>
  <c r="AF47" i="1"/>
  <c r="AG56" i="1"/>
  <c r="AF56" i="1"/>
  <c r="AG50" i="1"/>
  <c r="AF50" i="1"/>
  <c r="AF38" i="1"/>
  <c r="AG38" i="1"/>
  <c r="AG28" i="1"/>
  <c r="AF28" i="1"/>
  <c r="AG52" i="1"/>
  <c r="AF52" i="1"/>
  <c r="AF46" i="1"/>
  <c r="AG46" i="1"/>
  <c r="AG11" i="1"/>
  <c r="AF11" i="1"/>
  <c r="AE57" i="1"/>
  <c r="BD3" i="1" l="1"/>
  <c r="AG57" i="1"/>
  <c r="AY3" i="1" s="1"/>
  <c r="AF57" i="1"/>
  <c r="AE2" i="1" s="1"/>
  <c r="AV3" i="1" l="1"/>
  <c r="BC3" i="1"/>
  <c r="BF3" i="1"/>
  <c r="AW3" i="1"/>
  <c r="AJ3" i="1"/>
  <c r="BB3" i="1"/>
  <c r="BA3" i="1"/>
  <c r="AX3" i="1"/>
  <c r="AZ3" i="1"/>
  <c r="BE3" i="1"/>
  <c r="AG3" i="1"/>
  <c r="AP3" i="1"/>
  <c r="AM3" i="1"/>
  <c r="AO3" i="1"/>
  <c r="AF3" i="1"/>
  <c r="AE3" i="1"/>
  <c r="AK3" i="1"/>
  <c r="AL3" i="1"/>
  <c r="AI3" i="1"/>
  <c r="AH3" i="1"/>
  <c r="AN3" i="1"/>
  <c r="AJ2" i="1"/>
  <c r="AZ2" i="1" s="1"/>
  <c r="AM2" i="1"/>
  <c r="BC2" i="1" s="1"/>
  <c r="AF2" i="1"/>
  <c r="AV2" i="1" s="1"/>
  <c r="AO2" i="1"/>
  <c r="BE2" i="1" s="1"/>
  <c r="AK2" i="1"/>
  <c r="BA2" i="1" s="1"/>
  <c r="AL2" i="1"/>
  <c r="BB2" i="1" s="1"/>
  <c r="AI2" i="1"/>
  <c r="AY2" i="1" s="1"/>
  <c r="AP2" i="1"/>
  <c r="BF2" i="1" s="1"/>
  <c r="AG2" i="1"/>
  <c r="AW2" i="1" s="1"/>
  <c r="AH2" i="1"/>
  <c r="AX2" i="1" s="1"/>
  <c r="AN2" i="1"/>
  <c r="BD2" i="1" s="1"/>
  <c r="AU3" i="1"/>
  <c r="BI8" i="1" l="1"/>
  <c r="BI16" i="1"/>
  <c r="BI24" i="1"/>
  <c r="BI32" i="1"/>
  <c r="BI40" i="1"/>
  <c r="BI48" i="1"/>
  <c r="BI56" i="1"/>
  <c r="BI17" i="1"/>
  <c r="BI25" i="1"/>
  <c r="BI41" i="1"/>
  <c r="BI49" i="1"/>
  <c r="BI11" i="1"/>
  <c r="BI35" i="1"/>
  <c r="BI13" i="1"/>
  <c r="BI21" i="1"/>
  <c r="BI37" i="1"/>
  <c r="BI53" i="1"/>
  <c r="BI6" i="1"/>
  <c r="BI22" i="1"/>
  <c r="BI38" i="1"/>
  <c r="BI54" i="1"/>
  <c r="BI7" i="1"/>
  <c r="BI23" i="1"/>
  <c r="BI39" i="1"/>
  <c r="BI55" i="1"/>
  <c r="BI9" i="1"/>
  <c r="BI33" i="1"/>
  <c r="BI19" i="1"/>
  <c r="BI43" i="1"/>
  <c r="BI12" i="1"/>
  <c r="BI20" i="1"/>
  <c r="BI28" i="1"/>
  <c r="BI36" i="1"/>
  <c r="BI44" i="1"/>
  <c r="BI52" i="1"/>
  <c r="BI14" i="1"/>
  <c r="BI30" i="1"/>
  <c r="BI46" i="1"/>
  <c r="BI15" i="1"/>
  <c r="BI31" i="1"/>
  <c r="BI47" i="1"/>
  <c r="BI10" i="1"/>
  <c r="BI18" i="1"/>
  <c r="BI26" i="1"/>
  <c r="BI34" i="1"/>
  <c r="BI42" i="1"/>
  <c r="BI50" i="1"/>
  <c r="BI27" i="1"/>
  <c r="BI51" i="1"/>
  <c r="BI29" i="1"/>
  <c r="BI45" i="1"/>
  <c r="AS11" i="1"/>
  <c r="AS19" i="1"/>
  <c r="AS27" i="1"/>
  <c r="AS35" i="1"/>
  <c r="AS43" i="1"/>
  <c r="AS51" i="1"/>
  <c r="AS53" i="1"/>
  <c r="AS7" i="1"/>
  <c r="AS31" i="1"/>
  <c r="AS47" i="1"/>
  <c r="AS8" i="1"/>
  <c r="AS24" i="1"/>
  <c r="AS40" i="1"/>
  <c r="AS56" i="1"/>
  <c r="AS34" i="1"/>
  <c r="AS12" i="1"/>
  <c r="AS20" i="1"/>
  <c r="AS28" i="1"/>
  <c r="AS36" i="1"/>
  <c r="AS44" i="1"/>
  <c r="AS52" i="1"/>
  <c r="AS13" i="1"/>
  <c r="AS21" i="1"/>
  <c r="AS29" i="1"/>
  <c r="AS37" i="1"/>
  <c r="AS45" i="1"/>
  <c r="AS54" i="1"/>
  <c r="AS15" i="1"/>
  <c r="AS23" i="1"/>
  <c r="AS39" i="1"/>
  <c r="AS55" i="1"/>
  <c r="AS16" i="1"/>
  <c r="AS32" i="1"/>
  <c r="AS48" i="1"/>
  <c r="AS26" i="1"/>
  <c r="AS14" i="1"/>
  <c r="AS22" i="1"/>
  <c r="AS30" i="1"/>
  <c r="AS38" i="1"/>
  <c r="AS46" i="1"/>
  <c r="AS9" i="1"/>
  <c r="AS17" i="1"/>
  <c r="AS25" i="1"/>
  <c r="AS33" i="1"/>
  <c r="AS41" i="1"/>
  <c r="AS49" i="1"/>
  <c r="AS6" i="1"/>
  <c r="AS10" i="1"/>
  <c r="AS18" i="1"/>
  <c r="AS42" i="1"/>
  <c r="AS50" i="1"/>
  <c r="AU2" i="1"/>
  <c r="BH24" i="1" s="1"/>
  <c r="AT14" i="1"/>
  <c r="AT22" i="1"/>
  <c r="AT30" i="1"/>
  <c r="AT38" i="1"/>
  <c r="AT46" i="1"/>
  <c r="AT54" i="1"/>
  <c r="AT7" i="1"/>
  <c r="AT15" i="1"/>
  <c r="AT23" i="1"/>
  <c r="AT31" i="1"/>
  <c r="AT39" i="1"/>
  <c r="AT47" i="1"/>
  <c r="AT55" i="1"/>
  <c r="AT8" i="1"/>
  <c r="AT16" i="1"/>
  <c r="AT24" i="1"/>
  <c r="AT32" i="1"/>
  <c r="AT40" i="1"/>
  <c r="AT48" i="1"/>
  <c r="AT56" i="1"/>
  <c r="AT51" i="1"/>
  <c r="AT9" i="1"/>
  <c r="AT17" i="1"/>
  <c r="AT25" i="1"/>
  <c r="AT33" i="1"/>
  <c r="AT41" i="1"/>
  <c r="AT49" i="1"/>
  <c r="AT6" i="1"/>
  <c r="AT10" i="1"/>
  <c r="AT18" i="1"/>
  <c r="AT26" i="1"/>
  <c r="AT34" i="1"/>
  <c r="AT42" i="1"/>
  <c r="AT50" i="1"/>
  <c r="AT11" i="1"/>
  <c r="AT19" i="1"/>
  <c r="AT27" i="1"/>
  <c r="AT35" i="1"/>
  <c r="AT43" i="1"/>
  <c r="AT12" i="1"/>
  <c r="AT20" i="1"/>
  <c r="AT28" i="1"/>
  <c r="AT36" i="1"/>
  <c r="AT44" i="1"/>
  <c r="AT52" i="1"/>
  <c r="AT13" i="1"/>
  <c r="AT21" i="1"/>
  <c r="AT29" i="1"/>
  <c r="AT37" i="1"/>
  <c r="AT45" i="1"/>
  <c r="AT53" i="1"/>
  <c r="AU10" i="1" l="1"/>
  <c r="AU46" i="1"/>
  <c r="AU16" i="1"/>
  <c r="AU29" i="1"/>
  <c r="AU12" i="1"/>
  <c r="AU7" i="1"/>
  <c r="AV7" i="1" s="1"/>
  <c r="BH31" i="1"/>
  <c r="AU55" i="1"/>
  <c r="AW55" i="1" s="1"/>
  <c r="AU21" i="1"/>
  <c r="AU34" i="1"/>
  <c r="BH9" i="1"/>
  <c r="AU13" i="1"/>
  <c r="AU51" i="1"/>
  <c r="AU52" i="1"/>
  <c r="AW52" i="1" s="1"/>
  <c r="AU43" i="1"/>
  <c r="AW43" i="1" s="1"/>
  <c r="BH6" i="1"/>
  <c r="BH48" i="1"/>
  <c r="BH44" i="1"/>
  <c r="BH11" i="1"/>
  <c r="BJ11" i="1" s="1"/>
  <c r="BH20" i="1"/>
  <c r="BH40" i="1"/>
  <c r="BJ40" i="1" s="1"/>
  <c r="BL40" i="1" s="1"/>
  <c r="BH49" i="1"/>
  <c r="BJ49" i="1" s="1"/>
  <c r="BK49" i="1" s="1"/>
  <c r="BH43" i="1"/>
  <c r="BJ43" i="1" s="1"/>
  <c r="BL43" i="1" s="1"/>
  <c r="BH15" i="1"/>
  <c r="BH17" i="1"/>
  <c r="BH7" i="1"/>
  <c r="BH32" i="1"/>
  <c r="BH28" i="1"/>
  <c r="BJ28" i="1" s="1"/>
  <c r="BH47" i="1"/>
  <c r="BJ47" i="1" s="1"/>
  <c r="BL47" i="1" s="1"/>
  <c r="BH50" i="1"/>
  <c r="BJ50" i="1" s="1"/>
  <c r="BL50" i="1" s="1"/>
  <c r="BH55" i="1"/>
  <c r="BJ55" i="1" s="1"/>
  <c r="BL55" i="1" s="1"/>
  <c r="BH41" i="1"/>
  <c r="BJ41" i="1" s="1"/>
  <c r="BH45" i="1"/>
  <c r="BH18" i="1"/>
  <c r="BJ18" i="1" s="1"/>
  <c r="BH10" i="1"/>
  <c r="BH16" i="1"/>
  <c r="BH12" i="1"/>
  <c r="BJ12" i="1" s="1"/>
  <c r="BK12" i="1" s="1"/>
  <c r="BH39" i="1"/>
  <c r="BJ39" i="1" s="1"/>
  <c r="BL39" i="1" s="1"/>
  <c r="BH42" i="1"/>
  <c r="BJ42" i="1" s="1"/>
  <c r="BK42" i="1" s="1"/>
  <c r="BH54" i="1"/>
  <c r="BH33" i="1"/>
  <c r="BH46" i="1"/>
  <c r="BH26" i="1"/>
  <c r="BJ26" i="1" s="1"/>
  <c r="BK26" i="1" s="1"/>
  <c r="BH38" i="1"/>
  <c r="BJ38" i="1" s="1"/>
  <c r="BL38" i="1" s="1"/>
  <c r="BH37" i="1"/>
  <c r="BJ37" i="1" s="1"/>
  <c r="BH21" i="1"/>
  <c r="BJ21" i="1" s="1"/>
  <c r="BK21" i="1" s="1"/>
  <c r="BH8" i="1"/>
  <c r="BJ8" i="1" s="1"/>
  <c r="BL8" i="1" s="1"/>
  <c r="BH51" i="1"/>
  <c r="BH23" i="1"/>
  <c r="BJ23" i="1" s="1"/>
  <c r="BH34" i="1"/>
  <c r="BH53" i="1"/>
  <c r="BJ53" i="1" s="1"/>
  <c r="BK53" i="1" s="1"/>
  <c r="BH25" i="1"/>
  <c r="BH35" i="1"/>
  <c r="BJ35" i="1" s="1"/>
  <c r="BL35" i="1" s="1"/>
  <c r="BH22" i="1"/>
  <c r="BJ22" i="1" s="1"/>
  <c r="BH27" i="1"/>
  <c r="BJ27" i="1" s="1"/>
  <c r="BL27" i="1" s="1"/>
  <c r="BH52" i="1"/>
  <c r="BH29" i="1"/>
  <c r="BH14" i="1"/>
  <c r="BJ14" i="1" s="1"/>
  <c r="BH19" i="1"/>
  <c r="BJ19" i="1" s="1"/>
  <c r="BL19" i="1" s="1"/>
  <c r="BH36" i="1"/>
  <c r="BJ36" i="1" s="1"/>
  <c r="BH56" i="1"/>
  <c r="BJ56" i="1" s="1"/>
  <c r="BH30" i="1"/>
  <c r="BJ30" i="1" s="1"/>
  <c r="BH13" i="1"/>
  <c r="BJ13" i="1" s="1"/>
  <c r="BK13" i="1" s="1"/>
  <c r="AW29" i="1"/>
  <c r="AV29" i="1"/>
  <c r="AU38" i="1"/>
  <c r="AU53" i="1"/>
  <c r="AU30" i="1"/>
  <c r="AV51" i="1"/>
  <c r="AW51" i="1"/>
  <c r="AU22" i="1"/>
  <c r="AV43" i="1"/>
  <c r="AU33" i="1"/>
  <c r="AU14" i="1"/>
  <c r="AU15" i="1"/>
  <c r="AU44" i="1"/>
  <c r="AU24" i="1"/>
  <c r="AU35" i="1"/>
  <c r="AV10" i="1"/>
  <c r="AW10" i="1"/>
  <c r="AV34" i="1"/>
  <c r="AW34" i="1"/>
  <c r="AU39" i="1"/>
  <c r="AV52" i="1"/>
  <c r="AU50" i="1"/>
  <c r="AU25" i="1"/>
  <c r="AU26" i="1"/>
  <c r="AU54" i="1"/>
  <c r="AU36" i="1"/>
  <c r="AU8" i="1"/>
  <c r="AU27" i="1"/>
  <c r="AV16" i="1"/>
  <c r="AW16" i="1"/>
  <c r="AU6" i="1"/>
  <c r="AW21" i="1"/>
  <c r="AV21" i="1"/>
  <c r="AU56" i="1"/>
  <c r="AU41" i="1"/>
  <c r="AU40" i="1"/>
  <c r="BJ29" i="1"/>
  <c r="AU42" i="1"/>
  <c r="AU17" i="1"/>
  <c r="AU48" i="1"/>
  <c r="AU45" i="1"/>
  <c r="AU28" i="1"/>
  <c r="AU47" i="1"/>
  <c r="AU19" i="1"/>
  <c r="AW46" i="1"/>
  <c r="AV46" i="1"/>
  <c r="AW12" i="1"/>
  <c r="AV12" i="1"/>
  <c r="AU49" i="1"/>
  <c r="AV13" i="1"/>
  <c r="AW13" i="1"/>
  <c r="AU23" i="1"/>
  <c r="AU18" i="1"/>
  <c r="AU9" i="1"/>
  <c r="AU32" i="1"/>
  <c r="AU37" i="1"/>
  <c r="AU20" i="1"/>
  <c r="AU31" i="1"/>
  <c r="AU11" i="1"/>
  <c r="BJ46" i="1"/>
  <c r="BJ45" i="1"/>
  <c r="BK45" i="1" s="1"/>
  <c r="BJ31" i="1"/>
  <c r="BL31" i="1" s="1"/>
  <c r="BJ48" i="1"/>
  <c r="BK48" i="1" s="1"/>
  <c r="BJ15" i="1"/>
  <c r="BL15" i="1" s="1"/>
  <c r="BJ10" i="1"/>
  <c r="BL10" i="1" s="1"/>
  <c r="BJ33" i="1"/>
  <c r="BK33" i="1" s="1"/>
  <c r="BJ34" i="1"/>
  <c r="BL34" i="1" s="1"/>
  <c r="BJ54" i="1"/>
  <c r="BL54" i="1" s="1"/>
  <c r="BJ9" i="1"/>
  <c r="BK9" i="1" s="1"/>
  <c r="BJ20" i="1"/>
  <c r="BK20" i="1" s="1"/>
  <c r="BJ32" i="1"/>
  <c r="BK32" i="1" s="1"/>
  <c r="BJ24" i="1"/>
  <c r="BL24" i="1" s="1"/>
  <c r="BL26" i="1"/>
  <c r="BL23" i="1"/>
  <c r="BK23" i="1"/>
  <c r="BK18" i="1"/>
  <c r="BL18" i="1"/>
  <c r="BJ7" i="1"/>
  <c r="BJ44" i="1"/>
  <c r="BJ25" i="1"/>
  <c r="BK14" i="1"/>
  <c r="BL14" i="1"/>
  <c r="BL11" i="1"/>
  <c r="BK11" i="1"/>
  <c r="BL48" i="1"/>
  <c r="BJ51" i="1"/>
  <c r="BJ52" i="1"/>
  <c r="BJ17" i="1"/>
  <c r="BK46" i="1"/>
  <c r="BL46" i="1"/>
  <c r="BJ6" i="1"/>
  <c r="BK29" i="1"/>
  <c r="BL29" i="1"/>
  <c r="BK41" i="1"/>
  <c r="BL41" i="1"/>
  <c r="BJ16" i="1"/>
  <c r="BK8" i="1" l="1"/>
  <c r="AV55" i="1"/>
  <c r="AW7" i="1"/>
  <c r="BL53" i="1"/>
  <c r="BK40" i="1"/>
  <c r="BL12" i="1"/>
  <c r="BK19" i="1"/>
  <c r="BL36" i="1"/>
  <c r="BK36" i="1"/>
  <c r="BL13" i="1"/>
  <c r="BK55" i="1"/>
  <c r="AV8" i="1"/>
  <c r="AW8" i="1"/>
  <c r="AW15" i="1"/>
  <c r="AV15" i="1"/>
  <c r="AV47" i="1"/>
  <c r="AW47" i="1"/>
  <c r="AW22" i="1"/>
  <c r="AV22" i="1"/>
  <c r="AV28" i="1"/>
  <c r="AW28" i="1"/>
  <c r="AV36" i="1"/>
  <c r="AW36" i="1"/>
  <c r="AW9" i="1"/>
  <c r="AV9" i="1"/>
  <c r="AV30" i="1"/>
  <c r="AW30" i="1"/>
  <c r="AW17" i="1"/>
  <c r="AV17" i="1"/>
  <c r="AV25" i="1"/>
  <c r="AW25" i="1"/>
  <c r="AV33" i="1"/>
  <c r="AW33" i="1"/>
  <c r="AW23" i="1"/>
  <c r="AV23" i="1"/>
  <c r="AW42" i="1"/>
  <c r="AV42" i="1"/>
  <c r="AW50" i="1"/>
  <c r="AV50" i="1"/>
  <c r="AV38" i="1"/>
  <c r="AW38" i="1"/>
  <c r="AV20" i="1"/>
  <c r="AW20" i="1"/>
  <c r="AV39" i="1"/>
  <c r="AW39" i="1"/>
  <c r="AV37" i="1"/>
  <c r="AW37" i="1"/>
  <c r="AV45" i="1"/>
  <c r="AW45" i="1"/>
  <c r="AV48" i="1"/>
  <c r="AW48" i="1"/>
  <c r="AV53" i="1"/>
  <c r="AW53" i="1"/>
  <c r="AW11" i="1"/>
  <c r="AV11" i="1"/>
  <c r="AW49" i="1"/>
  <c r="AV49" i="1"/>
  <c r="AV41" i="1"/>
  <c r="AW41" i="1"/>
  <c r="AV24" i="1"/>
  <c r="AW24" i="1"/>
  <c r="AV56" i="1"/>
  <c r="AW56" i="1"/>
  <c r="AV44" i="1"/>
  <c r="AW44" i="1"/>
  <c r="AW32" i="1"/>
  <c r="AV32" i="1"/>
  <c r="AW54" i="1"/>
  <c r="AV54" i="1"/>
  <c r="AW26" i="1"/>
  <c r="AV26" i="1"/>
  <c r="AW14" i="1"/>
  <c r="AV14" i="1"/>
  <c r="AV18" i="1"/>
  <c r="AW18" i="1"/>
  <c r="AU57" i="1"/>
  <c r="AW6" i="1"/>
  <c r="AV6" i="1"/>
  <c r="AW31" i="1"/>
  <c r="AV31" i="1"/>
  <c r="AW19" i="1"/>
  <c r="AV19" i="1"/>
  <c r="AW40" i="1"/>
  <c r="AV40" i="1"/>
  <c r="AV27" i="1"/>
  <c r="AW27" i="1"/>
  <c r="AV35" i="1"/>
  <c r="AW35" i="1"/>
  <c r="BK34" i="1"/>
  <c r="BK10" i="1"/>
  <c r="BK50" i="1"/>
  <c r="BK38" i="1"/>
  <c r="BK54" i="1"/>
  <c r="BK15" i="1"/>
  <c r="BK39" i="1"/>
  <c r="BK43" i="1"/>
  <c r="BL45" i="1"/>
  <c r="BK31" i="1"/>
  <c r="BK27" i="1"/>
  <c r="BL33" i="1"/>
  <c r="BK35" i="1"/>
  <c r="BK47" i="1"/>
  <c r="BL42" i="1"/>
  <c r="BL49" i="1"/>
  <c r="BL20" i="1"/>
  <c r="BL9" i="1"/>
  <c r="BK24" i="1"/>
  <c r="BL21" i="1"/>
  <c r="BL32" i="1"/>
  <c r="BL51" i="1"/>
  <c r="BK51" i="1"/>
  <c r="BK17" i="1"/>
  <c r="BL17" i="1"/>
  <c r="BK25" i="1"/>
  <c r="BL25" i="1"/>
  <c r="BL7" i="1"/>
  <c r="BK7" i="1"/>
  <c r="BK52" i="1"/>
  <c r="BL52" i="1"/>
  <c r="BK28" i="1"/>
  <c r="BL28" i="1"/>
  <c r="BK56" i="1"/>
  <c r="BL56" i="1"/>
  <c r="BK30" i="1"/>
  <c r="BL30" i="1"/>
  <c r="BK37" i="1"/>
  <c r="BL37" i="1"/>
  <c r="BK22" i="1"/>
  <c r="BL22" i="1"/>
  <c r="BK16" i="1"/>
  <c r="BL16" i="1"/>
  <c r="BL6" i="1"/>
  <c r="BK6" i="1"/>
  <c r="BJ57" i="1"/>
  <c r="BK44" i="1"/>
  <c r="BL44" i="1"/>
  <c r="BK57" i="1" l="1"/>
  <c r="AV57" i="1"/>
  <c r="BL2" i="1" s="1"/>
  <c r="AW57" i="1"/>
  <c r="BU3" i="1" s="1"/>
  <c r="BQ3" i="1"/>
  <c r="BK3" i="1" l="1"/>
  <c r="BS2" i="1"/>
  <c r="BQ2" i="1"/>
  <c r="BL3" i="1"/>
  <c r="BS3" i="1"/>
  <c r="BN3" i="1"/>
  <c r="BM3" i="1"/>
  <c r="BN2" i="1"/>
  <c r="BP2" i="1"/>
  <c r="BT3" i="1"/>
  <c r="BP3" i="1"/>
  <c r="BO2" i="1"/>
  <c r="BM2" i="1"/>
  <c r="BO3" i="1"/>
  <c r="BR3" i="1"/>
  <c r="BR2" i="1"/>
  <c r="BT2" i="1"/>
  <c r="BU2" i="1"/>
  <c r="BK2" i="1"/>
  <c r="BJ3" i="1"/>
  <c r="BJ2" i="1"/>
</calcChain>
</file>

<file path=xl/sharedStrings.xml><?xml version="1.0" encoding="utf-8"?>
<sst xmlns="http://schemas.openxmlformats.org/spreadsheetml/2006/main" count="110" uniqueCount="29">
  <si>
    <t>MIN:</t>
  </si>
  <si>
    <t>MAX:</t>
  </si>
  <si>
    <t>Duration (ms)</t>
  </si>
  <si>
    <t>Popularity</t>
  </si>
  <si>
    <t>Danceability</t>
  </si>
  <si>
    <t>Energy</t>
  </si>
  <si>
    <t>Key</t>
  </si>
  <si>
    <t>Loudness</t>
  </si>
  <si>
    <t>Speechiness</t>
  </si>
  <si>
    <t>Acousticness</t>
  </si>
  <si>
    <t>Instrumentalness</t>
  </si>
  <si>
    <t>Liveness</t>
  </si>
  <si>
    <t>Valence</t>
  </si>
  <si>
    <t>Tempo</t>
  </si>
  <si>
    <t>DC0</t>
  </si>
  <si>
    <t>DC1</t>
  </si>
  <si>
    <t>Distancia a grupo más cercano</t>
  </si>
  <si>
    <t>Nuevos centroides</t>
  </si>
  <si>
    <t>Dato</t>
  </si>
  <si>
    <t>Min</t>
  </si>
  <si>
    <t>Max</t>
  </si>
  <si>
    <t>C0</t>
  </si>
  <si>
    <t>C1</t>
  </si>
  <si>
    <t>Distancia Min</t>
  </si>
  <si>
    <t>SUBIÓ</t>
  </si>
  <si>
    <t>Menor discantia de DC0</t>
  </si>
  <si>
    <t>Menor distancia de DC1</t>
  </si>
  <si>
    <t>Ahora esos son el centro</t>
  </si>
  <si>
    <t>Sacar la distancia al medoide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</si>
</sst>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64" fontId="0" fillId="0" borderId="0" xfId="0" applyNumberFormat="1"/>
    <xf numFmtId="0" fontId="0" fillId="0" borderId="1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64" fontId="0" fillId="0" borderId="14" xfId="0" applyNumberFormat="1" applyBorder="1"/>
    <xf numFmtId="164" fontId="0" fillId="0" borderId="16" xfId="0" applyNumberFormat="1" applyBorder="1"/>
    <xf numFmtId="164" fontId="0" fillId="0" borderId="17" xfId="0" applyNumberFormat="1" applyBorder="1"/>
    <xf numFmtId="0" fontId="18" fillId="33" borderId="11" xfId="0" applyFont="1" applyFill="1" applyBorder="1"/>
    <xf numFmtId="0" fontId="18" fillId="33" borderId="12" xfId="0" applyFont="1" applyFill="1" applyBorder="1"/>
    <xf numFmtId="0" fontId="0" fillId="35" borderId="0" xfId="0" applyFill="1"/>
    <xf numFmtId="0" fontId="0" fillId="35" borderId="14" xfId="0" applyFill="1" applyBorder="1"/>
    <xf numFmtId="164" fontId="0" fillId="33" borderId="0" xfId="0" applyNumberFormat="1" applyFill="1"/>
    <xf numFmtId="164" fontId="0" fillId="35" borderId="0" xfId="0" applyNumberFormat="1" applyFill="1"/>
    <xf numFmtId="0" fontId="0" fillId="36" borderId="0" xfId="0" applyFill="1"/>
    <xf numFmtId="0" fontId="17" fillId="34" borderId="0" xfId="0" applyFont="1" applyFill="1"/>
    <xf numFmtId="0" fontId="0" fillId="0" borderId="0" xfId="0" applyAlignment="1">
      <alignment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0" fillId="37" borderId="0" xfId="0" applyFill="1" applyAlignment="1">
      <alignment horizontal="center" vertical="center" wrapText="1"/>
    </xf>
    <xf numFmtId="0" fontId="0" fillId="33" borderId="0" xfId="0" applyFill="1"/>
    <xf numFmtId="0" fontId="0" fillId="33" borderId="22" xfId="0" applyFill="1" applyBorder="1"/>
    <xf numFmtId="0" fontId="17" fillId="34" borderId="24" xfId="0" applyFont="1" applyFill="1" applyBorder="1" applyAlignment="1">
      <alignment horizontal="center"/>
    </xf>
    <xf numFmtId="0" fontId="0" fillId="35" borderId="24" xfId="0" applyFill="1" applyBorder="1"/>
    <xf numFmtId="0" fontId="0" fillId="35" borderId="25" xfId="0" applyFill="1" applyBorder="1"/>
    <xf numFmtId="0" fontId="0" fillId="36" borderId="10" xfId="0" applyFill="1" applyBorder="1"/>
    <xf numFmtId="0" fontId="17" fillId="34" borderId="11" xfId="0" applyFont="1" applyFill="1" applyBorder="1"/>
    <xf numFmtId="0" fontId="0" fillId="0" borderId="11" xfId="0" applyBorder="1"/>
    <xf numFmtId="0" fontId="0" fillId="36" borderId="11" xfId="0" applyFill="1" applyBorder="1"/>
    <xf numFmtId="0" fontId="17" fillId="34" borderId="12" xfId="0" applyFont="1" applyFill="1" applyBorder="1"/>
    <xf numFmtId="164" fontId="0" fillId="33" borderId="13" xfId="0" applyNumberFormat="1" applyFill="1" applyBorder="1"/>
    <xf numFmtId="0" fontId="16" fillId="0" borderId="0" xfId="0" applyFont="1"/>
    <xf numFmtId="0" fontId="0" fillId="0" borderId="1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9">
    <dxf>
      <font>
        <color theme="0"/>
      </font>
      <fill>
        <patternFill>
          <bgColor rgb="FFC0000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B3B3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B3B3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B3B3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rgb="FFFFB3B3"/>
        </patternFill>
      </fill>
    </dxf>
  </dxfs>
  <tableStyles count="0" defaultTableStyle="TableStyleMedium2" defaultPivotStyle="PivotStyleLight16"/>
  <colors>
    <mruColors>
      <color rgb="FFFF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57"/>
  <sheetViews>
    <sheetView topLeftCell="P1" zoomScale="113" zoomScaleNormal="71" workbookViewId="0">
      <selection activeCell="AC6" sqref="AC6"/>
    </sheetView>
  </sheetViews>
  <sheetFormatPr baseColWidth="10" defaultRowHeight="14.4" x14ac:dyDescent="0.3"/>
  <cols>
    <col min="2" max="5" width="11.6640625" bestFit="1" customWidth="1"/>
    <col min="6" max="9" width="11.77734375" bestFit="1" customWidth="1"/>
    <col min="10" max="10" width="15.109375" bestFit="1" customWidth="1"/>
    <col min="11" max="12" width="11.88671875" bestFit="1" customWidth="1"/>
    <col min="13" max="13" width="12" bestFit="1" customWidth="1"/>
    <col min="15" max="15" width="11.6640625" bestFit="1" customWidth="1"/>
    <col min="16" max="23" width="14.109375" bestFit="1" customWidth="1"/>
    <col min="24" max="24" width="17.21875" bestFit="1" customWidth="1"/>
    <col min="25" max="27" width="14.109375" bestFit="1" customWidth="1"/>
    <col min="29" max="29" width="13.77734375" bestFit="1" customWidth="1"/>
    <col min="30" max="30" width="14.109375" bestFit="1" customWidth="1"/>
    <col min="31" max="31" width="29.88671875" bestFit="1" customWidth="1"/>
    <col min="32" max="32" width="11.77734375" bestFit="1" customWidth="1"/>
    <col min="33" max="33" width="16.44140625" bestFit="1" customWidth="1"/>
    <col min="34" max="34" width="16.21875" customWidth="1"/>
    <col min="35" max="36" width="14.109375" bestFit="1" customWidth="1"/>
    <col min="37" max="37" width="15.44140625" customWidth="1"/>
    <col min="38" max="38" width="13.33203125" bestFit="1" customWidth="1"/>
    <col min="39" max="39" width="13.5546875" bestFit="1" customWidth="1"/>
    <col min="40" max="40" width="15" bestFit="1" customWidth="1"/>
    <col min="41" max="42" width="14.88671875" bestFit="1" customWidth="1"/>
    <col min="43" max="43" width="14.6640625" customWidth="1"/>
    <col min="44" max="44" width="11.6640625" bestFit="1" customWidth="1"/>
    <col min="45" max="45" width="15.5546875" bestFit="1" customWidth="1"/>
    <col min="46" max="46" width="15.33203125" bestFit="1" customWidth="1"/>
    <col min="47" max="47" width="15.77734375" bestFit="1" customWidth="1"/>
    <col min="48" max="48" width="11.88671875" bestFit="1" customWidth="1"/>
    <col min="49" max="49" width="11.77734375" bestFit="1" customWidth="1"/>
    <col min="50" max="51" width="11.6640625" bestFit="1" customWidth="1"/>
    <col min="52" max="52" width="14.33203125" bestFit="1" customWidth="1"/>
    <col min="53" max="54" width="13.88671875" bestFit="1" customWidth="1"/>
    <col min="55" max="56" width="11.77734375" bestFit="1" customWidth="1"/>
    <col min="57" max="57" width="11.6640625" bestFit="1" customWidth="1"/>
    <col min="58" max="58" width="13.109375" bestFit="1" customWidth="1"/>
    <col min="59" max="59" width="13" bestFit="1" customWidth="1"/>
    <col min="60" max="60" width="15.5546875" bestFit="1" customWidth="1"/>
    <col min="61" max="61" width="15.33203125" bestFit="1" customWidth="1"/>
    <col min="62" max="62" width="15.77734375" bestFit="1" customWidth="1"/>
    <col min="63" max="64" width="11.6640625" bestFit="1" customWidth="1"/>
    <col min="65" max="65" width="14.21875" bestFit="1" customWidth="1"/>
    <col min="66" max="66" width="17.21875" bestFit="1" customWidth="1"/>
    <col min="67" max="67" width="14.44140625" bestFit="1" customWidth="1"/>
    <col min="68" max="68" width="11.77734375" bestFit="1" customWidth="1"/>
    <col min="69" max="69" width="13.5546875" customWidth="1"/>
    <col min="70" max="73" width="11.6640625" bestFit="1" customWidth="1"/>
    <col min="75" max="75" width="14.77734375" bestFit="1" customWidth="1"/>
    <col min="76" max="76" width="14.21875" bestFit="1" customWidth="1"/>
    <col min="77" max="77" width="15.33203125" customWidth="1"/>
    <col min="78" max="79" width="10.88671875" bestFit="1" customWidth="1"/>
  </cols>
  <sheetData>
    <row r="1" spans="1:73" ht="29.4" customHeight="1" thickBot="1" x14ac:dyDescent="0.35">
      <c r="AC1" s="36" t="s">
        <v>17</v>
      </c>
      <c r="AD1" s="20" t="s">
        <v>18</v>
      </c>
      <c r="AE1" s="21" t="s">
        <v>2</v>
      </c>
      <c r="AF1" s="21" t="s">
        <v>3</v>
      </c>
      <c r="AG1" s="21" t="s">
        <v>4</v>
      </c>
      <c r="AH1" s="21" t="s">
        <v>5</v>
      </c>
      <c r="AI1" s="21" t="s">
        <v>6</v>
      </c>
      <c r="AJ1" s="21" t="s">
        <v>7</v>
      </c>
      <c r="AK1" s="21" t="s">
        <v>8</v>
      </c>
      <c r="AL1" s="21" t="s">
        <v>9</v>
      </c>
      <c r="AM1" s="21" t="s">
        <v>10</v>
      </c>
      <c r="AN1" s="21" t="s">
        <v>11</v>
      </c>
      <c r="AO1" s="21" t="s">
        <v>12</v>
      </c>
      <c r="AP1" s="22" t="s">
        <v>13</v>
      </c>
      <c r="AS1" s="36" t="s">
        <v>17</v>
      </c>
      <c r="AT1" s="20" t="s">
        <v>18</v>
      </c>
      <c r="AU1" s="21" t="s">
        <v>2</v>
      </c>
      <c r="AV1" s="21" t="s">
        <v>3</v>
      </c>
      <c r="AW1" s="21" t="s">
        <v>4</v>
      </c>
      <c r="AX1" s="21" t="s">
        <v>5</v>
      </c>
      <c r="AY1" s="21" t="s">
        <v>6</v>
      </c>
      <c r="AZ1" s="21" t="s">
        <v>7</v>
      </c>
      <c r="BA1" s="21" t="s">
        <v>8</v>
      </c>
      <c r="BB1" s="21" t="s">
        <v>9</v>
      </c>
      <c r="BC1" s="21" t="s">
        <v>10</v>
      </c>
      <c r="BD1" s="21" t="s">
        <v>11</v>
      </c>
      <c r="BE1" s="21" t="s">
        <v>12</v>
      </c>
      <c r="BF1" s="22" t="s">
        <v>13</v>
      </c>
      <c r="BH1" s="36" t="s">
        <v>17</v>
      </c>
      <c r="BI1" s="20" t="s">
        <v>18</v>
      </c>
      <c r="BJ1" s="21" t="s">
        <v>2</v>
      </c>
      <c r="BK1" s="21" t="s">
        <v>3</v>
      </c>
      <c r="BL1" s="21" t="s">
        <v>4</v>
      </c>
      <c r="BM1" s="21" t="s">
        <v>5</v>
      </c>
      <c r="BN1" s="21" t="s">
        <v>6</v>
      </c>
      <c r="BO1" s="21" t="s">
        <v>7</v>
      </c>
      <c r="BP1" s="21" t="s">
        <v>8</v>
      </c>
      <c r="BQ1" s="21" t="s">
        <v>9</v>
      </c>
      <c r="BR1" s="21" t="s">
        <v>10</v>
      </c>
      <c r="BS1" s="21" t="s">
        <v>11</v>
      </c>
      <c r="BT1" s="21" t="s">
        <v>12</v>
      </c>
      <c r="BU1" s="22" t="s">
        <v>13</v>
      </c>
    </row>
    <row r="2" spans="1:73" ht="14.4" customHeight="1" x14ac:dyDescent="0.3">
      <c r="A2" s="2" t="s">
        <v>0</v>
      </c>
      <c r="B2" s="11">
        <f>MIN(B6:B56)</f>
        <v>142840</v>
      </c>
      <c r="C2" s="11">
        <f t="shared" ref="C2:M2" si="0">MIN(C6:C56)</f>
        <v>40</v>
      </c>
      <c r="D2" s="11">
        <f t="shared" si="0"/>
        <v>0.23599999999999999</v>
      </c>
      <c r="E2" s="11">
        <f t="shared" si="0"/>
        <v>7.8899999999999998E-2</v>
      </c>
      <c r="F2" s="11">
        <f t="shared" si="0"/>
        <v>0</v>
      </c>
      <c r="G2" s="11">
        <f t="shared" si="0"/>
        <v>-13.988</v>
      </c>
      <c r="H2" s="11">
        <f t="shared" si="0"/>
        <v>2.5600000000000001E-2</v>
      </c>
      <c r="I2" s="11">
        <f t="shared" si="0"/>
        <v>1.65E-3</v>
      </c>
      <c r="J2" s="11">
        <f t="shared" si="0"/>
        <v>0</v>
      </c>
      <c r="K2" s="11">
        <f t="shared" si="0"/>
        <v>4.4600000000000001E-2</v>
      </c>
      <c r="L2" s="11">
        <f t="shared" si="0"/>
        <v>9.9900000000000003E-2</v>
      </c>
      <c r="M2" s="11">
        <f t="shared" si="0"/>
        <v>69.045000000000002</v>
      </c>
      <c r="O2" s="2" t="s">
        <v>0</v>
      </c>
      <c r="P2" s="11">
        <f>MIN(P6:P56)</f>
        <v>0</v>
      </c>
      <c r="Q2" s="11">
        <f t="shared" ref="Q2:AA2" si="1">MIN(Q6:Q56)</f>
        <v>0</v>
      </c>
      <c r="R2" s="11">
        <f t="shared" si="1"/>
        <v>0</v>
      </c>
      <c r="S2" s="11">
        <f t="shared" si="1"/>
        <v>0</v>
      </c>
      <c r="T2" s="11">
        <f t="shared" si="1"/>
        <v>0</v>
      </c>
      <c r="U2" s="11">
        <f t="shared" si="1"/>
        <v>0</v>
      </c>
      <c r="V2" s="11">
        <f t="shared" si="1"/>
        <v>0</v>
      </c>
      <c r="W2" s="11">
        <f t="shared" si="1"/>
        <v>0</v>
      </c>
      <c r="X2" s="11">
        <f t="shared" si="1"/>
        <v>0</v>
      </c>
      <c r="Y2" s="11">
        <f t="shared" si="1"/>
        <v>0</v>
      </c>
      <c r="Z2" s="11">
        <f t="shared" si="1"/>
        <v>0</v>
      </c>
      <c r="AA2" s="12">
        <f t="shared" si="1"/>
        <v>0</v>
      </c>
      <c r="AC2" s="37"/>
      <c r="AD2" s="23" t="s">
        <v>19</v>
      </c>
      <c r="AE2" s="24">
        <f t="shared" ref="AE2:AP2" si="2">(SUMPRODUCT(P6:P56,$AF$6:$AF$56)+P2)/($AF$57+1)</f>
        <v>0.39292103294304903</v>
      </c>
      <c r="AF2" s="24">
        <f t="shared" si="2"/>
        <v>0.30580645161290343</v>
      </c>
      <c r="AG2" s="24">
        <f t="shared" si="2"/>
        <v>0.52718367346938766</v>
      </c>
      <c r="AH2" s="24">
        <f t="shared" si="2"/>
        <v>0.46672279963162727</v>
      </c>
      <c r="AI2" s="24">
        <f t="shared" si="2"/>
        <v>0.59636363636363632</v>
      </c>
      <c r="AJ2" s="24">
        <f t="shared" si="2"/>
        <v>0.56480233965308602</v>
      </c>
      <c r="AK2" s="24">
        <f t="shared" si="2"/>
        <v>0.19294573643410845</v>
      </c>
      <c r="AL2" s="24">
        <f t="shared" si="2"/>
        <v>0.55670867230286591</v>
      </c>
      <c r="AM2" s="24">
        <f t="shared" si="2"/>
        <v>4.9150797342192687E-2</v>
      </c>
      <c r="AN2" s="24">
        <f t="shared" si="2"/>
        <v>0.13084101382488478</v>
      </c>
      <c r="AO2" s="24">
        <f t="shared" si="2"/>
        <v>0.39033114701647748</v>
      </c>
      <c r="AP2" s="25">
        <f t="shared" si="2"/>
        <v>0.43308656125452605</v>
      </c>
      <c r="AS2" s="37"/>
      <c r="AT2" s="23" t="s">
        <v>19</v>
      </c>
      <c r="AU2" s="24">
        <f>(SUMPRODUCT(P6:P56,$AF$6:$AF$56)+AE2)/($AF$57+1)</f>
        <v>0.40077945360191003</v>
      </c>
      <c r="AV2" s="24">
        <f t="shared" ref="AV2:BF2" si="3">(SUMPRODUCT(Q6:Q56,$AF$6:$AF$56)+AF2)/($AF$57+1)</f>
        <v>0.31192258064516148</v>
      </c>
      <c r="AW2" s="24">
        <f t="shared" si="3"/>
        <v>0.53772734693877533</v>
      </c>
      <c r="AX2" s="24">
        <f t="shared" si="3"/>
        <v>0.47605725562425982</v>
      </c>
      <c r="AY2" s="24">
        <f t="shared" si="3"/>
        <v>0.6082909090909091</v>
      </c>
      <c r="AZ2" s="24">
        <f t="shared" si="3"/>
        <v>0.57609838644614764</v>
      </c>
      <c r="BA2" s="24">
        <f t="shared" si="3"/>
        <v>0.19680465116279064</v>
      </c>
      <c r="BB2" s="24">
        <f t="shared" si="3"/>
        <v>0.5678428457489233</v>
      </c>
      <c r="BC2" s="24">
        <f t="shared" si="3"/>
        <v>5.0133813289036544E-2</v>
      </c>
      <c r="BD2" s="24">
        <f t="shared" si="3"/>
        <v>0.13345783410138248</v>
      </c>
      <c r="BE2" s="24">
        <f t="shared" si="3"/>
        <v>0.39813776995680705</v>
      </c>
      <c r="BF2" s="24">
        <f t="shared" si="3"/>
        <v>0.44174829247961661</v>
      </c>
      <c r="BH2" s="37"/>
      <c r="BI2" s="23" t="s">
        <v>19</v>
      </c>
      <c r="BJ2" s="24">
        <f>(SUMPRODUCT(P6:P56,$AV$6:$AV$56)+AU2)/($AV$57+1)</f>
        <v>0.40093662201508723</v>
      </c>
      <c r="BK2" s="24">
        <f t="shared" ref="BK2:BU2" si="4">(SUMPRODUCT(Q6:Q56,$AV$6:$AV$56)+AV2)/($AV$57+1)</f>
        <v>0.31204490322580664</v>
      </c>
      <c r="BL2" s="24">
        <f t="shared" si="4"/>
        <v>0.53793822040816319</v>
      </c>
      <c r="BM2" s="24">
        <f t="shared" si="4"/>
        <v>0.47624394474411247</v>
      </c>
      <c r="BN2" s="24">
        <f t="shared" si="4"/>
        <v>0.60852945454545448</v>
      </c>
      <c r="BO2" s="24">
        <f t="shared" si="4"/>
        <v>0.5763243073820089</v>
      </c>
      <c r="BP2" s="24">
        <f t="shared" si="4"/>
        <v>0.19688182945736429</v>
      </c>
      <c r="BQ2" s="24">
        <f t="shared" si="4"/>
        <v>0.56806552921784448</v>
      </c>
      <c r="BR2" s="24">
        <f t="shared" si="4"/>
        <v>5.0153473607973426E-2</v>
      </c>
      <c r="BS2" s="24">
        <f t="shared" si="4"/>
        <v>0.13351017050691244</v>
      </c>
      <c r="BT2" s="24">
        <f t="shared" si="4"/>
        <v>0.39829390241561363</v>
      </c>
      <c r="BU2" s="24">
        <f t="shared" si="4"/>
        <v>0.44192152710411842</v>
      </c>
    </row>
    <row r="3" spans="1:73" x14ac:dyDescent="0.3">
      <c r="A3" s="3" t="s">
        <v>1</v>
      </c>
      <c r="B3" s="13">
        <f>MAX(B6:B56)</f>
        <v>352687</v>
      </c>
      <c r="C3" s="13">
        <f t="shared" ref="C3:M3" si="5">MAX(C6:C56)</f>
        <v>71</v>
      </c>
      <c r="D3" s="13">
        <f t="shared" si="5"/>
        <v>0.72599999999999998</v>
      </c>
      <c r="E3" s="13">
        <f t="shared" si="5"/>
        <v>0.83899999999999997</v>
      </c>
      <c r="F3" s="13">
        <f t="shared" si="5"/>
        <v>11</v>
      </c>
      <c r="G3" s="13">
        <f t="shared" si="5"/>
        <v>-4.0720000000000001</v>
      </c>
      <c r="H3" s="13">
        <f t="shared" si="5"/>
        <v>0.10299999999999999</v>
      </c>
      <c r="I3" s="13">
        <f t="shared" si="5"/>
        <v>0.94199999999999995</v>
      </c>
      <c r="J3" s="13">
        <f t="shared" si="5"/>
        <v>6.0199999999999997E-2</v>
      </c>
      <c r="K3" s="13">
        <f t="shared" si="5"/>
        <v>0.73899999999999999</v>
      </c>
      <c r="L3" s="13">
        <f>MAX(L6:L56)</f>
        <v>0.72499999999999998</v>
      </c>
      <c r="M3" s="14">
        <f t="shared" si="5"/>
        <v>184.21199999999999</v>
      </c>
      <c r="O3" s="3" t="s">
        <v>1</v>
      </c>
      <c r="P3" s="13">
        <f>MAX(P6:P56)</f>
        <v>1</v>
      </c>
      <c r="Q3" s="13">
        <f t="shared" ref="Q3:AA3" si="6">MAX(Q6:Q56)</f>
        <v>1</v>
      </c>
      <c r="R3" s="13">
        <f t="shared" si="6"/>
        <v>1</v>
      </c>
      <c r="S3" s="13">
        <f t="shared" si="6"/>
        <v>1</v>
      </c>
      <c r="T3" s="13">
        <f t="shared" si="6"/>
        <v>1</v>
      </c>
      <c r="U3" s="13">
        <f t="shared" si="6"/>
        <v>1</v>
      </c>
      <c r="V3" s="13">
        <f t="shared" si="6"/>
        <v>1</v>
      </c>
      <c r="W3" s="13">
        <f t="shared" si="6"/>
        <v>1</v>
      </c>
      <c r="X3" s="13">
        <f t="shared" si="6"/>
        <v>1</v>
      </c>
      <c r="Y3" s="13">
        <f t="shared" si="6"/>
        <v>1</v>
      </c>
      <c r="Z3" s="13">
        <f t="shared" si="6"/>
        <v>1</v>
      </c>
      <c r="AA3" s="14">
        <f t="shared" si="6"/>
        <v>1</v>
      </c>
      <c r="AC3" s="38"/>
      <c r="AD3" s="26" t="s">
        <v>20</v>
      </c>
      <c r="AE3" s="27">
        <f t="shared" ref="AE3:AP3" si="7">(SUMPRODUCT(P6:P56,$AG$6:$AG$56)+P3)/($AG$57+1)</f>
        <v>0.67322064805945914</v>
      </c>
      <c r="AF3" s="27">
        <f t="shared" si="7"/>
        <v>0.967741935483871</v>
      </c>
      <c r="AG3" s="27">
        <f t="shared" si="7"/>
        <v>0.55646258503401358</v>
      </c>
      <c r="AH3" s="27">
        <f t="shared" si="7"/>
        <v>0.94869096171556377</v>
      </c>
      <c r="AI3" s="27">
        <f t="shared" si="7"/>
        <v>0.81818181818181823</v>
      </c>
      <c r="AJ3" s="27">
        <f>(SUMPRODUCT(U6:U56,$AG$6:$AG$56)+U3)/($AG$57+1)</f>
        <v>0.86893236520102179</v>
      </c>
      <c r="AK3" s="27">
        <f t="shared" si="7"/>
        <v>0.92161929371231699</v>
      </c>
      <c r="AL3" s="27">
        <f t="shared" si="7"/>
        <v>0.54626823345917297</v>
      </c>
      <c r="AM3" s="27">
        <f t="shared" si="7"/>
        <v>0.33352823920265778</v>
      </c>
      <c r="AN3" s="27">
        <f t="shared" si="7"/>
        <v>0.37740015360983103</v>
      </c>
      <c r="AO3" s="27">
        <f t="shared" si="7"/>
        <v>0.5771343251746387</v>
      </c>
      <c r="AP3" s="28">
        <f t="shared" si="7"/>
        <v>0.87432453162219514</v>
      </c>
      <c r="AS3" s="38"/>
      <c r="AT3" s="26" t="s">
        <v>20</v>
      </c>
      <c r="AU3" s="27">
        <f>(SUMPRODUCT(P6:P56,$AG$6:$AG$56)+P3)/($AG$57+1)</f>
        <v>0.67322064805945914</v>
      </c>
      <c r="AV3" s="27">
        <f t="shared" ref="AV3:BF3" si="8">(SUMPRODUCT(Q6:Q56,$AG$6:$AG$56)+Q3)/($AG$57+1)</f>
        <v>0.967741935483871</v>
      </c>
      <c r="AW3" s="27">
        <f t="shared" si="8"/>
        <v>0.55646258503401358</v>
      </c>
      <c r="AX3" s="27">
        <f t="shared" si="8"/>
        <v>0.94869096171556377</v>
      </c>
      <c r="AY3" s="27">
        <f t="shared" si="8"/>
        <v>0.81818181818181823</v>
      </c>
      <c r="AZ3" s="27">
        <f t="shared" si="8"/>
        <v>0.86893236520102179</v>
      </c>
      <c r="BA3" s="27">
        <f t="shared" si="8"/>
        <v>0.92161929371231699</v>
      </c>
      <c r="BB3" s="27">
        <f t="shared" si="8"/>
        <v>0.54626823345917297</v>
      </c>
      <c r="BC3" s="27">
        <f t="shared" si="8"/>
        <v>0.33352823920265778</v>
      </c>
      <c r="BD3" s="27">
        <f t="shared" si="8"/>
        <v>0.37740015360983103</v>
      </c>
      <c r="BE3" s="27">
        <f t="shared" si="8"/>
        <v>0.5771343251746387</v>
      </c>
      <c r="BF3" s="27">
        <f t="shared" si="8"/>
        <v>0.87432453162219514</v>
      </c>
      <c r="BH3" s="38"/>
      <c r="BI3" s="26" t="s">
        <v>20</v>
      </c>
      <c r="BJ3" s="27">
        <f>(SUMPRODUCT(AE6:AE56,$AW$6:$AW$56)+AE3)/($AW$57+1)</f>
        <v>1.509660713889825</v>
      </c>
      <c r="BK3" s="27">
        <f t="shared" ref="BK3:BT3" si="9">(SUMPRODUCT(AF6:AF56,$AW$6:$AW$56)+AF3)/($AW$57+1)</f>
        <v>0.32258064516129031</v>
      </c>
      <c r="BL3" s="27">
        <f t="shared" si="9"/>
        <v>0.85215419501133782</v>
      </c>
      <c r="BM3" s="27">
        <f t="shared" si="9"/>
        <v>0.31623032057185457</v>
      </c>
      <c r="BN3" s="27">
        <f t="shared" si="9"/>
        <v>0.27272727272727276</v>
      </c>
      <c r="BO3" s="27">
        <f t="shared" si="9"/>
        <v>0.28964412173367393</v>
      </c>
      <c r="BP3" s="27">
        <f t="shared" si="9"/>
        <v>0.30720643123743901</v>
      </c>
      <c r="BQ3" s="27">
        <f t="shared" si="9"/>
        <v>0.18208941115305766</v>
      </c>
      <c r="BR3" s="27">
        <f t="shared" si="9"/>
        <v>0.11117607973421927</v>
      </c>
      <c r="BS3" s="27">
        <f t="shared" si="9"/>
        <v>0.125800051203277</v>
      </c>
      <c r="BT3" s="27">
        <f t="shared" si="9"/>
        <v>0.19237810839154623</v>
      </c>
      <c r="BU3" s="27">
        <f>(SUMPRODUCT(AP6:AP56,$AW$6:$AW$56)+AP3)/($AW$57+1)</f>
        <v>0.2914415105407317</v>
      </c>
    </row>
    <row r="4" spans="1:73" ht="15" thickBot="1" x14ac:dyDescent="0.35">
      <c r="A4" s="3"/>
      <c r="M4" s="4"/>
      <c r="O4" s="3"/>
      <c r="AA4" s="4"/>
      <c r="AI4" s="19"/>
    </row>
    <row r="5" spans="1:73" x14ac:dyDescent="0.3">
      <c r="A5" s="3"/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s">
        <v>12</v>
      </c>
      <c r="M5" s="4" t="s">
        <v>13</v>
      </c>
      <c r="O5" s="3"/>
      <c r="P5" t="s">
        <v>2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8</v>
      </c>
      <c r="W5" t="s">
        <v>9</v>
      </c>
      <c r="X5" t="s">
        <v>10</v>
      </c>
      <c r="Y5" t="s">
        <v>11</v>
      </c>
      <c r="Z5" t="s">
        <v>12</v>
      </c>
      <c r="AA5" s="4" t="s">
        <v>13</v>
      </c>
      <c r="AC5" s="17" t="s">
        <v>14</v>
      </c>
      <c r="AD5" s="18" t="s">
        <v>15</v>
      </c>
      <c r="AE5" t="s">
        <v>16</v>
      </c>
      <c r="AF5" s="17" t="s">
        <v>21</v>
      </c>
      <c r="AG5" s="18" t="s">
        <v>22</v>
      </c>
      <c r="AS5" s="29" t="s">
        <v>14</v>
      </c>
      <c r="AT5" s="30" t="s">
        <v>15</v>
      </c>
      <c r="AU5" s="31" t="s">
        <v>16</v>
      </c>
      <c r="AV5" s="32" t="s">
        <v>21</v>
      </c>
      <c r="AW5" s="33" t="s">
        <v>22</v>
      </c>
      <c r="BH5" s="29" t="s">
        <v>14</v>
      </c>
      <c r="BI5" s="30" t="s">
        <v>15</v>
      </c>
      <c r="BJ5" t="s">
        <v>23</v>
      </c>
      <c r="BK5" s="32" t="s">
        <v>21</v>
      </c>
      <c r="BL5" s="33" t="s">
        <v>22</v>
      </c>
      <c r="BN5" t="s">
        <v>25</v>
      </c>
      <c r="BP5" s="1" t="s">
        <v>26</v>
      </c>
    </row>
    <row r="6" spans="1:73" x14ac:dyDescent="0.3">
      <c r="A6" s="3"/>
      <c r="B6">
        <v>265306</v>
      </c>
      <c r="C6">
        <v>60</v>
      </c>
      <c r="D6">
        <v>0.45200000000000001</v>
      </c>
      <c r="E6">
        <v>0.32900000000000001</v>
      </c>
      <c r="F6">
        <v>8</v>
      </c>
      <c r="G6">
        <v>-12.382</v>
      </c>
      <c r="H6">
        <v>4.2500000000000003E-2</v>
      </c>
      <c r="I6">
        <v>0.94199999999999995</v>
      </c>
      <c r="J6">
        <v>1.2800000000000001E-3</v>
      </c>
      <c r="K6">
        <v>9.7900000000000001E-2</v>
      </c>
      <c r="L6">
        <v>0.19800000000000001</v>
      </c>
      <c r="M6" s="4">
        <v>82.766999999999996</v>
      </c>
      <c r="O6" s="3"/>
      <c r="P6" s="1">
        <f>(B6 - $B$2)/($B$3 - $B$2)</f>
        <v>0.58359662039485916</v>
      </c>
      <c r="Q6" s="1">
        <f t="shared" ref="Q6:Q37" si="10">(C6 - $C$2)/($C$3 - $C$2)</f>
        <v>0.64516129032258063</v>
      </c>
      <c r="R6" s="1">
        <f t="shared" ref="R6:R37" si="11">(D6 - $D$2)/($D$3 - $D$2)</f>
        <v>0.44081632653061231</v>
      </c>
      <c r="S6" s="1">
        <f t="shared" ref="S6:S37" si="12">(E6 - $E$2)/($E$3- $E$2)</f>
        <v>0.32903565320352585</v>
      </c>
      <c r="T6" s="1">
        <f t="shared" ref="T6:T37" si="13">(F6 - $F$2)/($F$3- $F$2)</f>
        <v>0.72727272727272729</v>
      </c>
      <c r="U6" s="1">
        <f t="shared" ref="U6:U37" si="14">(G6 - $G$2)/($G$3- $G$2)</f>
        <v>0.16196046793061716</v>
      </c>
      <c r="V6" s="1">
        <f t="shared" ref="V6:V37" si="15">(H6 - $H$2)/($H$3- $H$2)</f>
        <v>0.2183462532299742</v>
      </c>
      <c r="W6" s="1">
        <f t="shared" ref="W6:W37" si="16">(I6 - $I$2)/($I$3- $I$2)</f>
        <v>1</v>
      </c>
      <c r="X6" s="1">
        <f t="shared" ref="X6:X37" si="17">(J6 - $J$2)/($J$3- $J$2)</f>
        <v>2.1262458471760802E-2</v>
      </c>
      <c r="Y6" s="1">
        <f t="shared" ref="Y6:Y37" si="18">(K6 - $K$2)/($K$3- $K$2)</f>
        <v>7.6756912442396311E-2</v>
      </c>
      <c r="Z6" s="1">
        <f t="shared" ref="Z6:Z37" si="19">(L6 - $L$2)/($L$3- $L$2)</f>
        <v>0.1569348904175332</v>
      </c>
      <c r="AA6" s="8">
        <f t="shared" ref="AA6:AA37" si="20">(M6 - $M$2)/($M$3- $M$2)</f>
        <v>0.11914871447550075</v>
      </c>
      <c r="AB6" s="1"/>
      <c r="AC6" s="15">
        <f>SQRT(
($P$2 - P6)^2 +
($Q$2 -Q6)^2 +
($R$2 - R6)^2 +
($S$2 - S6)^2 +
($T$2 - T6)^2 +
($U$2 - U6)^2 +
($V$2 - V6)^2 +
($W$2 - W6)^2 +
($X$2 - X6)^2 +
($Y$2 - Y6)^2 +
($Z$2 - Z6)^2 +
($AA$2 - AA6)^2)</f>
        <v>1.645418546063</v>
      </c>
      <c r="AD6" s="16">
        <f>SQRT(
($P$3 - P6)^2 +
($Q$3 -Q6)^2 +
($R$3 - R6)^2 +
($S$3 - S6)^2 +
($T$3 - T6)^2 +
($U$3 - U6)^2 +
($V$3 - V6)^2 +
($W$3 - W6)^2 +
($X$3 - X6)^2 +
($Y$3 - Y6)^2 +
($Z$3 - Z6)^2 +
($AA$3 - AA6)^2)</f>
        <v>2.3972520856897592</v>
      </c>
      <c r="AE6" s="1">
        <f>MIN(AC6:AD6)</f>
        <v>1.645418546063</v>
      </c>
      <c r="AF6">
        <f>IF(AE6=AC6,1,0)</f>
        <v>1</v>
      </c>
      <c r="AG6">
        <f>IF(AE6=AD6,1,0)</f>
        <v>0</v>
      </c>
      <c r="AS6" s="34">
        <f t="shared" ref="AS6:AS37" si="21">SQRT(
($AE$2 - P6)^2 +
($AF$2 -Q6)^2 +
($AG$2 - R6)^2 +
($AH$2 - S6)^2 +
($AI$2 - T6)^2 +
($AJ$2 - U6)^2 +
($AK$2 - V6)^2 +
($AL$2 - W6)^2 +
($AM$2 - X6)^2 +
($AN$2 - Y6)^2 +
($AO$2 - Z6)^2 +
($AP$2 - AA6)^2)</f>
        <v>0.84335089967164101</v>
      </c>
      <c r="AT6" s="16">
        <f t="shared" ref="AT6:AT37" si="22">SQRT(
($AE$3 - P6)^2 +
($AF$3 -Q6)^2 +
($AG$3 - R6)^2 +
($AH$3 - S6)^2 +
($AI$3 - T6)^2 +
($AJ$3 - U6)^2 +
($AK$3 - V6)^2 +
($AL$3 - W6)^2 +
($AM$3 - X6)^2 +
($AN$3 - Y6)^2 +
($AO$3 - Z6)^2 +
($AP$3 - AA6)^2)</f>
        <v>1.6287206836245927</v>
      </c>
      <c r="AU6" s="1">
        <f>MIN(AS6:AT6)</f>
        <v>0.84335089967164101</v>
      </c>
      <c r="AV6">
        <f>IF(AU6=AS6,1,0)</f>
        <v>1</v>
      </c>
      <c r="AW6" s="4">
        <f>IF(AU6=AT6,1,0)</f>
        <v>0</v>
      </c>
      <c r="BH6" s="34">
        <f>SQRT(
($AU$2 - P6)^2 +
($AV$2 -Q6)^2 +
($AW$2 - R6)^2 +
($AX$2 - S6)^2 +
($AY$2 - T6)^2 +
($AZ$2 - U6)^2 +
($BA$2 - V6)^2 +
($BB$2 - W6)^2 +
($BC$2 - X6)^2 +
($BD$2 - Y6)^2 +
($BE$2 - Z6)^2 +
($BF$2 - AA6)^2)</f>
        <v>0.84537911804660515</v>
      </c>
      <c r="BI6" s="16">
        <f>SQRT(
($AU$3 - P6)^2 +
($AV$3 -Q6)^2 +
($AW$3 - R6)^2 +
($AX$3 - S6)^2 +
($AY$3 - T6)^2 +
($AZ$3 - U6)^2 +
($BA$3 - V6)^2 +
($BB$3 - W6)^2 +
($BC$3 - X6)^2 +
($BD$3 - Y6)^2 +
($BE$3 - Z6)^2 +
($BF$3 - AA6)^2)</f>
        <v>1.6287206836245927</v>
      </c>
      <c r="BJ6" s="1">
        <f>MIN(BH6:BI6)</f>
        <v>0.84537911804660515</v>
      </c>
      <c r="BK6">
        <f>IF(BJ6=BH6, 1, 0)</f>
        <v>1</v>
      </c>
      <c r="BL6" s="4">
        <f>IF(BJ6=BI6,1,0)</f>
        <v>0</v>
      </c>
      <c r="BN6" s="1">
        <f>MIN(BJ6:BJ56)</f>
        <v>0.47711271442028752</v>
      </c>
      <c r="BP6" s="1">
        <f>MIN(BJ7:BJ8)</f>
        <v>0.69780849999858741</v>
      </c>
    </row>
    <row r="7" spans="1:73" x14ac:dyDescent="0.3">
      <c r="A7" s="3"/>
      <c r="B7">
        <v>268653</v>
      </c>
      <c r="C7">
        <v>71</v>
      </c>
      <c r="D7">
        <v>0.29699999999999999</v>
      </c>
      <c r="E7">
        <v>0.83899999999999997</v>
      </c>
      <c r="F7">
        <v>7</v>
      </c>
      <c r="G7">
        <v>-4.4480000000000004</v>
      </c>
      <c r="H7">
        <v>8.48E-2</v>
      </c>
      <c r="I7">
        <v>0.39900000000000002</v>
      </c>
      <c r="J7">
        <v>0</v>
      </c>
      <c r="K7">
        <v>9.6500000000000002E-2</v>
      </c>
      <c r="L7">
        <v>0.30299999999999999</v>
      </c>
      <c r="M7" s="4">
        <v>152.99700000000001</v>
      </c>
      <c r="O7" s="3"/>
      <c r="P7" s="1">
        <f t="shared" ref="P7:P56" si="23">(B7 - $B$2)/($B$3 - $B$2)</f>
        <v>0.59954633614014019</v>
      </c>
      <c r="Q7" s="1">
        <f t="shared" si="10"/>
        <v>1</v>
      </c>
      <c r="R7" s="1">
        <f t="shared" si="11"/>
        <v>0.12448979591836734</v>
      </c>
      <c r="S7" s="1">
        <f t="shared" si="12"/>
        <v>1</v>
      </c>
      <c r="T7" s="1">
        <f t="shared" si="13"/>
        <v>0.63636363636363635</v>
      </c>
      <c r="U7" s="1">
        <f t="shared" si="14"/>
        <v>0.962081484469544</v>
      </c>
      <c r="V7" s="1">
        <f t="shared" si="15"/>
        <v>0.76485788113695097</v>
      </c>
      <c r="W7" s="1">
        <f t="shared" si="16"/>
        <v>0.42255543148827573</v>
      </c>
      <c r="X7" s="1">
        <f t="shared" si="17"/>
        <v>0</v>
      </c>
      <c r="Y7" s="1">
        <f t="shared" si="18"/>
        <v>7.4740783410138248E-2</v>
      </c>
      <c r="Z7" s="1">
        <f t="shared" si="19"/>
        <v>0.32490801471764519</v>
      </c>
      <c r="AA7" s="8">
        <f t="shared" si="20"/>
        <v>0.72895881632759407</v>
      </c>
      <c r="AB7" s="1"/>
      <c r="AC7" s="15">
        <f>SQRT(
($P$2 - P7)^2 +
($Q$2 -Q7)^2 +
($R$2 - R7)^2 +
($S$2 - S7)^2 +
($T$2 - T7)^2 +
($U$2 - U7)^2 +
($V$2 - V7)^2 +
($W$2 - W7)^2 +
($X$2 - X7)^2 +
($Y$2 - Y7)^2 +
($Z$2 - Z7)^2 +
($AA$2 - AA7)^2)</f>
        <v>2.2608861113651288</v>
      </c>
      <c r="AD7" s="16">
        <f t="shared" ref="AD7:AD56" si="24">SQRT(
($P$3 - P7)^2 +
($Q$3 -Q7)^2 +
($R$3 - R7)^2 +
($S$3 - S7)^2 +
($T$3 - T7)^2 +
($U$3 - U7)^2 +
($V$3 - V7)^2 +
($W$3 - W7)^2 +
($X$3 - X7)^2 +
($Y$3 - Y7)^2 +
($Z$3 - Z7)^2 +
($AA$3 - AA7)^2)</f>
        <v>1.9582138924589287</v>
      </c>
      <c r="AE7" s="1">
        <f t="shared" ref="AE7:AE56" si="25">MIN(AC7:AD7)</f>
        <v>1.9582138924589287</v>
      </c>
      <c r="AF7">
        <f t="shared" ref="AF7:AF56" si="26">IF(AE7=AC7,1,0)</f>
        <v>0</v>
      </c>
      <c r="AG7">
        <f t="shared" ref="AG7:AG56" si="27">IF(AE7=AD7,1,0)</f>
        <v>1</v>
      </c>
      <c r="AS7" s="34">
        <f t="shared" si="21"/>
        <v>1.254209135859286</v>
      </c>
      <c r="AT7" s="16">
        <f t="shared" si="22"/>
        <v>0.75160380919642777</v>
      </c>
      <c r="AU7" s="1">
        <f t="shared" ref="AU7:AU56" si="28">MIN(AS7:AT7)</f>
        <v>0.75160380919642777</v>
      </c>
      <c r="AV7">
        <f t="shared" ref="AV7:AV56" si="29">IF(AU7=AS7,1,0)</f>
        <v>0</v>
      </c>
      <c r="AW7" s="4">
        <f t="shared" ref="AW7:AW56" si="30">IF(AU7=AT7,1,0)</f>
        <v>1</v>
      </c>
      <c r="BH7" s="34">
        <f t="shared" ref="BH7:BH56" si="31">SQRT(
($AU$2 - P7)^2 +
($AV$2 -Q7)^2 +
($AW$2 - R7)^2 +
($AX$2 - S7)^2 +
($AY$2 - T7)^2 +
($AZ$2 - U7)^2 +
($BA$2 - V7)^2 +
($BB$2 - W7)^2 +
($BC$2 - X7)^2 +
($BD$2 - Y7)^2 +
($BE$2 - Z7)^2 +
($BF$2 - AA7)^2)</f>
        <v>1.2432286956623837</v>
      </c>
      <c r="BI7" s="16">
        <f t="shared" ref="BI7:BI56" si="32">SQRT(
($AU$3 - P7)^2 +
($AV$3 -Q7)^2 +
($AW$3 - R7)^2 +
($AX$3 - S7)^2 +
($AY$3 - T7)^2 +
($AZ$3 - U7)^2 +
($BA$3 - V7)^2 +
($BB$3 - W7)^2 +
($BC$3 - X7)^2 +
($BD$3 - Y7)^2 +
($BE$3 - Z7)^2 +
($BF$3 - AA7)^2)</f>
        <v>0.75160380919642777</v>
      </c>
      <c r="BJ7" s="1">
        <f t="shared" ref="BJ7:BJ56" si="33">MIN(BH7:BI7)</f>
        <v>0.75160380919642777</v>
      </c>
      <c r="BK7">
        <f t="shared" ref="BK7:BK56" si="34">IF(BJ7=BH7, 1, 0)</f>
        <v>0</v>
      </c>
      <c r="BL7" s="4">
        <f t="shared" ref="BL7:BL56" si="35">IF(BJ7=BI7,1,0)</f>
        <v>1</v>
      </c>
    </row>
    <row r="8" spans="1:73" x14ac:dyDescent="0.3">
      <c r="A8" s="3"/>
      <c r="B8">
        <v>231000</v>
      </c>
      <c r="C8">
        <v>68</v>
      </c>
      <c r="D8">
        <v>0.503</v>
      </c>
      <c r="E8">
        <v>0.72199999999999998</v>
      </c>
      <c r="F8">
        <v>9</v>
      </c>
      <c r="G8">
        <v>-7.5949999999999998</v>
      </c>
      <c r="H8">
        <v>0.10299999999999999</v>
      </c>
      <c r="I8">
        <v>0.20499999999999999</v>
      </c>
      <c r="J8">
        <v>3.5200000000000002E-5</v>
      </c>
      <c r="K8">
        <v>8.4500000000000006E-2</v>
      </c>
      <c r="L8">
        <v>0.35399999999999998</v>
      </c>
      <c r="M8" s="4">
        <v>172.006</v>
      </c>
      <c r="O8" s="3"/>
      <c r="P8" s="1">
        <f t="shared" si="23"/>
        <v>0.42011560803823739</v>
      </c>
      <c r="Q8" s="1">
        <f t="shared" si="10"/>
        <v>0.90322580645161288</v>
      </c>
      <c r="R8" s="1">
        <f t="shared" si="11"/>
        <v>0.54489795918367356</v>
      </c>
      <c r="S8" s="1">
        <f t="shared" si="12"/>
        <v>0.84607288514669121</v>
      </c>
      <c r="T8" s="1">
        <f t="shared" si="13"/>
        <v>0.81818181818181823</v>
      </c>
      <c r="U8" s="1">
        <f t="shared" si="14"/>
        <v>0.64471561113352149</v>
      </c>
      <c r="V8" s="1">
        <f t="shared" si="15"/>
        <v>1</v>
      </c>
      <c r="W8" s="1">
        <f t="shared" si="16"/>
        <v>0.21624926888924337</v>
      </c>
      <c r="X8" s="1">
        <f t="shared" si="17"/>
        <v>5.8471760797342194E-4</v>
      </c>
      <c r="Y8" s="1">
        <f t="shared" si="18"/>
        <v>5.7459677419354843E-2</v>
      </c>
      <c r="Z8" s="1">
        <f t="shared" si="19"/>
        <v>0.40649496080627101</v>
      </c>
      <c r="AA8" s="8">
        <f t="shared" si="20"/>
        <v>0.89401477853899125</v>
      </c>
      <c r="AB8" s="1"/>
      <c r="AC8" s="15">
        <f t="shared" ref="AC8:AC56" si="36">SQRT(
($P$2 - P8)^2 +
($Q$2 -Q8)^2 +
($R$2 - R8)^2 +
($S$2 - S8)^2 +
($T$2 - T8)^2 +
($U$2 - U8)^2 +
($V$2 - V8)^2 +
($W$2 - W8)^2 +
($X$2 - X8)^2 +
($Y$2 - Y8)^2 +
($Z$2 - Z8)^2 +
($AA$2 - AA8)^2)</f>
        <v>2.2593612109242343</v>
      </c>
      <c r="AD8" s="16">
        <f t="shared" si="24"/>
        <v>1.897547601151087</v>
      </c>
      <c r="AE8" s="1">
        <f t="shared" si="25"/>
        <v>1.897547601151087</v>
      </c>
      <c r="AF8">
        <f t="shared" si="26"/>
        <v>0</v>
      </c>
      <c r="AG8">
        <f t="shared" si="27"/>
        <v>1</v>
      </c>
      <c r="AS8" s="34">
        <f t="shared" si="21"/>
        <v>1.2430478330315018</v>
      </c>
      <c r="AT8" s="16">
        <f t="shared" si="22"/>
        <v>0.69780849999858741</v>
      </c>
      <c r="AU8" s="1">
        <f t="shared" si="28"/>
        <v>0.69780849999858741</v>
      </c>
      <c r="AV8">
        <f t="shared" si="29"/>
        <v>0</v>
      </c>
      <c r="AW8" s="4">
        <f t="shared" si="30"/>
        <v>1</v>
      </c>
      <c r="BH8" s="34">
        <f t="shared" si="31"/>
        <v>1.231797610878967</v>
      </c>
      <c r="BI8" s="16">
        <f t="shared" si="32"/>
        <v>0.69780849999858741</v>
      </c>
      <c r="BJ8" s="1">
        <f t="shared" si="33"/>
        <v>0.69780849999858741</v>
      </c>
      <c r="BK8">
        <f t="shared" si="34"/>
        <v>0</v>
      </c>
      <c r="BL8" s="4">
        <f t="shared" si="35"/>
        <v>1</v>
      </c>
    </row>
    <row r="9" spans="1:73" x14ac:dyDescent="0.3">
      <c r="A9" s="3"/>
      <c r="B9">
        <v>238493</v>
      </c>
      <c r="C9">
        <v>66</v>
      </c>
      <c r="D9">
        <v>0.54400000000000004</v>
      </c>
      <c r="E9">
        <v>0.5</v>
      </c>
      <c r="F9">
        <v>11</v>
      </c>
      <c r="G9">
        <v>-8.2530000000000001</v>
      </c>
      <c r="H9">
        <v>2.5999999999999999E-2</v>
      </c>
      <c r="I9">
        <v>3.2500000000000001E-2</v>
      </c>
      <c r="J9">
        <v>3.7799999999999998E-6</v>
      </c>
      <c r="K9">
        <v>0.109</v>
      </c>
      <c r="L9">
        <v>0.17699999999999999</v>
      </c>
      <c r="M9" s="4">
        <v>93.620999999999995</v>
      </c>
      <c r="O9" s="3"/>
      <c r="P9" s="1">
        <f t="shared" si="23"/>
        <v>0.45582257549548005</v>
      </c>
      <c r="Q9" s="1">
        <f t="shared" si="10"/>
        <v>0.83870967741935487</v>
      </c>
      <c r="R9" s="1">
        <f t="shared" si="11"/>
        <v>0.62857142857142867</v>
      </c>
      <c r="S9" s="1">
        <f t="shared" si="12"/>
        <v>0.55400605183528484</v>
      </c>
      <c r="T9" s="1">
        <f t="shared" si="13"/>
        <v>1</v>
      </c>
      <c r="U9" s="1">
        <f t="shared" si="14"/>
        <v>0.57835820895522383</v>
      </c>
      <c r="V9" s="1">
        <f t="shared" si="15"/>
        <v>5.1679586563307183E-3</v>
      </c>
      <c r="W9" s="1">
        <f t="shared" si="16"/>
        <v>3.2806933588557456E-2</v>
      </c>
      <c r="X9" s="1">
        <f t="shared" si="17"/>
        <v>6.2790697674418604E-5</v>
      </c>
      <c r="Y9" s="1">
        <f t="shared" si="18"/>
        <v>9.2741935483870969E-2</v>
      </c>
      <c r="Z9" s="1">
        <f t="shared" si="19"/>
        <v>0.12334026555751078</v>
      </c>
      <c r="AA9" s="8">
        <f t="shared" si="20"/>
        <v>0.21339446195524756</v>
      </c>
      <c r="AB9" s="1"/>
      <c r="AC9" s="15">
        <f t="shared" si="36"/>
        <v>1.7372924906905118</v>
      </c>
      <c r="AD9" s="16">
        <f t="shared" si="24"/>
        <v>2.4438127223209465</v>
      </c>
      <c r="AE9" s="1">
        <f t="shared" si="25"/>
        <v>1.7372924906905118</v>
      </c>
      <c r="AF9">
        <f t="shared" si="26"/>
        <v>1</v>
      </c>
      <c r="AG9">
        <f t="shared" si="27"/>
        <v>0</v>
      </c>
      <c r="AS9" s="34">
        <f t="shared" si="21"/>
        <v>0.9497840901336273</v>
      </c>
      <c r="AT9" s="16">
        <f t="shared" si="22"/>
        <v>1.5102618873939191</v>
      </c>
      <c r="AU9" s="1">
        <f t="shared" si="28"/>
        <v>0.9497840901336273</v>
      </c>
      <c r="AV9">
        <f t="shared" si="29"/>
        <v>1</v>
      </c>
      <c r="AW9" s="4">
        <f t="shared" si="30"/>
        <v>0</v>
      </c>
      <c r="BH9" s="34">
        <f t="shared" si="31"/>
        <v>0.95032428809933134</v>
      </c>
      <c r="BI9" s="16">
        <f t="shared" si="32"/>
        <v>1.5102618873939191</v>
      </c>
      <c r="BJ9" s="1">
        <f t="shared" si="33"/>
        <v>0.95032428809933134</v>
      </c>
      <c r="BK9">
        <f t="shared" si="34"/>
        <v>1</v>
      </c>
      <c r="BL9" s="4">
        <f t="shared" si="35"/>
        <v>0</v>
      </c>
      <c r="BN9" t="s">
        <v>27</v>
      </c>
    </row>
    <row r="10" spans="1:73" x14ac:dyDescent="0.3">
      <c r="A10" s="3"/>
      <c r="B10">
        <v>230098</v>
      </c>
      <c r="C10">
        <v>62</v>
      </c>
      <c r="D10">
        <v>0.56799999999999995</v>
      </c>
      <c r="E10">
        <v>0.68600000000000005</v>
      </c>
      <c r="F10">
        <v>1</v>
      </c>
      <c r="G10">
        <v>-6.6349999999999998</v>
      </c>
      <c r="H10">
        <v>3.3000000000000002E-2</v>
      </c>
      <c r="I10">
        <v>0.15</v>
      </c>
      <c r="J10">
        <v>1.81E-6</v>
      </c>
      <c r="K10">
        <v>8.8099999999999998E-2</v>
      </c>
      <c r="L10">
        <v>0.72499999999999998</v>
      </c>
      <c r="M10" s="4">
        <v>172.07499999999999</v>
      </c>
      <c r="O10" s="3"/>
      <c r="P10" s="1">
        <f t="shared" si="23"/>
        <v>0.41581723827359934</v>
      </c>
      <c r="Q10" s="1">
        <f t="shared" si="10"/>
        <v>0.70967741935483875</v>
      </c>
      <c r="R10" s="1">
        <f t="shared" si="11"/>
        <v>0.67755102040816317</v>
      </c>
      <c r="S10" s="1">
        <f t="shared" si="12"/>
        <v>0.79871069596105781</v>
      </c>
      <c r="T10" s="1">
        <f t="shared" si="13"/>
        <v>9.0909090909090912E-2</v>
      </c>
      <c r="U10" s="1">
        <f t="shared" si="14"/>
        <v>0.74152884227511084</v>
      </c>
      <c r="V10" s="1">
        <f t="shared" si="15"/>
        <v>9.5607235142118871E-2</v>
      </c>
      <c r="W10" s="1">
        <f t="shared" si="16"/>
        <v>0.15776040835858987</v>
      </c>
      <c r="X10" s="1">
        <f t="shared" si="17"/>
        <v>3.0066445182724255E-5</v>
      </c>
      <c r="Y10" s="1">
        <f t="shared" si="18"/>
        <v>6.2644009216589858E-2</v>
      </c>
      <c r="Z10" s="1">
        <f t="shared" si="19"/>
        <v>1</v>
      </c>
      <c r="AA10" s="8">
        <f t="shared" si="20"/>
        <v>0.89461390849809408</v>
      </c>
      <c r="AB10" s="1"/>
      <c r="AC10" s="15">
        <f t="shared" si="36"/>
        <v>2.0420521714569624</v>
      </c>
      <c r="AD10" s="16">
        <f t="shared" si="24"/>
        <v>2.2091349441053221</v>
      </c>
      <c r="AE10" s="1">
        <f t="shared" si="25"/>
        <v>2.0420521714569624</v>
      </c>
      <c r="AF10">
        <f t="shared" si="26"/>
        <v>1</v>
      </c>
      <c r="AG10">
        <f t="shared" si="27"/>
        <v>0</v>
      </c>
      <c r="AS10" s="34">
        <f t="shared" si="21"/>
        <v>1.1591292562604563</v>
      </c>
      <c r="AT10" s="16">
        <f t="shared" si="22"/>
        <v>1.3920924276545901</v>
      </c>
      <c r="AU10" s="1">
        <f t="shared" si="28"/>
        <v>1.1591292562604563</v>
      </c>
      <c r="AV10">
        <f t="shared" si="29"/>
        <v>1</v>
      </c>
      <c r="AW10" s="4">
        <f t="shared" si="30"/>
        <v>0</v>
      </c>
      <c r="BH10" s="34">
        <f t="shared" si="31"/>
        <v>1.1534301219586589</v>
      </c>
      <c r="BI10" s="16">
        <f t="shared" si="32"/>
        <v>1.3920924276545901</v>
      </c>
      <c r="BJ10" s="1">
        <f t="shared" si="33"/>
        <v>1.1534301219586589</v>
      </c>
      <c r="BK10">
        <f t="shared" si="34"/>
        <v>1</v>
      </c>
      <c r="BL10" s="4">
        <f t="shared" si="35"/>
        <v>0</v>
      </c>
      <c r="BN10" t="s">
        <v>28</v>
      </c>
    </row>
    <row r="11" spans="1:73" x14ac:dyDescent="0.3">
      <c r="A11" s="3"/>
      <c r="B11">
        <v>214666</v>
      </c>
      <c r="C11">
        <v>61</v>
      </c>
      <c r="D11">
        <v>0.56399999999999995</v>
      </c>
      <c r="E11">
        <v>0.20899999999999999</v>
      </c>
      <c r="F11">
        <v>3</v>
      </c>
      <c r="G11">
        <v>-8.9220000000000006</v>
      </c>
      <c r="H11">
        <v>3.1699999999999999E-2</v>
      </c>
      <c r="I11">
        <v>0.72399999999999998</v>
      </c>
      <c r="J11">
        <v>3.9900000000000001E-5</v>
      </c>
      <c r="K11">
        <v>0.107</v>
      </c>
      <c r="L11">
        <v>0.40200000000000002</v>
      </c>
      <c r="M11" s="4">
        <v>109.024</v>
      </c>
      <c r="O11" s="3"/>
      <c r="P11" s="1">
        <f t="shared" si="23"/>
        <v>0.34227794536019102</v>
      </c>
      <c r="Q11" s="1">
        <f t="shared" si="10"/>
        <v>0.67741935483870963</v>
      </c>
      <c r="R11" s="1">
        <f t="shared" si="11"/>
        <v>0.66938775510204074</v>
      </c>
      <c r="S11" s="1">
        <f t="shared" si="12"/>
        <v>0.17116168925141428</v>
      </c>
      <c r="T11" s="1">
        <f t="shared" si="13"/>
        <v>0.27272727272727271</v>
      </c>
      <c r="U11" s="1">
        <f t="shared" si="14"/>
        <v>0.51089148850342869</v>
      </c>
      <c r="V11" s="1">
        <f t="shared" si="15"/>
        <v>7.8811369509043896E-2</v>
      </c>
      <c r="W11" s="1">
        <f t="shared" si="16"/>
        <v>0.76817142553304618</v>
      </c>
      <c r="X11" s="1">
        <f t="shared" si="17"/>
        <v>6.6279069767441869E-4</v>
      </c>
      <c r="Y11" s="1">
        <f t="shared" si="18"/>
        <v>8.9861751152073732E-2</v>
      </c>
      <c r="Z11" s="1">
        <f t="shared" si="19"/>
        <v>0.48328267477203651</v>
      </c>
      <c r="AA11" s="8">
        <f t="shared" si="20"/>
        <v>0.34713937152135599</v>
      </c>
      <c r="AB11" s="1"/>
      <c r="AC11" s="15">
        <f t="shared" si="36"/>
        <v>1.5320769480116152</v>
      </c>
      <c r="AD11" s="16">
        <f t="shared" si="24"/>
        <v>2.3502489222829164</v>
      </c>
      <c r="AE11" s="1">
        <f t="shared" si="25"/>
        <v>1.5320769480116152</v>
      </c>
      <c r="AF11">
        <f t="shared" si="26"/>
        <v>1</v>
      </c>
      <c r="AG11">
        <f t="shared" si="27"/>
        <v>0</v>
      </c>
      <c r="AS11" s="34">
        <f t="shared" si="21"/>
        <v>0.65854882971213202</v>
      </c>
      <c r="AT11" s="16">
        <f t="shared" si="22"/>
        <v>1.5737230875163262</v>
      </c>
      <c r="AU11" s="1">
        <f t="shared" si="28"/>
        <v>0.65854882971213202</v>
      </c>
      <c r="AV11">
        <f t="shared" si="29"/>
        <v>1</v>
      </c>
      <c r="AW11" s="4">
        <f t="shared" si="30"/>
        <v>0</v>
      </c>
      <c r="BH11" s="34">
        <f t="shared" si="31"/>
        <v>0.66239220944412036</v>
      </c>
      <c r="BI11" s="16">
        <f t="shared" si="32"/>
        <v>1.5737230875163262</v>
      </c>
      <c r="BJ11" s="1">
        <f t="shared" si="33"/>
        <v>0.66239220944412036</v>
      </c>
      <c r="BK11">
        <f t="shared" si="34"/>
        <v>1</v>
      </c>
      <c r="BL11" s="4">
        <f t="shared" si="35"/>
        <v>0</v>
      </c>
    </row>
    <row r="12" spans="1:73" x14ac:dyDescent="0.3">
      <c r="A12" s="3"/>
      <c r="B12">
        <v>209906</v>
      </c>
      <c r="C12">
        <v>58</v>
      </c>
      <c r="D12">
        <v>0.55900000000000005</v>
      </c>
      <c r="E12">
        <v>0.56200000000000006</v>
      </c>
      <c r="F12">
        <v>11</v>
      </c>
      <c r="G12">
        <v>-5.6740000000000004</v>
      </c>
      <c r="H12">
        <v>3.2500000000000001E-2</v>
      </c>
      <c r="I12">
        <v>0.20300000000000001</v>
      </c>
      <c r="J12">
        <v>9.4800000000000007E-6</v>
      </c>
      <c r="K12">
        <v>0.17</v>
      </c>
      <c r="L12">
        <v>0.42799999999999999</v>
      </c>
      <c r="M12" s="4">
        <v>132.06200000000001</v>
      </c>
      <c r="O12" s="3"/>
      <c r="P12" s="1">
        <f t="shared" si="23"/>
        <v>0.31959475236720086</v>
      </c>
      <c r="Q12" s="1">
        <f t="shared" si="10"/>
        <v>0.58064516129032262</v>
      </c>
      <c r="R12" s="1">
        <f t="shared" si="11"/>
        <v>0.65918367346938789</v>
      </c>
      <c r="S12" s="1">
        <f t="shared" si="12"/>
        <v>0.63557426654387594</v>
      </c>
      <c r="T12" s="1">
        <f t="shared" si="13"/>
        <v>1</v>
      </c>
      <c r="U12" s="1">
        <f t="shared" si="14"/>
        <v>0.83844292053247271</v>
      </c>
      <c r="V12" s="1">
        <f t="shared" si="15"/>
        <v>8.9147286821705432E-2</v>
      </c>
      <c r="W12" s="1">
        <f t="shared" si="16"/>
        <v>0.21412240123358325</v>
      </c>
      <c r="X12" s="1">
        <f t="shared" si="17"/>
        <v>1.5747508305647844E-4</v>
      </c>
      <c r="Y12" s="1">
        <f t="shared" si="18"/>
        <v>0.18058755760368664</v>
      </c>
      <c r="Z12" s="1">
        <f t="shared" si="19"/>
        <v>0.52487601983682608</v>
      </c>
      <c r="AA12" s="8">
        <f t="shared" si="20"/>
        <v>0.54717931351862958</v>
      </c>
      <c r="AB12" s="1"/>
      <c r="AC12" s="15">
        <f>SQRT(
($P$2 - P12)^2 +
($Q$2 -Q12)^2 +
($R$2 - R12)^2 +
($S$2 - S12)^2 +
($T$2 - T12)^2 +
($U$2 - U12)^2 +
($V$2 - V12)^2 +
($W$2 - W12)^2 +
($X$2 - X12)^2 +
($Y$2 - Y12)^2 +
($Z$2 - Z12)^2 +
($AA$2 - AA12)^2)</f>
        <v>1.9084185791599186</v>
      </c>
      <c r="AD12" s="16">
        <f t="shared" si="24"/>
        <v>2.1125907830626516</v>
      </c>
      <c r="AE12" s="1">
        <f t="shared" si="25"/>
        <v>1.9084185791599186</v>
      </c>
      <c r="AF12">
        <f t="shared" si="26"/>
        <v>1</v>
      </c>
      <c r="AG12">
        <f t="shared" si="27"/>
        <v>0</v>
      </c>
      <c r="AS12" s="34">
        <f t="shared" si="21"/>
        <v>0.72717492642741077</v>
      </c>
      <c r="AT12" s="16">
        <f t="shared" si="22"/>
        <v>1.2167304613669137</v>
      </c>
      <c r="AU12" s="1">
        <f t="shared" si="28"/>
        <v>0.72717492642741077</v>
      </c>
      <c r="AV12">
        <f t="shared" si="29"/>
        <v>1</v>
      </c>
      <c r="AW12" s="4">
        <f t="shared" si="30"/>
        <v>0</v>
      </c>
      <c r="BH12" s="34">
        <f t="shared" si="31"/>
        <v>0.71404912570415013</v>
      </c>
      <c r="BI12" s="16">
        <f t="shared" si="32"/>
        <v>1.2167304613669137</v>
      </c>
      <c r="BJ12" s="1">
        <f t="shared" si="33"/>
        <v>0.71404912570415013</v>
      </c>
      <c r="BK12">
        <f t="shared" si="34"/>
        <v>1</v>
      </c>
      <c r="BL12" s="4">
        <f t="shared" si="35"/>
        <v>0</v>
      </c>
    </row>
    <row r="13" spans="1:73" x14ac:dyDescent="0.3">
      <c r="A13" s="3"/>
      <c r="B13">
        <v>279373</v>
      </c>
      <c r="C13">
        <v>58</v>
      </c>
      <c r="D13">
        <v>0.23599999999999999</v>
      </c>
      <c r="E13">
        <v>0.57799999999999996</v>
      </c>
      <c r="F13">
        <v>7</v>
      </c>
      <c r="G13">
        <v>-5.4770000000000003</v>
      </c>
      <c r="H13">
        <v>4.0399999999999998E-2</v>
      </c>
      <c r="I13">
        <v>0.32700000000000001</v>
      </c>
      <c r="J13">
        <v>1.4999999999999999E-4</v>
      </c>
      <c r="K13">
        <v>0.20599999999999999</v>
      </c>
      <c r="L13">
        <v>0.22700000000000001</v>
      </c>
      <c r="M13" s="4">
        <v>75.367000000000004</v>
      </c>
      <c r="O13" s="3"/>
      <c r="P13" s="1">
        <f t="shared" si="23"/>
        <v>0.65063117414116001</v>
      </c>
      <c r="Q13" s="1">
        <f t="shared" si="10"/>
        <v>0.58064516129032262</v>
      </c>
      <c r="R13" s="1">
        <f t="shared" si="11"/>
        <v>0</v>
      </c>
      <c r="S13" s="1">
        <f t="shared" si="12"/>
        <v>0.65662412840415729</v>
      </c>
      <c r="T13" s="1">
        <f t="shared" si="13"/>
        <v>0.63636363636363635</v>
      </c>
      <c r="U13" s="1">
        <f t="shared" si="14"/>
        <v>0.85830980233965293</v>
      </c>
      <c r="V13" s="1">
        <f t="shared" si="15"/>
        <v>0.19121447028423769</v>
      </c>
      <c r="W13" s="1">
        <f t="shared" si="16"/>
        <v>0.34598819588451113</v>
      </c>
      <c r="X13" s="1">
        <f t="shared" si="17"/>
        <v>2.4916943521594683E-3</v>
      </c>
      <c r="Y13" s="1">
        <f t="shared" si="18"/>
        <v>0.23243087557603684</v>
      </c>
      <c r="Z13" s="1">
        <f t="shared" si="19"/>
        <v>0.20332746760518317</v>
      </c>
      <c r="AA13" s="8">
        <f t="shared" si="20"/>
        <v>5.489419712243962E-2</v>
      </c>
      <c r="AB13" s="1"/>
      <c r="AC13" s="15">
        <f t="shared" si="36"/>
        <v>1.6087062896423061</v>
      </c>
      <c r="AD13" s="16">
        <f t="shared" si="24"/>
        <v>2.4004362769312833</v>
      </c>
      <c r="AE13" s="1">
        <f t="shared" si="25"/>
        <v>1.6087062896423061</v>
      </c>
      <c r="AF13">
        <f t="shared" si="26"/>
        <v>1</v>
      </c>
      <c r="AG13">
        <f t="shared" si="27"/>
        <v>0</v>
      </c>
      <c r="AS13" s="34">
        <f t="shared" si="21"/>
        <v>0.88237527893552614</v>
      </c>
      <c r="AT13" s="16">
        <f t="shared" si="22"/>
        <v>1.4470247944213324</v>
      </c>
      <c r="AU13" s="1">
        <f t="shared" si="28"/>
        <v>0.88237527893552614</v>
      </c>
      <c r="AV13">
        <f t="shared" si="29"/>
        <v>1</v>
      </c>
      <c r="AW13" s="4">
        <f t="shared" si="30"/>
        <v>0</v>
      </c>
      <c r="BH13" s="34">
        <f t="shared" si="31"/>
        <v>0.88642398393471744</v>
      </c>
      <c r="BI13" s="16">
        <f t="shared" si="32"/>
        <v>1.4470247944213324</v>
      </c>
      <c r="BJ13" s="1">
        <f t="shared" si="33"/>
        <v>0.88642398393471744</v>
      </c>
      <c r="BK13">
        <f t="shared" si="34"/>
        <v>1</v>
      </c>
      <c r="BL13" s="4">
        <f t="shared" si="35"/>
        <v>0</v>
      </c>
    </row>
    <row r="14" spans="1:73" x14ac:dyDescent="0.3">
      <c r="A14" s="3"/>
      <c r="B14">
        <v>206267</v>
      </c>
      <c r="C14">
        <v>58</v>
      </c>
      <c r="D14">
        <v>0.60599999999999998</v>
      </c>
      <c r="E14">
        <v>0.32600000000000001</v>
      </c>
      <c r="F14">
        <v>10</v>
      </c>
      <c r="G14">
        <v>-10.031000000000001</v>
      </c>
      <c r="H14">
        <v>2.9399999999999999E-2</v>
      </c>
      <c r="I14">
        <v>0.84099999999999997</v>
      </c>
      <c r="J14">
        <v>0</v>
      </c>
      <c r="K14">
        <v>0.13900000000000001</v>
      </c>
      <c r="L14">
        <v>0.41399999999999998</v>
      </c>
      <c r="M14" s="4">
        <v>91.626000000000005</v>
      </c>
      <c r="O14" s="3"/>
      <c r="P14" s="1">
        <f t="shared" si="23"/>
        <v>0.30225354663159348</v>
      </c>
      <c r="Q14" s="1">
        <f t="shared" si="10"/>
        <v>0.58064516129032262</v>
      </c>
      <c r="R14" s="1">
        <f t="shared" si="11"/>
        <v>0.75510204081632648</v>
      </c>
      <c r="S14" s="1">
        <f t="shared" si="12"/>
        <v>0.32508880410472307</v>
      </c>
      <c r="T14" s="1">
        <f t="shared" si="13"/>
        <v>0.90909090909090906</v>
      </c>
      <c r="U14" s="1">
        <f t="shared" si="14"/>
        <v>0.39905203711173848</v>
      </c>
      <c r="V14" s="1">
        <f t="shared" si="15"/>
        <v>4.9095607235142093E-2</v>
      </c>
      <c r="W14" s="1">
        <f t="shared" si="16"/>
        <v>0.8925931833891636</v>
      </c>
      <c r="X14" s="1">
        <f t="shared" si="17"/>
        <v>0</v>
      </c>
      <c r="Y14" s="1">
        <f t="shared" si="18"/>
        <v>0.13594470046082952</v>
      </c>
      <c r="Z14" s="1">
        <f t="shared" si="19"/>
        <v>0.50247960326347785</v>
      </c>
      <c r="AA14" s="8">
        <f t="shared" si="20"/>
        <v>0.19607179139857778</v>
      </c>
      <c r="AB14" s="1"/>
      <c r="AC14" s="15">
        <f t="shared" si="36"/>
        <v>1.7884631592625184</v>
      </c>
      <c r="AD14" s="16">
        <f t="shared" si="24"/>
        <v>2.2591515448180228</v>
      </c>
      <c r="AE14" s="1">
        <f t="shared" si="25"/>
        <v>1.7884631592625184</v>
      </c>
      <c r="AF14">
        <f t="shared" si="26"/>
        <v>1</v>
      </c>
      <c r="AG14">
        <f t="shared" si="27"/>
        <v>0</v>
      </c>
      <c r="AS14" s="34">
        <f t="shared" si="21"/>
        <v>0.6969517777418518</v>
      </c>
      <c r="AT14" s="16">
        <f t="shared" si="22"/>
        <v>1.5688308565845033</v>
      </c>
      <c r="AU14" s="1">
        <f t="shared" si="28"/>
        <v>0.6969517777418518</v>
      </c>
      <c r="AV14">
        <f t="shared" si="29"/>
        <v>1</v>
      </c>
      <c r="AW14" s="4">
        <f t="shared" si="30"/>
        <v>0</v>
      </c>
      <c r="BH14" s="34">
        <f t="shared" si="31"/>
        <v>0.68908123538085453</v>
      </c>
      <c r="BI14" s="16">
        <f t="shared" si="32"/>
        <v>1.5688308565845033</v>
      </c>
      <c r="BJ14" s="1">
        <f t="shared" si="33"/>
        <v>0.68908123538085453</v>
      </c>
      <c r="BK14">
        <f t="shared" si="34"/>
        <v>1</v>
      </c>
      <c r="BL14" s="4">
        <f t="shared" si="35"/>
        <v>0</v>
      </c>
    </row>
    <row r="15" spans="1:73" x14ac:dyDescent="0.3">
      <c r="A15" s="3"/>
      <c r="B15">
        <v>152946</v>
      </c>
      <c r="C15">
        <v>53</v>
      </c>
      <c r="D15">
        <v>0.63800000000000001</v>
      </c>
      <c r="E15">
        <v>0.45200000000000001</v>
      </c>
      <c r="F15">
        <v>9</v>
      </c>
      <c r="G15">
        <v>-9.6159999999999997</v>
      </c>
      <c r="H15">
        <v>2.9700000000000001E-2</v>
      </c>
      <c r="I15">
        <v>0.60799999999999998</v>
      </c>
      <c r="J15">
        <v>5.7700000000000001E-2</v>
      </c>
      <c r="K15">
        <v>0.112</v>
      </c>
      <c r="L15">
        <v>0.34100000000000003</v>
      </c>
      <c r="M15" s="4">
        <v>100.105</v>
      </c>
      <c r="O15" s="3"/>
      <c r="P15" s="1">
        <f t="shared" si="23"/>
        <v>4.8158896719991233E-2</v>
      </c>
      <c r="Q15" s="1">
        <f t="shared" si="10"/>
        <v>0.41935483870967744</v>
      </c>
      <c r="R15" s="1">
        <f t="shared" si="11"/>
        <v>0.82040816326530619</v>
      </c>
      <c r="S15" s="1">
        <f t="shared" si="12"/>
        <v>0.49085646625444018</v>
      </c>
      <c r="T15" s="1">
        <f t="shared" si="13"/>
        <v>0.81818181818181823</v>
      </c>
      <c r="U15" s="1">
        <f t="shared" si="14"/>
        <v>0.44090359015732145</v>
      </c>
      <c r="V15" s="1">
        <f t="shared" si="15"/>
        <v>5.2971576227390176E-2</v>
      </c>
      <c r="W15" s="1">
        <f t="shared" si="16"/>
        <v>0.6448131015047589</v>
      </c>
      <c r="X15" s="1">
        <f t="shared" si="17"/>
        <v>0.95847176079734231</v>
      </c>
      <c r="Y15" s="1">
        <f t="shared" si="18"/>
        <v>9.7062211981566823E-2</v>
      </c>
      <c r="Z15" s="1">
        <f t="shared" si="19"/>
        <v>0.38569828827387626</v>
      </c>
      <c r="AA15" s="8">
        <f t="shared" si="20"/>
        <v>0.26969531202514613</v>
      </c>
      <c r="AB15" s="1"/>
      <c r="AC15" s="15">
        <f t="shared" si="36"/>
        <v>1.8772806642114623</v>
      </c>
      <c r="AD15" s="16">
        <f t="shared" si="24"/>
        <v>2.1519829562580086</v>
      </c>
      <c r="AE15" s="1">
        <f t="shared" si="25"/>
        <v>1.8772806642114623</v>
      </c>
      <c r="AF15">
        <f t="shared" si="26"/>
        <v>1</v>
      </c>
      <c r="AG15">
        <f t="shared" si="27"/>
        <v>0</v>
      </c>
      <c r="AS15" s="34">
        <f t="shared" si="21"/>
        <v>1.079328656937379</v>
      </c>
      <c r="AT15" s="16">
        <f t="shared" si="22"/>
        <v>1.6701936686766703</v>
      </c>
      <c r="AU15" s="1">
        <f t="shared" si="28"/>
        <v>1.079328656937379</v>
      </c>
      <c r="AV15">
        <f t="shared" si="29"/>
        <v>1</v>
      </c>
      <c r="AW15" s="4">
        <f t="shared" si="30"/>
        <v>0</v>
      </c>
      <c r="BH15" s="34">
        <f t="shared" si="31"/>
        <v>1.0775500197776615</v>
      </c>
      <c r="BI15" s="16">
        <f t="shared" si="32"/>
        <v>1.6701936686766703</v>
      </c>
      <c r="BJ15" s="1">
        <f t="shared" si="33"/>
        <v>1.0775500197776615</v>
      </c>
      <c r="BK15">
        <f t="shared" si="34"/>
        <v>1</v>
      </c>
      <c r="BL15" s="4">
        <f t="shared" si="35"/>
        <v>0</v>
      </c>
    </row>
    <row r="16" spans="1:73" x14ac:dyDescent="0.3">
      <c r="A16" s="3"/>
      <c r="B16">
        <v>212480</v>
      </c>
      <c r="C16">
        <v>57</v>
      </c>
      <c r="D16">
        <v>0.55400000000000005</v>
      </c>
      <c r="E16">
        <v>0.47</v>
      </c>
      <c r="F16">
        <v>8</v>
      </c>
      <c r="G16">
        <v>-6.6040000000000001</v>
      </c>
      <c r="H16">
        <v>5.4800000000000001E-2</v>
      </c>
      <c r="I16">
        <v>0.77</v>
      </c>
      <c r="J16">
        <v>2.6000000000000001E-6</v>
      </c>
      <c r="K16">
        <v>0.106</v>
      </c>
      <c r="L16">
        <v>0.34599999999999997</v>
      </c>
      <c r="M16" s="4">
        <v>95.597999999999999</v>
      </c>
      <c r="O16" s="3"/>
      <c r="P16" s="1">
        <f t="shared" si="23"/>
        <v>0.33186083193946064</v>
      </c>
      <c r="Q16" s="1">
        <f t="shared" si="10"/>
        <v>0.54838709677419351</v>
      </c>
      <c r="R16" s="1">
        <f t="shared" si="11"/>
        <v>0.64897959183673481</v>
      </c>
      <c r="S16" s="1">
        <f t="shared" si="12"/>
        <v>0.51453756084725699</v>
      </c>
      <c r="T16" s="1">
        <f t="shared" si="13"/>
        <v>0.72727272727272729</v>
      </c>
      <c r="U16" s="1">
        <f t="shared" si="14"/>
        <v>0.744655102864058</v>
      </c>
      <c r="V16" s="1">
        <f t="shared" si="15"/>
        <v>0.37726098191214474</v>
      </c>
      <c r="W16" s="1">
        <f t="shared" si="16"/>
        <v>0.81708938161322919</v>
      </c>
      <c r="X16" s="1">
        <f t="shared" si="17"/>
        <v>4.3189368770764125E-5</v>
      </c>
      <c r="Y16" s="1">
        <f t="shared" si="18"/>
        <v>8.8421658986175114E-2</v>
      </c>
      <c r="Z16" s="1">
        <f t="shared" si="19"/>
        <v>0.39369700847864342</v>
      </c>
      <c r="AA16" s="8">
        <f t="shared" si="20"/>
        <v>0.2305608377399776</v>
      </c>
      <c r="AB16" s="1"/>
      <c r="AC16" s="15">
        <f t="shared" si="36"/>
        <v>1.7905739878400384</v>
      </c>
      <c r="AD16" s="16">
        <f t="shared" si="24"/>
        <v>2.0882105417468408</v>
      </c>
      <c r="AE16" s="1">
        <f t="shared" si="25"/>
        <v>1.7905739878400384</v>
      </c>
      <c r="AF16">
        <f t="shared" si="26"/>
        <v>1</v>
      </c>
      <c r="AG16">
        <f t="shared" si="27"/>
        <v>0</v>
      </c>
      <c r="AS16" s="34">
        <f t="shared" si="21"/>
        <v>0.52553553754495075</v>
      </c>
      <c r="AT16" s="16">
        <f t="shared" si="22"/>
        <v>1.2351577773857161</v>
      </c>
      <c r="AU16" s="1">
        <f t="shared" si="28"/>
        <v>0.52553553754495075</v>
      </c>
      <c r="AV16">
        <f t="shared" si="29"/>
        <v>1</v>
      </c>
      <c r="AW16" s="4">
        <f t="shared" si="30"/>
        <v>0</v>
      </c>
      <c r="BH16" s="34">
        <f t="shared" si="31"/>
        <v>0.51081952920364926</v>
      </c>
      <c r="BI16" s="16">
        <f t="shared" si="32"/>
        <v>1.2351577773857161</v>
      </c>
      <c r="BJ16" s="1">
        <f t="shared" si="33"/>
        <v>0.51081952920364926</v>
      </c>
      <c r="BK16">
        <f t="shared" si="34"/>
        <v>1</v>
      </c>
      <c r="BL16" s="4">
        <f t="shared" si="35"/>
        <v>0</v>
      </c>
    </row>
    <row r="17" spans="1:64" x14ac:dyDescent="0.3">
      <c r="A17" s="3"/>
      <c r="B17">
        <v>241146</v>
      </c>
      <c r="C17">
        <v>54</v>
      </c>
      <c r="D17">
        <v>0.57699999999999996</v>
      </c>
      <c r="E17">
        <v>0.53</v>
      </c>
      <c r="F17">
        <v>7</v>
      </c>
      <c r="G17">
        <v>-6.7489999999999997</v>
      </c>
      <c r="H17">
        <v>3.1199999999999999E-2</v>
      </c>
      <c r="I17">
        <v>0.54400000000000004</v>
      </c>
      <c r="J17">
        <v>3.2899999999999998E-6</v>
      </c>
      <c r="K17">
        <v>0.10299999999999999</v>
      </c>
      <c r="L17">
        <v>0.22</v>
      </c>
      <c r="M17" s="4">
        <v>85.471000000000004</v>
      </c>
      <c r="O17" s="3"/>
      <c r="P17" s="1">
        <f t="shared" si="23"/>
        <v>0.46846511982539663</v>
      </c>
      <c r="Q17" s="1">
        <f t="shared" si="10"/>
        <v>0.45161290322580644</v>
      </c>
      <c r="R17" s="1">
        <f t="shared" si="11"/>
        <v>0.69591836734693868</v>
      </c>
      <c r="S17" s="1">
        <f t="shared" si="12"/>
        <v>0.5934745428233128</v>
      </c>
      <c r="T17" s="1">
        <f t="shared" si="13"/>
        <v>0.63636363636363635</v>
      </c>
      <c r="U17" s="1">
        <f t="shared" si="14"/>
        <v>0.73003227107704716</v>
      </c>
      <c r="V17" s="1">
        <f t="shared" si="15"/>
        <v>7.2351421188630458E-2</v>
      </c>
      <c r="W17" s="1">
        <f t="shared" si="16"/>
        <v>0.57675333652363492</v>
      </c>
      <c r="X17" s="1">
        <f t="shared" si="17"/>
        <v>5.4651162790697672E-5</v>
      </c>
      <c r="Y17" s="1">
        <f t="shared" si="18"/>
        <v>8.4101382488479245E-2</v>
      </c>
      <c r="Z17" s="1">
        <f t="shared" si="19"/>
        <v>0.19212925931850905</v>
      </c>
      <c r="AA17" s="8">
        <f t="shared" si="20"/>
        <v>0.14262766243802483</v>
      </c>
      <c r="AB17" s="1"/>
      <c r="AC17" s="15">
        <f t="shared" si="36"/>
        <v>1.6124647194851403</v>
      </c>
      <c r="AD17" s="16">
        <f t="shared" si="24"/>
        <v>2.304836949551937</v>
      </c>
      <c r="AE17" s="1">
        <f t="shared" si="25"/>
        <v>1.6124647194851403</v>
      </c>
      <c r="AF17">
        <f t="shared" si="26"/>
        <v>1</v>
      </c>
      <c r="AG17">
        <f t="shared" si="27"/>
        <v>0</v>
      </c>
      <c r="AS17" s="34">
        <f t="shared" si="21"/>
        <v>0.49355336518191856</v>
      </c>
      <c r="AT17" s="16">
        <f t="shared" si="22"/>
        <v>1.4523480933028958</v>
      </c>
      <c r="AU17" s="1">
        <f t="shared" si="28"/>
        <v>0.49355336518191856</v>
      </c>
      <c r="AV17">
        <f t="shared" si="29"/>
        <v>1</v>
      </c>
      <c r="AW17" s="4">
        <f t="shared" si="30"/>
        <v>0</v>
      </c>
      <c r="BH17" s="34">
        <f t="shared" si="31"/>
        <v>0.48970839856354353</v>
      </c>
      <c r="BI17" s="16">
        <f t="shared" si="32"/>
        <v>1.4523480933028958</v>
      </c>
      <c r="BJ17" s="1">
        <f t="shared" si="33"/>
        <v>0.48970839856354353</v>
      </c>
      <c r="BK17">
        <f t="shared" si="34"/>
        <v>1</v>
      </c>
      <c r="BL17" s="4">
        <f t="shared" si="35"/>
        <v>0</v>
      </c>
    </row>
    <row r="18" spans="1:64" x14ac:dyDescent="0.3">
      <c r="A18" s="3"/>
      <c r="B18">
        <v>185228</v>
      </c>
      <c r="C18">
        <v>53</v>
      </c>
      <c r="D18">
        <v>0.41899999999999998</v>
      </c>
      <c r="E18">
        <v>0.26900000000000002</v>
      </c>
      <c r="F18">
        <v>7</v>
      </c>
      <c r="G18">
        <v>-9.3879999999999999</v>
      </c>
      <c r="H18">
        <v>3.56E-2</v>
      </c>
      <c r="I18">
        <v>0.626</v>
      </c>
      <c r="J18">
        <v>1.8300000000000001E-5</v>
      </c>
      <c r="K18">
        <v>0.11600000000000001</v>
      </c>
      <c r="L18">
        <v>0.152</v>
      </c>
      <c r="M18" s="4">
        <v>121.69499999999999</v>
      </c>
      <c r="O18" s="3"/>
      <c r="P18" s="1">
        <f t="shared" si="23"/>
        <v>0.20199478667791296</v>
      </c>
      <c r="Q18" s="1">
        <f t="shared" si="10"/>
        <v>0.41935483870967744</v>
      </c>
      <c r="R18" s="1">
        <f t="shared" si="11"/>
        <v>0.37346938775510202</v>
      </c>
      <c r="S18" s="1">
        <f t="shared" si="12"/>
        <v>0.25009867122747009</v>
      </c>
      <c r="T18" s="1">
        <f t="shared" si="13"/>
        <v>0.63636363636363635</v>
      </c>
      <c r="U18" s="1">
        <f t="shared" si="14"/>
        <v>0.46389673255344893</v>
      </c>
      <c r="V18" s="1">
        <f t="shared" si="15"/>
        <v>0.12919896640826872</v>
      </c>
      <c r="W18" s="1">
        <f t="shared" si="16"/>
        <v>0.66395491040569998</v>
      </c>
      <c r="X18" s="1">
        <f t="shared" si="17"/>
        <v>3.0398671096345517E-4</v>
      </c>
      <c r="Y18" s="1">
        <f t="shared" si="18"/>
        <v>0.1028225806451613</v>
      </c>
      <c r="Z18" s="1">
        <f t="shared" si="19"/>
        <v>8.3346664533674605E-2</v>
      </c>
      <c r="AA18" s="8">
        <f t="shared" si="20"/>
        <v>0.45716220792414491</v>
      </c>
      <c r="AB18" s="1"/>
      <c r="AC18" s="15">
        <f t="shared" si="36"/>
        <v>1.3125901805240408</v>
      </c>
      <c r="AD18" s="16">
        <f t="shared" si="24"/>
        <v>2.4817248522303617</v>
      </c>
      <c r="AE18" s="1">
        <f t="shared" si="25"/>
        <v>1.3125901805240408</v>
      </c>
      <c r="AF18">
        <f t="shared" si="26"/>
        <v>1</v>
      </c>
      <c r="AG18">
        <f t="shared" si="27"/>
        <v>0</v>
      </c>
      <c r="AS18" s="34">
        <f t="shared" si="21"/>
        <v>0.49521476446008339</v>
      </c>
      <c r="AT18" s="16">
        <f t="shared" si="22"/>
        <v>1.5771726814367786</v>
      </c>
      <c r="AU18" s="1">
        <f t="shared" si="28"/>
        <v>0.49521476446008339</v>
      </c>
      <c r="AV18">
        <f t="shared" si="29"/>
        <v>1</v>
      </c>
      <c r="AW18" s="4">
        <f t="shared" si="30"/>
        <v>0</v>
      </c>
      <c r="BH18" s="34">
        <f t="shared" si="31"/>
        <v>0.5089527471634181</v>
      </c>
      <c r="BI18" s="16">
        <f t="shared" si="32"/>
        <v>1.5771726814367786</v>
      </c>
      <c r="BJ18" s="1">
        <f t="shared" si="33"/>
        <v>0.5089527471634181</v>
      </c>
      <c r="BK18">
        <f t="shared" si="34"/>
        <v>1</v>
      </c>
      <c r="BL18" s="4">
        <f t="shared" si="35"/>
        <v>0</v>
      </c>
    </row>
    <row r="19" spans="1:64" x14ac:dyDescent="0.3">
      <c r="A19" s="3"/>
      <c r="B19">
        <v>259558</v>
      </c>
      <c r="C19">
        <v>55</v>
      </c>
      <c r="D19">
        <v>0.35399999999999998</v>
      </c>
      <c r="E19">
        <v>0.20599999999999999</v>
      </c>
      <c r="F19">
        <v>0</v>
      </c>
      <c r="G19">
        <v>-11.798999999999999</v>
      </c>
      <c r="H19">
        <v>3.6499999999999998E-2</v>
      </c>
      <c r="I19">
        <v>0.77900000000000003</v>
      </c>
      <c r="J19">
        <v>2.1000000000000001E-4</v>
      </c>
      <c r="K19">
        <v>9.5899999999999999E-2</v>
      </c>
      <c r="L19">
        <v>0.20200000000000001</v>
      </c>
      <c r="M19" s="4">
        <v>139.05600000000001</v>
      </c>
      <c r="O19" s="3"/>
      <c r="P19" s="1">
        <f t="shared" si="23"/>
        <v>0.55620523524281973</v>
      </c>
      <c r="Q19" s="1">
        <f t="shared" si="10"/>
        <v>0.4838709677419355</v>
      </c>
      <c r="R19" s="1">
        <f t="shared" si="11"/>
        <v>0.24081632653061225</v>
      </c>
      <c r="S19" s="1">
        <f t="shared" si="12"/>
        <v>0.16721484015261148</v>
      </c>
      <c r="T19" s="1">
        <f t="shared" si="13"/>
        <v>0</v>
      </c>
      <c r="U19" s="1">
        <f t="shared" si="14"/>
        <v>0.22075433642597822</v>
      </c>
      <c r="V19" s="1">
        <f t="shared" si="15"/>
        <v>0.14082687338501287</v>
      </c>
      <c r="W19" s="1">
        <f t="shared" si="16"/>
        <v>0.82666028606369979</v>
      </c>
      <c r="X19" s="1">
        <f t="shared" si="17"/>
        <v>3.4883720930232562E-3</v>
      </c>
      <c r="Y19" s="1">
        <f t="shared" si="18"/>
        <v>7.3876728110599074E-2</v>
      </c>
      <c r="Z19" s="1">
        <f t="shared" si="19"/>
        <v>0.16333386658134699</v>
      </c>
      <c r="AA19" s="8">
        <f t="shared" si="20"/>
        <v>0.60790851546015801</v>
      </c>
      <c r="AB19" s="1"/>
      <c r="AC19" s="15">
        <f t="shared" si="36"/>
        <v>1.3353206550251377</v>
      </c>
      <c r="AD19" s="16">
        <f t="shared" si="24"/>
        <v>2.6102046962185113</v>
      </c>
      <c r="AE19" s="1">
        <f t="shared" si="25"/>
        <v>1.3353206550251377</v>
      </c>
      <c r="AF19">
        <f t="shared" si="26"/>
        <v>1</v>
      </c>
      <c r="AG19">
        <f t="shared" si="27"/>
        <v>0</v>
      </c>
      <c r="AS19" s="34">
        <f t="shared" si="21"/>
        <v>0.93118704388098095</v>
      </c>
      <c r="AT19" s="16">
        <f t="shared" si="22"/>
        <v>1.7830409579263722</v>
      </c>
      <c r="AU19" s="1">
        <f t="shared" si="28"/>
        <v>0.93118704388098095</v>
      </c>
      <c r="AV19">
        <f t="shared" si="29"/>
        <v>1</v>
      </c>
      <c r="AW19" s="4">
        <f t="shared" si="30"/>
        <v>0</v>
      </c>
      <c r="BH19" s="34">
        <f t="shared" si="31"/>
        <v>0.94453068460384726</v>
      </c>
      <c r="BI19" s="16">
        <f t="shared" si="32"/>
        <v>1.7830409579263722</v>
      </c>
      <c r="BJ19" s="1">
        <f t="shared" si="33"/>
        <v>0.94453068460384726</v>
      </c>
      <c r="BK19">
        <f t="shared" si="34"/>
        <v>1</v>
      </c>
      <c r="BL19" s="4">
        <f t="shared" si="35"/>
        <v>0</v>
      </c>
    </row>
    <row r="20" spans="1:64" x14ac:dyDescent="0.3">
      <c r="A20" s="3"/>
      <c r="B20">
        <v>185421</v>
      </c>
      <c r="C20">
        <v>52</v>
      </c>
      <c r="D20">
        <v>0.32700000000000001</v>
      </c>
      <c r="E20">
        <v>0.16800000000000001</v>
      </c>
      <c r="F20">
        <v>9</v>
      </c>
      <c r="G20">
        <v>-13.988</v>
      </c>
      <c r="H20">
        <v>4.99E-2</v>
      </c>
      <c r="I20">
        <v>0.91200000000000003</v>
      </c>
      <c r="J20">
        <v>2.4500000000000001E-2</v>
      </c>
      <c r="K20">
        <v>9.7299999999999998E-2</v>
      </c>
      <c r="L20">
        <v>9.9900000000000003E-2</v>
      </c>
      <c r="M20" s="4">
        <v>76.778999999999996</v>
      </c>
      <c r="O20" s="3"/>
      <c r="P20" s="1">
        <f t="shared" si="23"/>
        <v>0.20291450437699848</v>
      </c>
      <c r="Q20" s="1">
        <f t="shared" si="10"/>
        <v>0.38709677419354838</v>
      </c>
      <c r="R20" s="1">
        <f t="shared" si="11"/>
        <v>0.18571428571428578</v>
      </c>
      <c r="S20" s="1">
        <f t="shared" si="12"/>
        <v>0.11722141823444285</v>
      </c>
      <c r="T20" s="1">
        <f t="shared" si="13"/>
        <v>0.81818181818181823</v>
      </c>
      <c r="U20" s="1">
        <f t="shared" si="14"/>
        <v>0</v>
      </c>
      <c r="V20" s="1">
        <f t="shared" si="15"/>
        <v>0.31395348837209303</v>
      </c>
      <c r="W20" s="1">
        <f t="shared" si="16"/>
        <v>0.96809698516509823</v>
      </c>
      <c r="X20" s="1">
        <f t="shared" si="17"/>
        <v>0.40697674418604657</v>
      </c>
      <c r="Y20" s="1">
        <f t="shared" si="18"/>
        <v>7.5892857142857137E-2</v>
      </c>
      <c r="Z20" s="1">
        <f t="shared" si="19"/>
        <v>0</v>
      </c>
      <c r="AA20" s="8">
        <f t="shared" si="20"/>
        <v>6.7154653676834472E-2</v>
      </c>
      <c r="AB20" s="1"/>
      <c r="AC20" s="15">
        <f t="shared" si="36"/>
        <v>1.4561416353579675</v>
      </c>
      <c r="AD20" s="16">
        <f t="shared" si="24"/>
        <v>2.6521578768495151</v>
      </c>
      <c r="AE20" s="1">
        <f t="shared" si="25"/>
        <v>1.4561416353579675</v>
      </c>
      <c r="AF20">
        <f t="shared" si="26"/>
        <v>1</v>
      </c>
      <c r="AG20">
        <f t="shared" si="27"/>
        <v>0</v>
      </c>
      <c r="AS20" s="34">
        <f t="shared" si="21"/>
        <v>1.1184250703283229</v>
      </c>
      <c r="AT20" s="16">
        <f t="shared" si="22"/>
        <v>1.9417213577658723</v>
      </c>
      <c r="AU20" s="1">
        <f t="shared" si="28"/>
        <v>1.1184250703283229</v>
      </c>
      <c r="AV20">
        <f t="shared" si="29"/>
        <v>1</v>
      </c>
      <c r="AW20" s="4">
        <f t="shared" si="30"/>
        <v>0</v>
      </c>
      <c r="BH20" s="34">
        <f t="shared" si="31"/>
        <v>1.129970576493275</v>
      </c>
      <c r="BI20" s="16">
        <f t="shared" si="32"/>
        <v>1.9417213577658723</v>
      </c>
      <c r="BJ20" s="1">
        <f t="shared" si="33"/>
        <v>1.129970576493275</v>
      </c>
      <c r="BK20">
        <f t="shared" si="34"/>
        <v>1</v>
      </c>
      <c r="BL20" s="4">
        <f t="shared" si="35"/>
        <v>0</v>
      </c>
    </row>
    <row r="21" spans="1:64" x14ac:dyDescent="0.3">
      <c r="A21" s="3"/>
      <c r="B21">
        <v>211674</v>
      </c>
      <c r="C21">
        <v>51</v>
      </c>
      <c r="D21">
        <v>0.42499999999999999</v>
      </c>
      <c r="E21">
        <v>0.25800000000000001</v>
      </c>
      <c r="F21">
        <v>6</v>
      </c>
      <c r="G21">
        <v>-9.3239999999999998</v>
      </c>
      <c r="H21">
        <v>3.5999999999999997E-2</v>
      </c>
      <c r="I21">
        <v>0.73599999999999999</v>
      </c>
      <c r="J21">
        <v>0</v>
      </c>
      <c r="K21">
        <v>7.3400000000000007E-2</v>
      </c>
      <c r="L21">
        <v>0.311</v>
      </c>
      <c r="M21" s="4">
        <v>162.761</v>
      </c>
      <c r="O21" s="3"/>
      <c r="P21" s="1">
        <f t="shared" si="23"/>
        <v>0.32801993833602577</v>
      </c>
      <c r="Q21" s="1">
        <f t="shared" si="10"/>
        <v>0.35483870967741937</v>
      </c>
      <c r="R21" s="1">
        <f t="shared" si="11"/>
        <v>0.38571428571428573</v>
      </c>
      <c r="S21" s="1">
        <f t="shared" si="12"/>
        <v>0.23562689119852653</v>
      </c>
      <c r="T21" s="1">
        <f t="shared" si="13"/>
        <v>0.54545454545454541</v>
      </c>
      <c r="U21" s="1">
        <f t="shared" si="14"/>
        <v>0.47035094796288823</v>
      </c>
      <c r="V21" s="1">
        <f t="shared" si="15"/>
        <v>0.13436692506459944</v>
      </c>
      <c r="W21" s="1">
        <f t="shared" si="16"/>
        <v>0.78093263146700698</v>
      </c>
      <c r="X21" s="1">
        <f t="shared" si="17"/>
        <v>0</v>
      </c>
      <c r="Y21" s="1">
        <f t="shared" si="18"/>
        <v>4.1474654377880192E-2</v>
      </c>
      <c r="Z21" s="1">
        <f t="shared" si="19"/>
        <v>0.33770596704527278</v>
      </c>
      <c r="AA21" s="8">
        <f t="shared" si="20"/>
        <v>0.81374004706209246</v>
      </c>
      <c r="AB21" s="1"/>
      <c r="AC21" s="15">
        <f t="shared" si="36"/>
        <v>1.5370108601001315</v>
      </c>
      <c r="AD21" s="16">
        <f t="shared" si="24"/>
        <v>2.3464763577212238</v>
      </c>
      <c r="AE21" s="1">
        <f t="shared" si="25"/>
        <v>1.5370108601001315</v>
      </c>
      <c r="AF21">
        <f t="shared" si="26"/>
        <v>1</v>
      </c>
      <c r="AG21">
        <f t="shared" si="27"/>
        <v>0</v>
      </c>
      <c r="AS21" s="34">
        <f t="shared" si="21"/>
        <v>0.55074904976510686</v>
      </c>
      <c r="AT21" s="16">
        <f t="shared" si="22"/>
        <v>1.4918423755534147</v>
      </c>
      <c r="AU21" s="1">
        <f t="shared" si="28"/>
        <v>0.55074904976510686</v>
      </c>
      <c r="AV21">
        <f t="shared" si="29"/>
        <v>1</v>
      </c>
      <c r="AW21" s="4">
        <f t="shared" si="30"/>
        <v>0</v>
      </c>
      <c r="BH21" s="34">
        <f t="shared" si="31"/>
        <v>0.5527126746687725</v>
      </c>
      <c r="BI21" s="16">
        <f t="shared" si="32"/>
        <v>1.4918423755534147</v>
      </c>
      <c r="BJ21" s="1">
        <f t="shared" si="33"/>
        <v>0.5527126746687725</v>
      </c>
      <c r="BK21">
        <f t="shared" si="34"/>
        <v>1</v>
      </c>
      <c r="BL21" s="4">
        <f t="shared" si="35"/>
        <v>0</v>
      </c>
    </row>
    <row r="22" spans="1:64" x14ac:dyDescent="0.3">
      <c r="A22" s="3"/>
      <c r="B22">
        <v>196973</v>
      </c>
      <c r="C22">
        <v>52</v>
      </c>
      <c r="D22">
        <v>0.56299999999999994</v>
      </c>
      <c r="E22">
        <v>0.46300000000000002</v>
      </c>
      <c r="F22">
        <v>8</v>
      </c>
      <c r="G22">
        <v>-7.3659999999999997</v>
      </c>
      <c r="H22">
        <v>5.5100000000000003E-2</v>
      </c>
      <c r="I22">
        <v>0.80400000000000005</v>
      </c>
      <c r="J22">
        <v>2.2699999999999999E-6</v>
      </c>
      <c r="K22">
        <v>9.1999999999999998E-2</v>
      </c>
      <c r="L22">
        <v>0.39400000000000002</v>
      </c>
      <c r="M22" s="4">
        <v>98.039000000000001</v>
      </c>
      <c r="O22" s="3"/>
      <c r="P22" s="1">
        <f t="shared" si="23"/>
        <v>0.25796413577511235</v>
      </c>
      <c r="Q22" s="1">
        <f t="shared" si="10"/>
        <v>0.38709677419354838</v>
      </c>
      <c r="R22" s="1">
        <f t="shared" si="11"/>
        <v>0.6673469387755101</v>
      </c>
      <c r="S22" s="1">
        <f t="shared" si="12"/>
        <v>0.5053282462833838</v>
      </c>
      <c r="T22" s="1">
        <f t="shared" si="13"/>
        <v>0.72727272727272729</v>
      </c>
      <c r="U22" s="1">
        <f t="shared" si="14"/>
        <v>0.6678096006454215</v>
      </c>
      <c r="V22" s="1">
        <f t="shared" si="15"/>
        <v>0.38113695090439281</v>
      </c>
      <c r="W22" s="1">
        <f t="shared" si="16"/>
        <v>0.85324613175945141</v>
      </c>
      <c r="X22" s="1">
        <f t="shared" si="17"/>
        <v>3.7707641196013287E-5</v>
      </c>
      <c r="Y22" s="1">
        <f t="shared" si="18"/>
        <v>6.8260368663594459E-2</v>
      </c>
      <c r="Z22" s="1">
        <f t="shared" si="19"/>
        <v>0.47048472244440892</v>
      </c>
      <c r="AA22" s="8">
        <f t="shared" si="20"/>
        <v>0.25175614542360225</v>
      </c>
      <c r="AB22" s="1"/>
      <c r="AC22" s="15">
        <f t="shared" si="36"/>
        <v>1.7477654621093495</v>
      </c>
      <c r="AD22" s="16">
        <f t="shared" si="24"/>
        <v>2.1399072902762888</v>
      </c>
      <c r="AE22" s="1">
        <f t="shared" si="25"/>
        <v>1.7477654621093495</v>
      </c>
      <c r="AF22">
        <f t="shared" si="26"/>
        <v>1</v>
      </c>
      <c r="AG22">
        <f t="shared" si="27"/>
        <v>0</v>
      </c>
      <c r="AS22" s="34">
        <f t="shared" si="21"/>
        <v>0.49263519377278675</v>
      </c>
      <c r="AT22" s="16">
        <f t="shared" si="22"/>
        <v>1.3263758548628217</v>
      </c>
      <c r="AU22" s="1">
        <f t="shared" si="28"/>
        <v>0.49263519377278675</v>
      </c>
      <c r="AV22">
        <f t="shared" si="29"/>
        <v>1</v>
      </c>
      <c r="AW22" s="4">
        <f t="shared" si="30"/>
        <v>0</v>
      </c>
      <c r="BH22" s="34">
        <f t="shared" si="31"/>
        <v>0.47937238437658047</v>
      </c>
      <c r="BI22" s="16">
        <f t="shared" si="32"/>
        <v>1.3263758548628217</v>
      </c>
      <c r="BJ22" s="1">
        <f t="shared" si="33"/>
        <v>0.47937238437658047</v>
      </c>
      <c r="BK22">
        <f t="shared" si="34"/>
        <v>1</v>
      </c>
      <c r="BL22" s="4">
        <f t="shared" si="35"/>
        <v>0</v>
      </c>
    </row>
    <row r="23" spans="1:64" x14ac:dyDescent="0.3">
      <c r="A23" s="3"/>
      <c r="B23">
        <v>352687</v>
      </c>
      <c r="C23">
        <v>60</v>
      </c>
      <c r="D23">
        <v>0.38700000000000001</v>
      </c>
      <c r="E23">
        <v>0.41599999999999998</v>
      </c>
      <c r="F23">
        <v>9</v>
      </c>
      <c r="G23">
        <v>-10.1</v>
      </c>
      <c r="H23">
        <v>3.2099999999999997E-2</v>
      </c>
      <c r="I23">
        <v>0.86199999999999999</v>
      </c>
      <c r="J23">
        <v>8.8799999999999997E-6</v>
      </c>
      <c r="K23">
        <v>0.11799999999999999</v>
      </c>
      <c r="L23">
        <v>0.25600000000000001</v>
      </c>
      <c r="M23" s="4">
        <v>156.17500000000001</v>
      </c>
      <c r="O23" s="3"/>
      <c r="P23" s="1">
        <f t="shared" si="23"/>
        <v>1</v>
      </c>
      <c r="Q23" s="1">
        <f t="shared" si="10"/>
        <v>0.64516129032258063</v>
      </c>
      <c r="R23" s="1">
        <f t="shared" si="11"/>
        <v>0.30816326530612248</v>
      </c>
      <c r="S23" s="1">
        <f t="shared" si="12"/>
        <v>0.44349427706880667</v>
      </c>
      <c r="T23" s="1">
        <f t="shared" si="13"/>
        <v>0.81818181818181823</v>
      </c>
      <c r="U23" s="1">
        <f t="shared" si="14"/>
        <v>0.39209358612343687</v>
      </c>
      <c r="V23" s="1">
        <f t="shared" si="15"/>
        <v>8.3979328165374623E-2</v>
      </c>
      <c r="W23" s="1">
        <f t="shared" si="16"/>
        <v>0.91492529377359499</v>
      </c>
      <c r="X23" s="1">
        <f t="shared" si="17"/>
        <v>1.4750830564784053E-4</v>
      </c>
      <c r="Y23" s="1">
        <f t="shared" si="18"/>
        <v>0.10570276497695852</v>
      </c>
      <c r="Z23" s="1">
        <f t="shared" si="19"/>
        <v>0.24972004479283319</v>
      </c>
      <c r="AA23" s="8">
        <f t="shared" si="20"/>
        <v>0.75655352661786812</v>
      </c>
      <c r="AB23" s="1"/>
      <c r="AC23" s="15">
        <f t="shared" si="36"/>
        <v>2.0052658144813633</v>
      </c>
      <c r="AD23" s="16">
        <f t="shared" si="24"/>
        <v>2.1412252519194519</v>
      </c>
      <c r="AE23" s="1">
        <f t="shared" si="25"/>
        <v>2.0052658144813633</v>
      </c>
      <c r="AF23">
        <f t="shared" si="26"/>
        <v>1</v>
      </c>
      <c r="AG23">
        <f t="shared" si="27"/>
        <v>0</v>
      </c>
      <c r="AS23" s="34">
        <f t="shared" si="21"/>
        <v>0.93748394186369854</v>
      </c>
      <c r="AT23" s="16">
        <f t="shared" si="22"/>
        <v>1.3779243536628309</v>
      </c>
      <c r="AU23" s="1">
        <f t="shared" si="28"/>
        <v>0.93748394186369854</v>
      </c>
      <c r="AV23">
        <f t="shared" si="29"/>
        <v>1</v>
      </c>
      <c r="AW23" s="4">
        <f t="shared" si="30"/>
        <v>0</v>
      </c>
      <c r="BH23" s="34">
        <f t="shared" si="31"/>
        <v>0.92702760834297926</v>
      </c>
      <c r="BI23" s="16">
        <f t="shared" si="32"/>
        <v>1.3779243536628309</v>
      </c>
      <c r="BJ23" s="1">
        <f t="shared" si="33"/>
        <v>0.92702760834297926</v>
      </c>
      <c r="BK23">
        <f t="shared" si="34"/>
        <v>1</v>
      </c>
      <c r="BL23" s="4">
        <f t="shared" si="35"/>
        <v>0</v>
      </c>
    </row>
    <row r="24" spans="1:64" x14ac:dyDescent="0.3">
      <c r="A24" s="3"/>
      <c r="B24">
        <v>213732</v>
      </c>
      <c r="C24">
        <v>59</v>
      </c>
      <c r="D24">
        <v>0.63900000000000001</v>
      </c>
      <c r="E24">
        <v>0.66600000000000004</v>
      </c>
      <c r="F24">
        <v>0</v>
      </c>
      <c r="G24">
        <v>-7.7750000000000004</v>
      </c>
      <c r="H24">
        <v>6.3600000000000004E-2</v>
      </c>
      <c r="I24">
        <v>0.27100000000000002</v>
      </c>
      <c r="J24">
        <v>0</v>
      </c>
      <c r="K24">
        <v>0.111</v>
      </c>
      <c r="L24">
        <v>0.372</v>
      </c>
      <c r="M24" s="4">
        <v>98.384</v>
      </c>
      <c r="O24" s="3"/>
      <c r="P24" s="1">
        <f t="shared" si="23"/>
        <v>0.33782708354181856</v>
      </c>
      <c r="Q24" s="1">
        <f t="shared" si="10"/>
        <v>0.61290322580645162</v>
      </c>
      <c r="R24" s="1">
        <f t="shared" si="11"/>
        <v>0.82244897959183683</v>
      </c>
      <c r="S24" s="1">
        <f t="shared" si="12"/>
        <v>0.77239836863570588</v>
      </c>
      <c r="T24" s="1">
        <f t="shared" si="13"/>
        <v>0</v>
      </c>
      <c r="U24" s="1">
        <f t="shared" si="14"/>
        <v>0.62656313029447352</v>
      </c>
      <c r="V24" s="1">
        <f t="shared" si="15"/>
        <v>0.4909560723514213</v>
      </c>
      <c r="W24" s="1">
        <f t="shared" si="16"/>
        <v>0.2864359015260276</v>
      </c>
      <c r="X24" s="1">
        <f t="shared" si="17"/>
        <v>0</v>
      </c>
      <c r="Y24" s="1">
        <f t="shared" si="18"/>
        <v>9.5622119815668205E-2</v>
      </c>
      <c r="Z24" s="1">
        <f t="shared" si="19"/>
        <v>0.4352903535434331</v>
      </c>
      <c r="AA24" s="8">
        <f t="shared" si="20"/>
        <v>0.25475179521911662</v>
      </c>
      <c r="AB24" s="1"/>
      <c r="AC24" s="15">
        <f t="shared" si="36"/>
        <v>1.6558935872333771</v>
      </c>
      <c r="AD24" s="16">
        <f t="shared" si="24"/>
        <v>2.2959942316105058</v>
      </c>
      <c r="AE24" s="1">
        <f t="shared" si="25"/>
        <v>1.6558935872333771</v>
      </c>
      <c r="AF24">
        <f t="shared" si="26"/>
        <v>1</v>
      </c>
      <c r="AG24">
        <f t="shared" si="27"/>
        <v>0</v>
      </c>
      <c r="AS24" s="34">
        <f t="shared" si="21"/>
        <v>0.91474872497519799</v>
      </c>
      <c r="AT24" s="16">
        <f t="shared" si="22"/>
        <v>1.3841984007756869</v>
      </c>
      <c r="AU24" s="1">
        <f t="shared" si="28"/>
        <v>0.91474872497519799</v>
      </c>
      <c r="AV24">
        <f t="shared" si="29"/>
        <v>1</v>
      </c>
      <c r="AW24" s="4">
        <f t="shared" si="30"/>
        <v>0</v>
      </c>
      <c r="BH24" s="34">
        <f t="shared" si="31"/>
        <v>0.917610595668514</v>
      </c>
      <c r="BI24" s="16">
        <f t="shared" si="32"/>
        <v>1.3841984007756869</v>
      </c>
      <c r="BJ24" s="1">
        <f t="shared" si="33"/>
        <v>0.917610595668514</v>
      </c>
      <c r="BK24">
        <f t="shared" si="34"/>
        <v>1</v>
      </c>
      <c r="BL24" s="4">
        <f t="shared" si="35"/>
        <v>0</v>
      </c>
    </row>
    <row r="25" spans="1:64" x14ac:dyDescent="0.3">
      <c r="A25" s="3"/>
      <c r="B25">
        <v>178320</v>
      </c>
      <c r="C25">
        <v>49</v>
      </c>
      <c r="D25">
        <v>0.54500000000000004</v>
      </c>
      <c r="E25">
        <v>0.34899999999999998</v>
      </c>
      <c r="F25">
        <v>2</v>
      </c>
      <c r="G25">
        <v>-9.9309999999999992</v>
      </c>
      <c r="H25">
        <v>4.7800000000000002E-2</v>
      </c>
      <c r="I25">
        <v>0.48099999999999998</v>
      </c>
      <c r="J25">
        <v>6.02E-5</v>
      </c>
      <c r="K25">
        <v>9.8500000000000004E-2</v>
      </c>
      <c r="L25">
        <v>0.34699999999999998</v>
      </c>
      <c r="M25" s="4">
        <v>79.168000000000006</v>
      </c>
      <c r="O25" s="3"/>
      <c r="P25" s="1">
        <f t="shared" si="23"/>
        <v>0.16907556457800207</v>
      </c>
      <c r="Q25" s="1">
        <f t="shared" si="10"/>
        <v>0.29032258064516131</v>
      </c>
      <c r="R25" s="1">
        <f t="shared" si="11"/>
        <v>0.63061224489795931</v>
      </c>
      <c r="S25" s="1">
        <f t="shared" si="12"/>
        <v>0.35534798052887778</v>
      </c>
      <c r="T25" s="1">
        <f t="shared" si="13"/>
        <v>0.18181818181818182</v>
      </c>
      <c r="U25" s="1">
        <f t="shared" si="14"/>
        <v>0.40913674868898753</v>
      </c>
      <c r="V25" s="1">
        <f t="shared" si="15"/>
        <v>0.2868217054263566</v>
      </c>
      <c r="W25" s="1">
        <f t="shared" si="16"/>
        <v>0.50975700537034085</v>
      </c>
      <c r="X25" s="1">
        <f t="shared" si="17"/>
        <v>1E-3</v>
      </c>
      <c r="Y25" s="1">
        <f t="shared" si="18"/>
        <v>7.7620967741935484E-2</v>
      </c>
      <c r="Z25" s="1">
        <f t="shared" si="19"/>
        <v>0.39529675251959684</v>
      </c>
      <c r="AA25" s="8">
        <f t="shared" si="20"/>
        <v>8.7898443130410675E-2</v>
      </c>
      <c r="AB25" s="1"/>
      <c r="AC25" s="15">
        <f t="shared" si="36"/>
        <v>1.1616363618348051</v>
      </c>
      <c r="AD25" s="16">
        <f t="shared" si="24"/>
        <v>2.5612463150671747</v>
      </c>
      <c r="AE25" s="1">
        <f t="shared" si="25"/>
        <v>1.1616363618348051</v>
      </c>
      <c r="AF25">
        <f t="shared" si="26"/>
        <v>1</v>
      </c>
      <c r="AG25">
        <f t="shared" si="27"/>
        <v>0</v>
      </c>
      <c r="AS25" s="34">
        <f t="shared" si="21"/>
        <v>0.6362983553993794</v>
      </c>
      <c r="AT25" s="16">
        <f t="shared" si="22"/>
        <v>1.7155927643372493</v>
      </c>
      <c r="AU25" s="1">
        <f t="shared" si="28"/>
        <v>0.6362983553993794</v>
      </c>
      <c r="AV25">
        <f t="shared" si="29"/>
        <v>1</v>
      </c>
      <c r="AW25" s="4">
        <f t="shared" si="30"/>
        <v>0</v>
      </c>
      <c r="BH25" s="34">
        <f t="shared" si="31"/>
        <v>0.65523543140630758</v>
      </c>
      <c r="BI25" s="16">
        <f t="shared" si="32"/>
        <v>1.7155927643372493</v>
      </c>
      <c r="BJ25" s="1">
        <f t="shared" si="33"/>
        <v>0.65523543140630758</v>
      </c>
      <c r="BK25">
        <f t="shared" si="34"/>
        <v>1</v>
      </c>
      <c r="BL25" s="4">
        <f t="shared" si="35"/>
        <v>0</v>
      </c>
    </row>
    <row r="26" spans="1:64" x14ac:dyDescent="0.3">
      <c r="A26" s="3"/>
      <c r="B26">
        <v>201493</v>
      </c>
      <c r="C26">
        <v>49</v>
      </c>
      <c r="D26">
        <v>0.72599999999999998</v>
      </c>
      <c r="E26">
        <v>0.66700000000000004</v>
      </c>
      <c r="F26">
        <v>10</v>
      </c>
      <c r="G26">
        <v>-4.0720000000000001</v>
      </c>
      <c r="H26">
        <v>4.9099999999999998E-2</v>
      </c>
      <c r="I26">
        <v>0.48199999999999998</v>
      </c>
      <c r="J26">
        <v>0</v>
      </c>
      <c r="K26">
        <v>4.4600000000000001E-2</v>
      </c>
      <c r="L26">
        <v>0.20499999999999999</v>
      </c>
      <c r="M26" s="4">
        <v>87.085999999999999</v>
      </c>
      <c r="O26" s="3"/>
      <c r="P26" s="1">
        <f t="shared" si="23"/>
        <v>0.27950363836509456</v>
      </c>
      <c r="Q26" s="1">
        <f t="shared" si="10"/>
        <v>0.29032258064516131</v>
      </c>
      <c r="R26" s="1">
        <f t="shared" si="11"/>
        <v>1</v>
      </c>
      <c r="S26" s="1">
        <f t="shared" si="12"/>
        <v>0.77371398500197353</v>
      </c>
      <c r="T26" s="1">
        <f t="shared" si="13"/>
        <v>0.90909090909090906</v>
      </c>
      <c r="U26" s="1">
        <f t="shared" si="14"/>
        <v>1</v>
      </c>
      <c r="V26" s="1">
        <f t="shared" si="15"/>
        <v>0.30361757105943149</v>
      </c>
      <c r="W26" s="1">
        <f t="shared" si="16"/>
        <v>0.51082043919817099</v>
      </c>
      <c r="X26" s="1">
        <f t="shared" si="17"/>
        <v>0</v>
      </c>
      <c r="Y26" s="1">
        <f t="shared" si="18"/>
        <v>0</v>
      </c>
      <c r="Z26" s="1">
        <f t="shared" si="19"/>
        <v>0.16813309870420731</v>
      </c>
      <c r="AA26" s="8">
        <f t="shared" si="20"/>
        <v>0.15665077669818611</v>
      </c>
      <c r="AB26" s="1"/>
      <c r="AC26" s="15">
        <f t="shared" si="36"/>
        <v>1.9983539355053765</v>
      </c>
      <c r="AD26" s="16">
        <f t="shared" si="24"/>
        <v>2.282479453143786</v>
      </c>
      <c r="AE26" s="1">
        <f t="shared" si="25"/>
        <v>1.9983539355053765</v>
      </c>
      <c r="AF26">
        <f t="shared" si="26"/>
        <v>1</v>
      </c>
      <c r="AG26">
        <f t="shared" si="27"/>
        <v>0</v>
      </c>
      <c r="AS26" s="34">
        <f t="shared" si="21"/>
        <v>0.88191572455241996</v>
      </c>
      <c r="AT26" s="16">
        <f t="shared" si="22"/>
        <v>1.4784748540169079</v>
      </c>
      <c r="AU26" s="1">
        <f t="shared" si="28"/>
        <v>0.88191572455241996</v>
      </c>
      <c r="AV26">
        <f t="shared" si="29"/>
        <v>1</v>
      </c>
      <c r="AW26" s="4">
        <f t="shared" si="30"/>
        <v>0</v>
      </c>
      <c r="BH26" s="34">
        <f t="shared" si="31"/>
        <v>0.86994874870499805</v>
      </c>
      <c r="BI26" s="16">
        <f t="shared" si="32"/>
        <v>1.4784748540169079</v>
      </c>
      <c r="BJ26" s="1">
        <f t="shared" si="33"/>
        <v>0.86994874870499805</v>
      </c>
      <c r="BK26">
        <f t="shared" si="34"/>
        <v>1</v>
      </c>
      <c r="BL26" s="4">
        <f t="shared" si="35"/>
        <v>0</v>
      </c>
    </row>
    <row r="27" spans="1:64" x14ac:dyDescent="0.3">
      <c r="A27" s="3"/>
      <c r="B27">
        <v>224893</v>
      </c>
      <c r="C27">
        <v>50</v>
      </c>
      <c r="D27">
        <v>0.44400000000000001</v>
      </c>
      <c r="E27">
        <v>7.8899999999999998E-2</v>
      </c>
      <c r="F27">
        <v>11</v>
      </c>
      <c r="G27">
        <v>-13.848000000000001</v>
      </c>
      <c r="H27">
        <v>4.6399999999999997E-2</v>
      </c>
      <c r="I27">
        <v>0.84</v>
      </c>
      <c r="J27">
        <v>1.64E-4</v>
      </c>
      <c r="K27">
        <v>0.106</v>
      </c>
      <c r="L27">
        <v>0.154</v>
      </c>
      <c r="M27" s="4">
        <v>87.347999999999999</v>
      </c>
      <c r="O27" s="3"/>
      <c r="P27" s="1">
        <f t="shared" si="23"/>
        <v>0.3910134526583654</v>
      </c>
      <c r="Q27" s="1">
        <f t="shared" si="10"/>
        <v>0.32258064516129031</v>
      </c>
      <c r="R27" s="1">
        <f t="shared" si="11"/>
        <v>0.42448979591836739</v>
      </c>
      <c r="S27" s="1">
        <f t="shared" si="12"/>
        <v>0</v>
      </c>
      <c r="T27" s="1">
        <f t="shared" si="13"/>
        <v>1</v>
      </c>
      <c r="U27" s="1">
        <f t="shared" si="14"/>
        <v>1.4118596208148324E-2</v>
      </c>
      <c r="V27" s="1">
        <f t="shared" si="15"/>
        <v>0.26873385012919893</v>
      </c>
      <c r="W27" s="1">
        <f t="shared" si="16"/>
        <v>0.89152974956133357</v>
      </c>
      <c r="X27" s="1">
        <f t="shared" si="17"/>
        <v>2.7242524916943523E-3</v>
      </c>
      <c r="Y27" s="1">
        <f t="shared" si="18"/>
        <v>8.8421658986175114E-2</v>
      </c>
      <c r="Z27" s="1">
        <f t="shared" si="19"/>
        <v>8.6546152615581504E-2</v>
      </c>
      <c r="AA27" s="8">
        <f t="shared" si="20"/>
        <v>0.1589257339341999</v>
      </c>
      <c r="AB27" s="1"/>
      <c r="AC27" s="15">
        <f t="shared" si="36"/>
        <v>1.531325350053653</v>
      </c>
      <c r="AD27" s="16">
        <f t="shared" si="24"/>
        <v>2.6545789783670464</v>
      </c>
      <c r="AE27" s="1">
        <f t="shared" si="25"/>
        <v>1.531325350053653</v>
      </c>
      <c r="AF27">
        <f t="shared" si="26"/>
        <v>1</v>
      </c>
      <c r="AG27">
        <f t="shared" si="27"/>
        <v>0</v>
      </c>
      <c r="AS27" s="34">
        <f t="shared" si="21"/>
        <v>0.99201281025201105</v>
      </c>
      <c r="AT27" s="16">
        <f t="shared" si="22"/>
        <v>1.9151884346416299</v>
      </c>
      <c r="AU27" s="1">
        <f t="shared" si="28"/>
        <v>0.99201281025201105</v>
      </c>
      <c r="AV27">
        <f t="shared" si="29"/>
        <v>1</v>
      </c>
      <c r="AW27" s="4">
        <f t="shared" si="30"/>
        <v>0</v>
      </c>
      <c r="BH27" s="34">
        <f t="shared" si="31"/>
        <v>1.0001101938042365</v>
      </c>
      <c r="BI27" s="16">
        <f t="shared" si="32"/>
        <v>1.9151884346416299</v>
      </c>
      <c r="BJ27" s="1">
        <f t="shared" si="33"/>
        <v>1.0001101938042365</v>
      </c>
      <c r="BK27">
        <f t="shared" si="34"/>
        <v>1</v>
      </c>
      <c r="BL27" s="4">
        <f t="shared" si="35"/>
        <v>0</v>
      </c>
    </row>
    <row r="28" spans="1:64" x14ac:dyDescent="0.3">
      <c r="A28" s="3"/>
      <c r="B28">
        <v>221813</v>
      </c>
      <c r="C28">
        <v>49</v>
      </c>
      <c r="D28">
        <v>0.60199999999999998</v>
      </c>
      <c r="E28">
        <v>0.61899999999999999</v>
      </c>
      <c r="F28">
        <v>5</v>
      </c>
      <c r="G28">
        <v>-8.1940000000000008</v>
      </c>
      <c r="H28">
        <v>3.56E-2</v>
      </c>
      <c r="I28">
        <v>7.7100000000000002E-2</v>
      </c>
      <c r="J28">
        <v>0</v>
      </c>
      <c r="K28">
        <v>8.8700000000000001E-2</v>
      </c>
      <c r="L28">
        <v>0.22800000000000001</v>
      </c>
      <c r="M28" s="4">
        <v>107.428</v>
      </c>
      <c r="O28" s="3"/>
      <c r="P28" s="1">
        <f t="shared" si="23"/>
        <v>0.37633609248643057</v>
      </c>
      <c r="Q28" s="1">
        <f t="shared" si="10"/>
        <v>0.29032258064516131</v>
      </c>
      <c r="R28" s="1">
        <f t="shared" si="11"/>
        <v>0.74693877551020404</v>
      </c>
      <c r="S28" s="1">
        <f t="shared" si="12"/>
        <v>0.71056439942112881</v>
      </c>
      <c r="T28" s="1">
        <f t="shared" si="13"/>
        <v>0.45454545454545453</v>
      </c>
      <c r="U28" s="1">
        <f t="shared" si="14"/>
        <v>0.5843081887858006</v>
      </c>
      <c r="V28" s="1">
        <f t="shared" si="15"/>
        <v>0.12919896640826872</v>
      </c>
      <c r="W28" s="1">
        <f t="shared" si="16"/>
        <v>8.0236082309778287E-2</v>
      </c>
      <c r="X28" s="1">
        <f t="shared" si="17"/>
        <v>0</v>
      </c>
      <c r="Y28" s="1">
        <f t="shared" si="18"/>
        <v>6.3508064516129031E-2</v>
      </c>
      <c r="Z28" s="1">
        <f t="shared" si="19"/>
        <v>0.20492721164613661</v>
      </c>
      <c r="AA28" s="8">
        <f t="shared" si="20"/>
        <v>0.33328123507602003</v>
      </c>
      <c r="AB28" s="1"/>
      <c r="AC28" s="15">
        <f t="shared" si="36"/>
        <v>1.4202105495195843</v>
      </c>
      <c r="AD28" s="16">
        <f t="shared" si="24"/>
        <v>2.4634658313574587</v>
      </c>
      <c r="AE28" s="1">
        <f t="shared" si="25"/>
        <v>1.4202105495195843</v>
      </c>
      <c r="AF28">
        <f t="shared" si="26"/>
        <v>1</v>
      </c>
      <c r="AG28">
        <f t="shared" si="27"/>
        <v>0</v>
      </c>
      <c r="AS28" s="34">
        <f t="shared" si="21"/>
        <v>0.64119711871265916</v>
      </c>
      <c r="AT28" s="16">
        <f t="shared" si="22"/>
        <v>1.5295151003781196</v>
      </c>
      <c r="AU28" s="1">
        <f t="shared" si="28"/>
        <v>0.64119711871265916</v>
      </c>
      <c r="AV28">
        <f t="shared" si="29"/>
        <v>1</v>
      </c>
      <c r="AW28" s="4">
        <f t="shared" si="30"/>
        <v>0</v>
      </c>
      <c r="BH28" s="34">
        <f t="shared" si="31"/>
        <v>0.64989599332070214</v>
      </c>
      <c r="BI28" s="16">
        <f t="shared" si="32"/>
        <v>1.5295151003781196</v>
      </c>
      <c r="BJ28" s="1">
        <f t="shared" si="33"/>
        <v>0.64989599332070214</v>
      </c>
      <c r="BK28">
        <f t="shared" si="34"/>
        <v>1</v>
      </c>
      <c r="BL28" s="4">
        <f t="shared" si="35"/>
        <v>0</v>
      </c>
    </row>
    <row r="29" spans="1:64" x14ac:dyDescent="0.3">
      <c r="A29" s="3"/>
      <c r="B29">
        <v>207600</v>
      </c>
      <c r="C29">
        <v>52</v>
      </c>
      <c r="D29">
        <v>0.36199999999999999</v>
      </c>
      <c r="E29">
        <v>0.54300000000000004</v>
      </c>
      <c r="F29">
        <v>5</v>
      </c>
      <c r="G29">
        <v>-7.069</v>
      </c>
      <c r="H29">
        <v>3.8600000000000002E-2</v>
      </c>
      <c r="I29">
        <v>0.6</v>
      </c>
      <c r="J29">
        <v>3.2899999999999997E-4</v>
      </c>
      <c r="K29">
        <v>0.10100000000000001</v>
      </c>
      <c r="L29">
        <v>0.35399999999999998</v>
      </c>
      <c r="M29" s="4">
        <v>179.44300000000001</v>
      </c>
      <c r="O29" s="3"/>
      <c r="P29" s="1">
        <f t="shared" si="23"/>
        <v>0.30860579374496655</v>
      </c>
      <c r="Q29" s="1">
        <f t="shared" si="10"/>
        <v>0.38709677419354838</v>
      </c>
      <c r="R29" s="1">
        <f t="shared" si="11"/>
        <v>0.25714285714285717</v>
      </c>
      <c r="S29" s="1">
        <f t="shared" si="12"/>
        <v>0.61057755558479154</v>
      </c>
      <c r="T29" s="1">
        <f t="shared" si="13"/>
        <v>0.45454545454545453</v>
      </c>
      <c r="U29" s="1">
        <f t="shared" si="14"/>
        <v>0.69776119402985071</v>
      </c>
      <c r="V29" s="1">
        <f t="shared" si="15"/>
        <v>0.16795865633074938</v>
      </c>
      <c r="W29" s="1">
        <f t="shared" si="16"/>
        <v>0.63630563088211833</v>
      </c>
      <c r="X29" s="1">
        <f t="shared" si="17"/>
        <v>5.4651162790697672E-3</v>
      </c>
      <c r="Y29" s="1">
        <f t="shared" si="18"/>
        <v>8.1221198156682037E-2</v>
      </c>
      <c r="Z29" s="1">
        <f t="shared" si="19"/>
        <v>0.40649496080627101</v>
      </c>
      <c r="AA29" s="8">
        <f t="shared" si="20"/>
        <v>0.95859056847881796</v>
      </c>
      <c r="AB29" s="1"/>
      <c r="AC29" s="15">
        <f t="shared" si="36"/>
        <v>1.7033340397061014</v>
      </c>
      <c r="AD29" s="16">
        <f t="shared" si="24"/>
        <v>2.2266152183238019</v>
      </c>
      <c r="AE29" s="1">
        <f t="shared" si="25"/>
        <v>1.7033340397061014</v>
      </c>
      <c r="AF29">
        <f t="shared" si="26"/>
        <v>1</v>
      </c>
      <c r="AG29">
        <f t="shared" si="27"/>
        <v>0</v>
      </c>
      <c r="AS29" s="34">
        <f t="shared" si="21"/>
        <v>0.65792871069699421</v>
      </c>
      <c r="AT29" s="16">
        <f t="shared" si="22"/>
        <v>1.2818790029538536</v>
      </c>
      <c r="AU29" s="1">
        <f t="shared" si="28"/>
        <v>0.65792871069699421</v>
      </c>
      <c r="AV29">
        <f t="shared" si="29"/>
        <v>1</v>
      </c>
      <c r="AW29" s="4">
        <f t="shared" si="30"/>
        <v>0</v>
      </c>
      <c r="BH29" s="34">
        <f t="shared" si="31"/>
        <v>0.65333681772687435</v>
      </c>
      <c r="BI29" s="16">
        <f t="shared" si="32"/>
        <v>1.2818790029538536</v>
      </c>
      <c r="BJ29" s="1">
        <f t="shared" si="33"/>
        <v>0.65333681772687435</v>
      </c>
      <c r="BK29">
        <f t="shared" si="34"/>
        <v>1</v>
      </c>
      <c r="BL29" s="4">
        <f t="shared" si="35"/>
        <v>0</v>
      </c>
    </row>
    <row r="30" spans="1:64" x14ac:dyDescent="0.3">
      <c r="A30" s="3"/>
      <c r="B30">
        <v>142840</v>
      </c>
      <c r="C30">
        <v>49</v>
      </c>
      <c r="D30">
        <v>0.58599999999999997</v>
      </c>
      <c r="E30">
        <v>0.70899999999999996</v>
      </c>
      <c r="F30">
        <v>11</v>
      </c>
      <c r="G30">
        <v>-5.24</v>
      </c>
      <c r="H30">
        <v>5.4699999999999999E-2</v>
      </c>
      <c r="I30">
        <v>0.28199999999999997</v>
      </c>
      <c r="J30">
        <v>0</v>
      </c>
      <c r="K30">
        <v>0.16500000000000001</v>
      </c>
      <c r="L30">
        <v>0.45100000000000001</v>
      </c>
      <c r="M30" s="4">
        <v>93.296999999999997</v>
      </c>
      <c r="O30" s="3"/>
      <c r="P30" s="1">
        <f t="shared" si="23"/>
        <v>0</v>
      </c>
      <c r="Q30" s="1">
        <f t="shared" si="10"/>
        <v>0.29032258064516131</v>
      </c>
      <c r="R30" s="1">
        <f t="shared" si="11"/>
        <v>0.7142857142857143</v>
      </c>
      <c r="S30" s="1">
        <f t="shared" si="12"/>
        <v>0.82896987238521247</v>
      </c>
      <c r="T30" s="1">
        <f t="shared" si="13"/>
        <v>1</v>
      </c>
      <c r="U30" s="1">
        <f t="shared" si="14"/>
        <v>0.88221056877773285</v>
      </c>
      <c r="V30" s="1">
        <f t="shared" si="15"/>
        <v>0.37596899224806202</v>
      </c>
      <c r="W30" s="1">
        <f t="shared" si="16"/>
        <v>0.29813367363215826</v>
      </c>
      <c r="X30" s="1">
        <f t="shared" si="17"/>
        <v>0</v>
      </c>
      <c r="Y30" s="1">
        <f t="shared" si="18"/>
        <v>0.17338709677419356</v>
      </c>
      <c r="Z30" s="1">
        <f t="shared" si="19"/>
        <v>0.56167013277875544</v>
      </c>
      <c r="AA30" s="8">
        <f t="shared" si="20"/>
        <v>0.21058115606032976</v>
      </c>
      <c r="AB30" s="1"/>
      <c r="AC30" s="15">
        <f t="shared" si="36"/>
        <v>1.9183573797932514</v>
      </c>
      <c r="AD30" s="16">
        <f t="shared" si="24"/>
        <v>2.2380874561626469</v>
      </c>
      <c r="AE30" s="1">
        <f t="shared" si="25"/>
        <v>1.9183573797932514</v>
      </c>
      <c r="AF30">
        <f t="shared" si="26"/>
        <v>1</v>
      </c>
      <c r="AG30">
        <f t="shared" si="27"/>
        <v>0</v>
      </c>
      <c r="AS30" s="34">
        <f t="shared" si="21"/>
        <v>0.87634315042320243</v>
      </c>
      <c r="AT30" s="16">
        <f t="shared" si="22"/>
        <v>1.3919627507204251</v>
      </c>
      <c r="AU30" s="1">
        <f t="shared" si="28"/>
        <v>0.87634315042320243</v>
      </c>
      <c r="AV30">
        <f t="shared" si="29"/>
        <v>1</v>
      </c>
      <c r="AW30" s="4">
        <f t="shared" si="30"/>
        <v>0</v>
      </c>
      <c r="BH30" s="34">
        <f t="shared" si="31"/>
        <v>0.86780372504080927</v>
      </c>
      <c r="BI30" s="16">
        <f t="shared" si="32"/>
        <v>1.3919627507204251</v>
      </c>
      <c r="BJ30" s="1">
        <f t="shared" si="33"/>
        <v>0.86780372504080927</v>
      </c>
      <c r="BK30">
        <f t="shared" si="34"/>
        <v>1</v>
      </c>
      <c r="BL30" s="4">
        <f t="shared" si="35"/>
        <v>0</v>
      </c>
    </row>
    <row r="31" spans="1:64" x14ac:dyDescent="0.3">
      <c r="A31" s="3"/>
      <c r="B31">
        <v>270426</v>
      </c>
      <c r="C31">
        <v>47</v>
      </c>
      <c r="D31">
        <v>0.55800000000000005</v>
      </c>
      <c r="E31">
        <v>0.39800000000000002</v>
      </c>
      <c r="F31">
        <v>5</v>
      </c>
      <c r="G31">
        <v>-7.5990000000000002</v>
      </c>
      <c r="H31">
        <v>2.98E-2</v>
      </c>
      <c r="I31">
        <v>0.68100000000000005</v>
      </c>
      <c r="J31">
        <v>0</v>
      </c>
      <c r="K31">
        <v>8.5900000000000004E-2</v>
      </c>
      <c r="L31">
        <v>0.183</v>
      </c>
      <c r="M31" s="4">
        <v>139.785</v>
      </c>
      <c r="O31" s="3"/>
      <c r="P31" s="1">
        <f t="shared" si="23"/>
        <v>0.60799534899236107</v>
      </c>
      <c r="Q31" s="1">
        <f t="shared" si="10"/>
        <v>0.22580645161290322</v>
      </c>
      <c r="R31" s="1">
        <f t="shared" si="11"/>
        <v>0.65714285714285725</v>
      </c>
      <c r="S31" s="1">
        <f t="shared" si="12"/>
        <v>0.41981318247599009</v>
      </c>
      <c r="T31" s="1">
        <f t="shared" si="13"/>
        <v>0.45454545454545453</v>
      </c>
      <c r="U31" s="1">
        <f t="shared" si="14"/>
        <v>0.64431222267043153</v>
      </c>
      <c r="V31" s="1">
        <f t="shared" si="15"/>
        <v>5.4263565891472854E-2</v>
      </c>
      <c r="W31" s="1">
        <f t="shared" si="16"/>
        <v>0.72244377093635359</v>
      </c>
      <c r="X31" s="1">
        <f t="shared" si="17"/>
        <v>0</v>
      </c>
      <c r="Y31" s="1">
        <f t="shared" si="18"/>
        <v>5.9475806451612906E-2</v>
      </c>
      <c r="Z31" s="1">
        <f t="shared" si="19"/>
        <v>0.13293872980323149</v>
      </c>
      <c r="AA31" s="8">
        <f t="shared" si="20"/>
        <v>0.61423845372372299</v>
      </c>
      <c r="AB31" s="1"/>
      <c r="AC31" s="15">
        <f t="shared" si="36"/>
        <v>1.6043207421232728</v>
      </c>
      <c r="AD31" s="16">
        <f t="shared" si="24"/>
        <v>2.3211836108145745</v>
      </c>
      <c r="AE31" s="1">
        <f t="shared" si="25"/>
        <v>1.6043207421232728</v>
      </c>
      <c r="AF31">
        <f t="shared" si="26"/>
        <v>1</v>
      </c>
      <c r="AG31">
        <f t="shared" si="27"/>
        <v>0</v>
      </c>
      <c r="AS31" s="34">
        <f t="shared" si="21"/>
        <v>0.50145548840431531</v>
      </c>
      <c r="AT31" s="16">
        <f t="shared" si="22"/>
        <v>1.5125712175412593</v>
      </c>
      <c r="AU31" s="1">
        <f t="shared" si="28"/>
        <v>0.50145548840431531</v>
      </c>
      <c r="AV31">
        <f t="shared" si="29"/>
        <v>1</v>
      </c>
      <c r="AW31" s="4">
        <f t="shared" si="30"/>
        <v>0</v>
      </c>
      <c r="BH31" s="34">
        <f t="shared" si="31"/>
        <v>0.49835549600962492</v>
      </c>
      <c r="BI31" s="16">
        <f t="shared" si="32"/>
        <v>1.5125712175412593</v>
      </c>
      <c r="BJ31" s="1">
        <f t="shared" si="33"/>
        <v>0.49835549600962492</v>
      </c>
      <c r="BK31">
        <f t="shared" si="34"/>
        <v>1</v>
      </c>
      <c r="BL31" s="4">
        <f t="shared" si="35"/>
        <v>0</v>
      </c>
    </row>
    <row r="32" spans="1:64" x14ac:dyDescent="0.3">
      <c r="A32" s="3"/>
      <c r="B32">
        <v>303593</v>
      </c>
      <c r="C32">
        <v>51</v>
      </c>
      <c r="D32">
        <v>0.44400000000000001</v>
      </c>
      <c r="E32">
        <v>0.72899999999999998</v>
      </c>
      <c r="F32">
        <v>2</v>
      </c>
      <c r="G32">
        <v>-5.4420000000000002</v>
      </c>
      <c r="H32">
        <v>2.81E-2</v>
      </c>
      <c r="I32">
        <v>6.9499999999999996E-3</v>
      </c>
      <c r="J32">
        <v>1.7999999999999999E-6</v>
      </c>
      <c r="K32">
        <v>7.0300000000000001E-2</v>
      </c>
      <c r="L32">
        <v>0.38800000000000001</v>
      </c>
      <c r="M32" s="4">
        <v>95.257999999999996</v>
      </c>
      <c r="O32" s="3"/>
      <c r="P32" s="1">
        <f t="shared" si="23"/>
        <v>0.76604859731137442</v>
      </c>
      <c r="Q32" s="1">
        <f t="shared" si="10"/>
        <v>0.35483870967741937</v>
      </c>
      <c r="R32" s="1">
        <f t="shared" si="11"/>
        <v>0.42448979591836739</v>
      </c>
      <c r="S32" s="1">
        <f t="shared" si="12"/>
        <v>0.85528219971056441</v>
      </c>
      <c r="T32" s="1">
        <f t="shared" si="13"/>
        <v>0.18181818181818182</v>
      </c>
      <c r="U32" s="1">
        <f t="shared" si="14"/>
        <v>0.86183945139169005</v>
      </c>
      <c r="V32" s="1">
        <f t="shared" si="15"/>
        <v>3.2299741602067167E-2</v>
      </c>
      <c r="W32" s="1">
        <f t="shared" si="16"/>
        <v>5.6361992874993348E-3</v>
      </c>
      <c r="X32" s="1">
        <f t="shared" si="17"/>
        <v>2.9900332225913621E-5</v>
      </c>
      <c r="Y32" s="1">
        <f t="shared" si="18"/>
        <v>3.7010368663594473E-2</v>
      </c>
      <c r="Z32" s="1">
        <f t="shared" si="19"/>
        <v>0.46088625819868828</v>
      </c>
      <c r="AA32" s="8">
        <f t="shared" si="20"/>
        <v>0.22760860315889098</v>
      </c>
      <c r="AB32" s="1"/>
      <c r="AC32" s="15">
        <f t="shared" si="36"/>
        <v>1.633074373714976</v>
      </c>
      <c r="AD32" s="16">
        <f t="shared" si="24"/>
        <v>2.5002711644826512</v>
      </c>
      <c r="AE32" s="1">
        <f t="shared" si="25"/>
        <v>1.633074373714976</v>
      </c>
      <c r="AF32">
        <f t="shared" si="26"/>
        <v>1</v>
      </c>
      <c r="AG32">
        <f t="shared" si="27"/>
        <v>0</v>
      </c>
      <c r="AS32" s="34">
        <f t="shared" si="21"/>
        <v>0.97526203390432586</v>
      </c>
      <c r="AT32" s="16">
        <f t="shared" si="22"/>
        <v>1.5991973325490056</v>
      </c>
      <c r="AU32" s="1">
        <f t="shared" si="28"/>
        <v>0.97526203390432586</v>
      </c>
      <c r="AV32">
        <f t="shared" si="29"/>
        <v>1</v>
      </c>
      <c r="AW32" s="4">
        <f t="shared" si="30"/>
        <v>0</v>
      </c>
      <c r="BH32" s="34">
        <f t="shared" si="31"/>
        <v>0.9798818599996264</v>
      </c>
      <c r="BI32" s="16">
        <f t="shared" si="32"/>
        <v>1.5991973325490056</v>
      </c>
      <c r="BJ32" s="1">
        <f t="shared" si="33"/>
        <v>0.9798818599996264</v>
      </c>
      <c r="BK32">
        <f t="shared" si="34"/>
        <v>1</v>
      </c>
      <c r="BL32" s="4">
        <f t="shared" si="35"/>
        <v>0</v>
      </c>
    </row>
    <row r="33" spans="1:64" x14ac:dyDescent="0.3">
      <c r="A33" s="3"/>
      <c r="B33">
        <v>230108</v>
      </c>
      <c r="C33">
        <v>47</v>
      </c>
      <c r="D33">
        <v>0.54200000000000004</v>
      </c>
      <c r="E33">
        <v>0.58399999999999996</v>
      </c>
      <c r="F33">
        <v>9</v>
      </c>
      <c r="G33">
        <v>-6.7839999999999998</v>
      </c>
      <c r="H33">
        <v>5.8700000000000002E-2</v>
      </c>
      <c r="I33">
        <v>0.38300000000000001</v>
      </c>
      <c r="J33">
        <v>3.2400000000000001E-5</v>
      </c>
      <c r="K33">
        <v>0.29699999999999999</v>
      </c>
      <c r="L33">
        <v>0.247</v>
      </c>
      <c r="M33" s="4">
        <v>91.647999999999996</v>
      </c>
      <c r="O33" s="3"/>
      <c r="P33" s="1">
        <f t="shared" si="23"/>
        <v>0.41586489204039134</v>
      </c>
      <c r="Q33" s="1">
        <f t="shared" si="10"/>
        <v>0.22580645161290322</v>
      </c>
      <c r="R33" s="1">
        <f t="shared" si="11"/>
        <v>0.62448979591836751</v>
      </c>
      <c r="S33" s="1">
        <f t="shared" si="12"/>
        <v>0.66451782660176295</v>
      </c>
      <c r="T33" s="1">
        <f t="shared" si="13"/>
        <v>0.81818181818181823</v>
      </c>
      <c r="U33" s="1">
        <f t="shared" si="14"/>
        <v>0.72650262202501004</v>
      </c>
      <c r="V33" s="1">
        <f t="shared" si="15"/>
        <v>0.42764857881136958</v>
      </c>
      <c r="W33" s="1">
        <f t="shared" si="16"/>
        <v>0.40554049024299471</v>
      </c>
      <c r="X33" s="1">
        <f t="shared" si="17"/>
        <v>5.3820598006644525E-4</v>
      </c>
      <c r="Y33" s="1">
        <f t="shared" si="18"/>
        <v>0.363479262672811</v>
      </c>
      <c r="Z33" s="1">
        <f t="shared" si="19"/>
        <v>0.23532234842425215</v>
      </c>
      <c r="AA33" s="8">
        <f t="shared" si="20"/>
        <v>0.19626281834205977</v>
      </c>
      <c r="AB33" s="1"/>
      <c r="AC33" s="15">
        <f t="shared" si="36"/>
        <v>1.6810980692060249</v>
      </c>
      <c r="AD33" s="16">
        <f t="shared" si="24"/>
        <v>2.1489021607743366</v>
      </c>
      <c r="AE33" s="1">
        <f t="shared" si="25"/>
        <v>1.6810980692060249</v>
      </c>
      <c r="AF33">
        <f t="shared" si="26"/>
        <v>1</v>
      </c>
      <c r="AG33">
        <f t="shared" si="27"/>
        <v>0</v>
      </c>
      <c r="AS33" s="34">
        <f t="shared" si="21"/>
        <v>0.58770933048236762</v>
      </c>
      <c r="AT33" s="16">
        <f t="shared" si="22"/>
        <v>1.2937770998329745</v>
      </c>
      <c r="AU33" s="1">
        <f t="shared" si="28"/>
        <v>0.58770933048236762</v>
      </c>
      <c r="AV33">
        <f t="shared" si="29"/>
        <v>1</v>
      </c>
      <c r="AW33" s="4">
        <f t="shared" si="30"/>
        <v>0</v>
      </c>
      <c r="BH33" s="34">
        <f t="shared" si="31"/>
        <v>0.58235455712160522</v>
      </c>
      <c r="BI33" s="16">
        <f t="shared" si="32"/>
        <v>1.2937770998329745</v>
      </c>
      <c r="BJ33" s="1">
        <f t="shared" si="33"/>
        <v>0.58235455712160522</v>
      </c>
      <c r="BK33">
        <f t="shared" si="34"/>
        <v>1</v>
      </c>
      <c r="BL33" s="4">
        <f t="shared" si="35"/>
        <v>0</v>
      </c>
    </row>
    <row r="34" spans="1:64" x14ac:dyDescent="0.3">
      <c r="A34" s="3"/>
      <c r="B34">
        <v>193373</v>
      </c>
      <c r="C34">
        <v>48</v>
      </c>
      <c r="D34">
        <v>0.44400000000000001</v>
      </c>
      <c r="E34">
        <v>0.55800000000000005</v>
      </c>
      <c r="F34">
        <v>8</v>
      </c>
      <c r="G34">
        <v>-5.6840000000000002</v>
      </c>
      <c r="H34">
        <v>3.9E-2</v>
      </c>
      <c r="I34">
        <v>0.28199999999999997</v>
      </c>
      <c r="J34">
        <v>1.4899999999999999E-6</v>
      </c>
      <c r="K34">
        <v>0.10199999999999999</v>
      </c>
      <c r="L34">
        <v>0.24399999999999999</v>
      </c>
      <c r="M34" s="4">
        <v>119.22</v>
      </c>
      <c r="O34" s="3"/>
      <c r="P34" s="1">
        <f t="shared" si="23"/>
        <v>0.24080877972999376</v>
      </c>
      <c r="Q34" s="1">
        <f t="shared" si="10"/>
        <v>0.25806451612903225</v>
      </c>
      <c r="R34" s="1">
        <f t="shared" si="11"/>
        <v>0.42448979591836739</v>
      </c>
      <c r="S34" s="1">
        <f t="shared" si="12"/>
        <v>0.63031180107880558</v>
      </c>
      <c r="T34" s="1">
        <f t="shared" si="13"/>
        <v>0.72727272727272729</v>
      </c>
      <c r="U34" s="1">
        <f t="shared" si="14"/>
        <v>0.83743444937474765</v>
      </c>
      <c r="V34" s="1">
        <f t="shared" si="15"/>
        <v>0.1731266149870801</v>
      </c>
      <c r="W34" s="1">
        <f t="shared" si="16"/>
        <v>0.29813367363215826</v>
      </c>
      <c r="X34" s="1">
        <f t="shared" si="17"/>
        <v>2.4750830564784055E-5</v>
      </c>
      <c r="Y34" s="1">
        <f t="shared" si="18"/>
        <v>8.2661290322580627E-2</v>
      </c>
      <c r="Z34" s="1">
        <f t="shared" si="19"/>
        <v>0.2305231163013918</v>
      </c>
      <c r="AA34" s="8">
        <f t="shared" si="20"/>
        <v>0.43567167678241164</v>
      </c>
      <c r="AB34" s="1"/>
      <c r="AC34" s="15">
        <f t="shared" si="36"/>
        <v>1.5168826295836715</v>
      </c>
      <c r="AD34" s="16">
        <f t="shared" si="24"/>
        <v>2.3714734928337173</v>
      </c>
      <c r="AE34" s="1">
        <f t="shared" si="25"/>
        <v>1.5168826295836715</v>
      </c>
      <c r="AF34">
        <f t="shared" si="26"/>
        <v>1</v>
      </c>
      <c r="AG34">
        <f t="shared" si="27"/>
        <v>0</v>
      </c>
      <c r="AS34" s="34">
        <f t="shared" si="21"/>
        <v>0.50172109026291911</v>
      </c>
      <c r="AT34" s="16">
        <f t="shared" si="22"/>
        <v>1.3968264148669571</v>
      </c>
      <c r="AU34" s="1">
        <f t="shared" si="28"/>
        <v>0.50172109026291911</v>
      </c>
      <c r="AV34">
        <f t="shared" si="29"/>
        <v>1</v>
      </c>
      <c r="AW34" s="4">
        <f t="shared" si="30"/>
        <v>0</v>
      </c>
      <c r="BH34" s="34">
        <f t="shared" si="31"/>
        <v>0.50407163926525678</v>
      </c>
      <c r="BI34" s="16">
        <f t="shared" si="32"/>
        <v>1.3968264148669571</v>
      </c>
      <c r="BJ34" s="1">
        <f t="shared" si="33"/>
        <v>0.50407163926525678</v>
      </c>
      <c r="BK34">
        <f t="shared" si="34"/>
        <v>1</v>
      </c>
      <c r="BL34" s="4">
        <f t="shared" si="35"/>
        <v>0</v>
      </c>
    </row>
    <row r="35" spans="1:64" x14ac:dyDescent="0.3">
      <c r="A35" s="3"/>
      <c r="B35">
        <v>222293</v>
      </c>
      <c r="C35">
        <v>47</v>
      </c>
      <c r="D35">
        <v>0.54300000000000004</v>
      </c>
      <c r="E35">
        <v>0.32700000000000001</v>
      </c>
      <c r="F35">
        <v>9</v>
      </c>
      <c r="G35">
        <v>-6.8129999999999997</v>
      </c>
      <c r="H35">
        <v>3.6799999999999999E-2</v>
      </c>
      <c r="I35">
        <v>0.78500000000000003</v>
      </c>
      <c r="J35">
        <v>0</v>
      </c>
      <c r="K35">
        <v>8.8800000000000004E-2</v>
      </c>
      <c r="L35">
        <v>0.249</v>
      </c>
      <c r="M35" s="4">
        <v>135.25700000000001</v>
      </c>
      <c r="O35" s="3"/>
      <c r="P35" s="1">
        <f t="shared" si="23"/>
        <v>0.37862347329244639</v>
      </c>
      <c r="Q35" s="1">
        <f t="shared" si="10"/>
        <v>0.22580645161290322</v>
      </c>
      <c r="R35" s="1">
        <f t="shared" si="11"/>
        <v>0.62653061224489803</v>
      </c>
      <c r="S35" s="1">
        <f t="shared" si="12"/>
        <v>0.32640442047099066</v>
      </c>
      <c r="T35" s="1">
        <f t="shared" si="13"/>
        <v>0.81818181818181823</v>
      </c>
      <c r="U35" s="1">
        <f t="shared" si="14"/>
        <v>0.72357805566760791</v>
      </c>
      <c r="V35" s="1">
        <f t="shared" si="15"/>
        <v>0.14470284237726097</v>
      </c>
      <c r="W35" s="1">
        <f t="shared" si="16"/>
        <v>0.83304088903068019</v>
      </c>
      <c r="X35" s="1">
        <f t="shared" si="17"/>
        <v>0</v>
      </c>
      <c r="Y35" s="1">
        <f t="shared" si="18"/>
        <v>6.3652073732718903E-2</v>
      </c>
      <c r="Z35" s="1">
        <f t="shared" si="19"/>
        <v>0.23852183650615905</v>
      </c>
      <c r="AA35" s="8">
        <f t="shared" si="20"/>
        <v>0.57492163553795805</v>
      </c>
      <c r="AB35" s="1"/>
      <c r="AC35" s="15">
        <f t="shared" si="36"/>
        <v>1.7299672272986877</v>
      </c>
      <c r="AD35" s="16">
        <f t="shared" si="24"/>
        <v>2.2549630573950932</v>
      </c>
      <c r="AE35" s="1">
        <f t="shared" si="25"/>
        <v>1.7299672272986877</v>
      </c>
      <c r="AF35">
        <f t="shared" si="26"/>
        <v>1</v>
      </c>
      <c r="AG35">
        <f t="shared" si="27"/>
        <v>0</v>
      </c>
      <c r="AS35" s="34">
        <f t="shared" si="21"/>
        <v>0.489241041001998</v>
      </c>
      <c r="AT35" s="16">
        <f t="shared" si="22"/>
        <v>1.4664074756818202</v>
      </c>
      <c r="AU35" s="1">
        <f t="shared" si="28"/>
        <v>0.489241041001998</v>
      </c>
      <c r="AV35">
        <f t="shared" si="29"/>
        <v>1</v>
      </c>
      <c r="AW35" s="4">
        <f t="shared" si="30"/>
        <v>0</v>
      </c>
      <c r="BH35" s="34">
        <f t="shared" si="31"/>
        <v>0.47711271442028752</v>
      </c>
      <c r="BI35" s="16">
        <f t="shared" si="32"/>
        <v>1.4664074756818202</v>
      </c>
      <c r="BJ35" s="1">
        <f t="shared" si="33"/>
        <v>0.47711271442028752</v>
      </c>
      <c r="BK35">
        <f t="shared" si="34"/>
        <v>1</v>
      </c>
      <c r="BL35" s="4">
        <f t="shared" si="35"/>
        <v>0</v>
      </c>
    </row>
    <row r="36" spans="1:64" x14ac:dyDescent="0.3">
      <c r="A36" s="3"/>
      <c r="B36">
        <v>220720</v>
      </c>
      <c r="C36">
        <v>46</v>
      </c>
      <c r="D36">
        <v>0.45700000000000002</v>
      </c>
      <c r="E36">
        <v>0.36599999999999999</v>
      </c>
      <c r="F36">
        <v>2</v>
      </c>
      <c r="G36">
        <v>-7.3780000000000001</v>
      </c>
      <c r="H36">
        <v>4.1300000000000003E-2</v>
      </c>
      <c r="I36">
        <v>0.79200000000000004</v>
      </c>
      <c r="J36">
        <v>3.0700000000000001E-5</v>
      </c>
      <c r="K36">
        <v>8.8099999999999998E-2</v>
      </c>
      <c r="L36">
        <v>0.26300000000000001</v>
      </c>
      <c r="M36" s="4">
        <v>141.36000000000001</v>
      </c>
      <c r="O36" s="3"/>
      <c r="P36" s="1">
        <f t="shared" si="23"/>
        <v>0.37112753577606544</v>
      </c>
      <c r="Q36" s="1">
        <f t="shared" si="10"/>
        <v>0.19354838709677419</v>
      </c>
      <c r="R36" s="1">
        <f t="shared" si="11"/>
        <v>0.45102040816326538</v>
      </c>
      <c r="S36" s="1">
        <f t="shared" si="12"/>
        <v>0.37771345875542695</v>
      </c>
      <c r="T36" s="1">
        <f t="shared" si="13"/>
        <v>0.18181818181818182</v>
      </c>
      <c r="U36" s="1">
        <f t="shared" si="14"/>
        <v>0.66659943525615162</v>
      </c>
      <c r="V36" s="1">
        <f t="shared" si="15"/>
        <v>0.20284237726098195</v>
      </c>
      <c r="W36" s="1">
        <f t="shared" si="16"/>
        <v>0.84048492582549061</v>
      </c>
      <c r="X36" s="1">
        <f t="shared" si="17"/>
        <v>5.0996677740863794E-4</v>
      </c>
      <c r="Y36" s="1">
        <f t="shared" si="18"/>
        <v>6.2644009216589858E-2</v>
      </c>
      <c r="Z36" s="1">
        <f t="shared" si="19"/>
        <v>0.26091825307950733</v>
      </c>
      <c r="AA36" s="8">
        <f t="shared" si="20"/>
        <v>0.62791424626846248</v>
      </c>
      <c r="AB36" s="1"/>
      <c r="AC36" s="15">
        <f t="shared" si="36"/>
        <v>1.4874593297814147</v>
      </c>
      <c r="AD36" s="16">
        <f t="shared" si="24"/>
        <v>2.3954650669891144</v>
      </c>
      <c r="AE36" s="1">
        <f t="shared" si="25"/>
        <v>1.4874593297814147</v>
      </c>
      <c r="AF36">
        <f t="shared" si="26"/>
        <v>1</v>
      </c>
      <c r="AG36">
        <f t="shared" si="27"/>
        <v>0</v>
      </c>
      <c r="AS36" s="34">
        <f t="shared" si="21"/>
        <v>0.59275636583177937</v>
      </c>
      <c r="AT36" s="16">
        <f t="shared" si="22"/>
        <v>1.5644658844158845</v>
      </c>
      <c r="AU36" s="1">
        <f t="shared" si="28"/>
        <v>0.59275636583177937</v>
      </c>
      <c r="AV36">
        <f t="shared" si="29"/>
        <v>1</v>
      </c>
      <c r="AW36" s="4">
        <f t="shared" si="30"/>
        <v>0</v>
      </c>
      <c r="BH36" s="34">
        <f t="shared" si="31"/>
        <v>0.59790045036863515</v>
      </c>
      <c r="BI36" s="16">
        <f t="shared" si="32"/>
        <v>1.5644658844158845</v>
      </c>
      <c r="BJ36" s="1">
        <f t="shared" si="33"/>
        <v>0.59790045036863515</v>
      </c>
      <c r="BK36">
        <f t="shared" si="34"/>
        <v>1</v>
      </c>
      <c r="BL36" s="4">
        <f t="shared" si="35"/>
        <v>0</v>
      </c>
    </row>
    <row r="37" spans="1:64" x14ac:dyDescent="0.3">
      <c r="A37" s="3"/>
      <c r="B37">
        <v>231693</v>
      </c>
      <c r="C37">
        <v>45</v>
      </c>
      <c r="D37">
        <v>0.42199999999999999</v>
      </c>
      <c r="E37">
        <v>0.47499999999999998</v>
      </c>
      <c r="F37">
        <v>11</v>
      </c>
      <c r="G37">
        <v>-5.9489999999999998</v>
      </c>
      <c r="H37">
        <v>3.6900000000000002E-2</v>
      </c>
      <c r="I37">
        <v>0.45500000000000002</v>
      </c>
      <c r="J37">
        <v>0</v>
      </c>
      <c r="K37">
        <v>0.14399999999999999</v>
      </c>
      <c r="L37">
        <v>0.28899999999999998</v>
      </c>
      <c r="M37" s="4">
        <v>167.64699999999999</v>
      </c>
      <c r="O37" s="3"/>
      <c r="P37" s="1">
        <f t="shared" si="23"/>
        <v>0.4234180140769227</v>
      </c>
      <c r="Q37" s="1">
        <f t="shared" si="10"/>
        <v>0.16129032258064516</v>
      </c>
      <c r="R37" s="1">
        <f t="shared" si="11"/>
        <v>0.37959183673469388</v>
      </c>
      <c r="S37" s="1">
        <f t="shared" si="12"/>
        <v>0.52111564267859489</v>
      </c>
      <c r="T37" s="1">
        <f t="shared" si="13"/>
        <v>1</v>
      </c>
      <c r="U37" s="1">
        <f t="shared" si="14"/>
        <v>0.81070996369503823</v>
      </c>
      <c r="V37" s="1">
        <f t="shared" si="15"/>
        <v>0.1459948320413437</v>
      </c>
      <c r="W37" s="1">
        <f t="shared" si="16"/>
        <v>0.48210772584675926</v>
      </c>
      <c r="X37" s="1">
        <f t="shared" si="17"/>
        <v>0</v>
      </c>
      <c r="Y37" s="1">
        <f t="shared" si="18"/>
        <v>0.14314516129032256</v>
      </c>
      <c r="Z37" s="1">
        <f t="shared" si="19"/>
        <v>0.3025115981442969</v>
      </c>
      <c r="AA37" s="8">
        <f t="shared" si="20"/>
        <v>0.85616539460088392</v>
      </c>
      <c r="AB37" s="1"/>
      <c r="AC37" s="15">
        <f t="shared" si="36"/>
        <v>1.8376519912720193</v>
      </c>
      <c r="AD37" s="16">
        <f t="shared" si="24"/>
        <v>2.2192034286308715</v>
      </c>
      <c r="AE37" s="1">
        <f t="shared" si="25"/>
        <v>1.8376519912720193</v>
      </c>
      <c r="AF37">
        <f t="shared" si="26"/>
        <v>1</v>
      </c>
      <c r="AG37">
        <f t="shared" si="27"/>
        <v>0</v>
      </c>
      <c r="AS37" s="34">
        <f t="shared" si="21"/>
        <v>0.68337005832509534</v>
      </c>
      <c r="AT37" s="16">
        <f t="shared" si="22"/>
        <v>1.3456934772598834</v>
      </c>
      <c r="AU37" s="1">
        <f t="shared" si="28"/>
        <v>0.68337005832509534</v>
      </c>
      <c r="AV37">
        <f t="shared" si="29"/>
        <v>1</v>
      </c>
      <c r="AW37" s="4">
        <f t="shared" si="30"/>
        <v>0</v>
      </c>
      <c r="BH37" s="34">
        <f t="shared" si="31"/>
        <v>0.67241622140928503</v>
      </c>
      <c r="BI37" s="16">
        <f t="shared" si="32"/>
        <v>1.3456934772598834</v>
      </c>
      <c r="BJ37" s="1">
        <f t="shared" si="33"/>
        <v>0.67241622140928503</v>
      </c>
      <c r="BK37">
        <f t="shared" si="34"/>
        <v>1</v>
      </c>
      <c r="BL37" s="4">
        <f t="shared" si="35"/>
        <v>0</v>
      </c>
    </row>
    <row r="38" spans="1:64" x14ac:dyDescent="0.3">
      <c r="A38" s="3"/>
      <c r="B38">
        <v>174933</v>
      </c>
      <c r="C38">
        <v>49</v>
      </c>
      <c r="D38">
        <v>0.57899999999999996</v>
      </c>
      <c r="E38">
        <v>0.621</v>
      </c>
      <c r="F38">
        <v>5</v>
      </c>
      <c r="G38">
        <v>-5.9340000000000002</v>
      </c>
      <c r="H38">
        <v>3.5299999999999998E-2</v>
      </c>
      <c r="I38">
        <v>0.27</v>
      </c>
      <c r="J38">
        <v>0</v>
      </c>
      <c r="K38">
        <v>9.6500000000000002E-2</v>
      </c>
      <c r="L38">
        <v>0.61099999999999999</v>
      </c>
      <c r="M38" s="4">
        <v>139.38999999999999</v>
      </c>
      <c r="O38" s="3"/>
      <c r="P38" s="1">
        <f t="shared" si="23"/>
        <v>0.15293523376555299</v>
      </c>
      <c r="Q38" s="1">
        <f t="shared" ref="Q38:Q56" si="37">(C38 - $C$2)/($C$3 - $C$2)</f>
        <v>0.29032258064516131</v>
      </c>
      <c r="R38" s="1">
        <f t="shared" ref="R38:R56" si="38">(D38 - $D$2)/($D$3 - $D$2)</f>
        <v>0.7</v>
      </c>
      <c r="S38" s="1">
        <f t="shared" ref="S38:S56" si="39">(E38 - $E$2)/($E$3- $E$2)</f>
        <v>0.71319563215366399</v>
      </c>
      <c r="T38" s="1">
        <f t="shared" ref="T38:T56" si="40">(F38 - $F$2)/($F$3- $F$2)</f>
        <v>0.45454545454545453</v>
      </c>
      <c r="U38" s="1">
        <f t="shared" ref="U38:U56" si="41">(G38 - $G$2)/($G$3- $G$2)</f>
        <v>0.81222267043162544</v>
      </c>
      <c r="V38" s="1">
        <f t="shared" ref="V38:V56" si="42">(H38 - $H$2)/($H$3- $H$2)</f>
        <v>0.12532299741602063</v>
      </c>
      <c r="W38" s="1">
        <f t="shared" ref="W38:W56" si="43">(I38 - $I$2)/($I$3- $I$2)</f>
        <v>0.28537246769819752</v>
      </c>
      <c r="X38" s="1">
        <f t="shared" ref="X38:X56" si="44">(J38 - $J$2)/($J$3- $J$2)</f>
        <v>0</v>
      </c>
      <c r="Y38" s="1">
        <f t="shared" ref="Y38:Y56" si="45">(K38 - $K$2)/($K$3- $K$2)</f>
        <v>7.4740783410138248E-2</v>
      </c>
      <c r="Z38" s="1">
        <f t="shared" ref="Z38:Z56" si="46">(L38 - $L$2)/($L$3- $L$2)</f>
        <v>0.81762917933130697</v>
      </c>
      <c r="AA38" s="8">
        <f t="shared" ref="AA38:AA56" si="47">(M38 - $M$2)/($M$3- $M$2)</f>
        <v>0.61080865178393107</v>
      </c>
      <c r="AB38" s="1"/>
      <c r="AC38" s="15">
        <f t="shared" si="36"/>
        <v>1.7654959078366099</v>
      </c>
      <c r="AD38" s="16">
        <f t="shared" si="24"/>
        <v>2.2456145034768791</v>
      </c>
      <c r="AE38" s="1">
        <f t="shared" si="25"/>
        <v>1.7654959078366099</v>
      </c>
      <c r="AF38">
        <f t="shared" si="26"/>
        <v>1</v>
      </c>
      <c r="AG38">
        <f t="shared" si="27"/>
        <v>0</v>
      </c>
      <c r="AS38" s="34">
        <f t="shared" ref="AS38:AS56" si="48">SQRT(
($AE$2 - P38)^2 +
($AF$2 -Q38)^2 +
($AG$2 - R38)^2 +
($AH$2 - S38)^2 +
($AI$2 - T38)^2 +
($AJ$2 - U38)^2 +
($AK$2 - V38)^2 +
($AL$2 - W38)^2 +
($AM$2 - X38)^2 +
($AN$2 - Y38)^2 +
($AO$2 - Z38)^2 +
($AP$2 - AA38)^2)</f>
        <v>0.72643268656260096</v>
      </c>
      <c r="AT38" s="16">
        <f t="shared" ref="AT38:AT56" si="49">SQRT(
($AE$3 - P38)^2 +
($AF$3 -Q38)^2 +
($AG$3 - R38)^2 +
($AH$3 - S38)^2 +
($AI$3 - T38)^2 +
($AJ$3 - U38)^2 +
($AK$3 - V38)^2 +
($AL$3 - W38)^2 +
($AM$3 - X38)^2 +
($AN$3 - Y38)^2 +
($AO$3 - Z38)^2 +
($AP$3 - AA38)^2)</f>
        <v>1.4047700507280374</v>
      </c>
      <c r="AU38" s="1">
        <f t="shared" si="28"/>
        <v>0.72643268656260096</v>
      </c>
      <c r="AV38">
        <f t="shared" si="29"/>
        <v>1</v>
      </c>
      <c r="AW38" s="4">
        <f t="shared" si="30"/>
        <v>0</v>
      </c>
      <c r="BH38" s="34">
        <f t="shared" si="31"/>
        <v>0.72060208391611313</v>
      </c>
      <c r="BI38" s="16">
        <f t="shared" si="32"/>
        <v>1.4047700507280374</v>
      </c>
      <c r="BJ38" s="1">
        <f t="shared" si="33"/>
        <v>0.72060208391611313</v>
      </c>
      <c r="BK38">
        <f t="shared" si="34"/>
        <v>1</v>
      </c>
      <c r="BL38" s="4">
        <f t="shared" si="35"/>
        <v>0</v>
      </c>
    </row>
    <row r="39" spans="1:64" x14ac:dyDescent="0.3">
      <c r="A39" s="3"/>
      <c r="B39">
        <v>291533</v>
      </c>
      <c r="C39">
        <v>49</v>
      </c>
      <c r="D39">
        <v>0.41699999999999998</v>
      </c>
      <c r="E39">
        <v>0.63400000000000001</v>
      </c>
      <c r="F39">
        <v>9</v>
      </c>
      <c r="G39">
        <v>-7.181</v>
      </c>
      <c r="H39">
        <v>4.82E-2</v>
      </c>
      <c r="I39">
        <v>1.7299999999999999E-2</v>
      </c>
      <c r="J39">
        <v>2.02E-5</v>
      </c>
      <c r="K39">
        <v>0.113</v>
      </c>
      <c r="L39">
        <v>0.32100000000000001</v>
      </c>
      <c r="M39" s="4">
        <v>152.65100000000001</v>
      </c>
      <c r="O39" s="3"/>
      <c r="P39" s="1">
        <f t="shared" si="23"/>
        <v>0.70857815456022721</v>
      </c>
      <c r="Q39" s="1">
        <f t="shared" si="37"/>
        <v>0.29032258064516131</v>
      </c>
      <c r="R39" s="1">
        <f t="shared" si="38"/>
        <v>0.3693877551020408</v>
      </c>
      <c r="S39" s="1">
        <f t="shared" si="39"/>
        <v>0.73029864491514285</v>
      </c>
      <c r="T39" s="1">
        <f t="shared" si="40"/>
        <v>0.81818181818181823</v>
      </c>
      <c r="U39" s="1">
        <f t="shared" si="41"/>
        <v>0.68646631706333194</v>
      </c>
      <c r="V39" s="1">
        <f t="shared" si="42"/>
        <v>0.29198966408268734</v>
      </c>
      <c r="W39" s="1">
        <f t="shared" si="43"/>
        <v>1.6642739405540494E-2</v>
      </c>
      <c r="X39" s="1">
        <f t="shared" si="44"/>
        <v>3.3554817275747512E-4</v>
      </c>
      <c r="Y39" s="1">
        <f t="shared" si="45"/>
        <v>9.8502304147465441E-2</v>
      </c>
      <c r="Z39" s="1">
        <f t="shared" si="46"/>
        <v>0.35370340745480727</v>
      </c>
      <c r="AA39" s="8">
        <f t="shared" si="47"/>
        <v>0.72595448348919411</v>
      </c>
      <c r="AB39" s="1"/>
      <c r="AC39" s="15">
        <f t="shared" si="36"/>
        <v>1.7731793175442365</v>
      </c>
      <c r="AD39" s="16">
        <f t="shared" si="24"/>
        <v>2.2278774781675712</v>
      </c>
      <c r="AE39" s="1">
        <f t="shared" si="25"/>
        <v>1.7731793175442365</v>
      </c>
      <c r="AF39">
        <f t="shared" si="26"/>
        <v>1</v>
      </c>
      <c r="AG39">
        <f t="shared" si="27"/>
        <v>0</v>
      </c>
      <c r="AS39" s="34">
        <f t="shared" si="48"/>
        <v>0.80639892069455643</v>
      </c>
      <c r="AT39" s="16">
        <f t="shared" si="49"/>
        <v>1.2303683394643476</v>
      </c>
      <c r="AU39" s="1">
        <f t="shared" si="28"/>
        <v>0.80639892069455643</v>
      </c>
      <c r="AV39">
        <f t="shared" si="29"/>
        <v>1</v>
      </c>
      <c r="AW39" s="4">
        <f t="shared" si="30"/>
        <v>0</v>
      </c>
      <c r="BH39" s="34">
        <f t="shared" si="31"/>
        <v>0.80234023215047079</v>
      </c>
      <c r="BI39" s="16">
        <f t="shared" si="32"/>
        <v>1.2303683394643476</v>
      </c>
      <c r="BJ39" s="1">
        <f t="shared" si="33"/>
        <v>0.80234023215047079</v>
      </c>
      <c r="BK39">
        <f t="shared" si="34"/>
        <v>1</v>
      </c>
      <c r="BL39" s="4">
        <f t="shared" si="35"/>
        <v>0</v>
      </c>
    </row>
    <row r="40" spans="1:64" x14ac:dyDescent="0.3">
      <c r="A40" s="3"/>
      <c r="B40">
        <v>287346</v>
      </c>
      <c r="C40">
        <v>45</v>
      </c>
      <c r="D40">
        <v>0.53900000000000003</v>
      </c>
      <c r="E40">
        <v>0.187</v>
      </c>
      <c r="F40">
        <v>5</v>
      </c>
      <c r="G40">
        <v>-11.756</v>
      </c>
      <c r="H40">
        <v>3.5299999999999998E-2</v>
      </c>
      <c r="I40">
        <v>0.83299999999999996</v>
      </c>
      <c r="J40">
        <v>0</v>
      </c>
      <c r="K40">
        <v>0.11899999999999999</v>
      </c>
      <c r="L40">
        <v>0.35599999999999998</v>
      </c>
      <c r="M40" s="4">
        <v>128.96899999999999</v>
      </c>
      <c r="O40" s="3"/>
      <c r="P40" s="1">
        <f t="shared" si="23"/>
        <v>0.68862552240441843</v>
      </c>
      <c r="Q40" s="1">
        <f t="shared" si="37"/>
        <v>0.16129032258064516</v>
      </c>
      <c r="R40" s="1">
        <f t="shared" si="38"/>
        <v>0.6183673469387756</v>
      </c>
      <c r="S40" s="1">
        <f t="shared" si="39"/>
        <v>0.14221812919352717</v>
      </c>
      <c r="T40" s="1">
        <f t="shared" si="40"/>
        <v>0.45454545454545453</v>
      </c>
      <c r="U40" s="1">
        <f t="shared" si="41"/>
        <v>0.22509076240419515</v>
      </c>
      <c r="V40" s="1">
        <f t="shared" si="42"/>
        <v>0.12532299741602063</v>
      </c>
      <c r="W40" s="1">
        <f t="shared" si="43"/>
        <v>0.88408571276652315</v>
      </c>
      <c r="X40" s="1">
        <f t="shared" si="44"/>
        <v>0</v>
      </c>
      <c r="Y40" s="1">
        <f t="shared" si="45"/>
        <v>0.10714285714285714</v>
      </c>
      <c r="Z40" s="1">
        <f t="shared" si="46"/>
        <v>0.40969444888817791</v>
      </c>
      <c r="AA40" s="8">
        <f t="shared" si="47"/>
        <v>0.52032266187362697</v>
      </c>
      <c r="AB40" s="1"/>
      <c r="AC40" s="15">
        <f t="shared" si="36"/>
        <v>1.5516054520428109</v>
      </c>
      <c r="AD40" s="16">
        <f t="shared" si="24"/>
        <v>2.3945912065529122</v>
      </c>
      <c r="AE40" s="1">
        <f t="shared" si="25"/>
        <v>1.5516054520428109</v>
      </c>
      <c r="AF40">
        <f t="shared" si="26"/>
        <v>1</v>
      </c>
      <c r="AG40">
        <f t="shared" si="27"/>
        <v>0</v>
      </c>
      <c r="AS40" s="34">
        <f t="shared" si="48"/>
        <v>0.69294385931898161</v>
      </c>
      <c r="AT40" s="16">
        <f t="shared" si="49"/>
        <v>1.7138954247903826</v>
      </c>
      <c r="AU40" s="1">
        <f t="shared" si="28"/>
        <v>0.69294385931898161</v>
      </c>
      <c r="AV40">
        <f t="shared" si="29"/>
        <v>1</v>
      </c>
      <c r="AW40" s="4">
        <f t="shared" si="30"/>
        <v>0</v>
      </c>
      <c r="BH40" s="34">
        <f t="shared" si="31"/>
        <v>0.69640029345368215</v>
      </c>
      <c r="BI40" s="16">
        <f t="shared" si="32"/>
        <v>1.7138954247903826</v>
      </c>
      <c r="BJ40" s="1">
        <f t="shared" si="33"/>
        <v>0.69640029345368215</v>
      </c>
      <c r="BK40">
        <f t="shared" si="34"/>
        <v>1</v>
      </c>
      <c r="BL40" s="4">
        <f t="shared" si="35"/>
        <v>0</v>
      </c>
    </row>
    <row r="41" spans="1:64" x14ac:dyDescent="0.3">
      <c r="A41" s="3"/>
      <c r="B41">
        <v>182186</v>
      </c>
      <c r="C41">
        <v>45</v>
      </c>
      <c r="D41">
        <v>0.55700000000000005</v>
      </c>
      <c r="E41">
        <v>0.185</v>
      </c>
      <c r="F41">
        <v>8</v>
      </c>
      <c r="G41">
        <v>-12.173999999999999</v>
      </c>
      <c r="H41">
        <v>4.3900000000000002E-2</v>
      </c>
      <c r="I41">
        <v>0.91300000000000003</v>
      </c>
      <c r="J41">
        <v>2.2200000000000001E-5</v>
      </c>
      <c r="K41">
        <v>0.15</v>
      </c>
      <c r="L41">
        <v>0.41799999999999998</v>
      </c>
      <c r="M41" s="4">
        <v>145.77199999999999</v>
      </c>
      <c r="O41" s="3"/>
      <c r="P41" s="1">
        <f t="shared" si="23"/>
        <v>0.18749851081978774</v>
      </c>
      <c r="Q41" s="1">
        <f t="shared" si="37"/>
        <v>0.16129032258064516</v>
      </c>
      <c r="R41" s="1">
        <f t="shared" si="38"/>
        <v>0.65510204081632673</v>
      </c>
      <c r="S41" s="1">
        <f t="shared" si="39"/>
        <v>0.13958689646099198</v>
      </c>
      <c r="T41" s="1">
        <f t="shared" si="40"/>
        <v>0.72727272727272729</v>
      </c>
      <c r="U41" s="1">
        <f t="shared" si="41"/>
        <v>0.18293666801129488</v>
      </c>
      <c r="V41" s="1">
        <f t="shared" si="42"/>
        <v>0.23643410852713179</v>
      </c>
      <c r="W41" s="1">
        <f t="shared" si="43"/>
        <v>0.96916041899292826</v>
      </c>
      <c r="X41" s="1">
        <f t="shared" si="44"/>
        <v>3.6877076411960134E-4</v>
      </c>
      <c r="Y41" s="1">
        <f t="shared" si="45"/>
        <v>0.15178571428571427</v>
      </c>
      <c r="Z41" s="1">
        <f t="shared" si="46"/>
        <v>0.50887857942729164</v>
      </c>
      <c r="AA41" s="8">
        <f t="shared" si="47"/>
        <v>0.6662238314795037</v>
      </c>
      <c r="AB41" s="1"/>
      <c r="AC41" s="15">
        <f t="shared" si="36"/>
        <v>1.6712954664878252</v>
      </c>
      <c r="AD41" s="16">
        <f t="shared" si="24"/>
        <v>2.3706858411493141</v>
      </c>
      <c r="AE41" s="1">
        <f t="shared" si="25"/>
        <v>1.6712954664878252</v>
      </c>
      <c r="AF41">
        <f t="shared" si="26"/>
        <v>1</v>
      </c>
      <c r="AG41">
        <f t="shared" si="27"/>
        <v>0</v>
      </c>
      <c r="AS41" s="34">
        <f t="shared" si="48"/>
        <v>0.76984117985698708</v>
      </c>
      <c r="AT41" s="16">
        <f t="shared" si="49"/>
        <v>1.6993240662192992</v>
      </c>
      <c r="AU41" s="1">
        <f t="shared" si="28"/>
        <v>0.76984117985698708</v>
      </c>
      <c r="AV41">
        <f t="shared" si="29"/>
        <v>1</v>
      </c>
      <c r="AW41" s="4">
        <f t="shared" si="30"/>
        <v>0</v>
      </c>
      <c r="BH41" s="34">
        <f t="shared" si="31"/>
        <v>0.76941037334372253</v>
      </c>
      <c r="BI41" s="16">
        <f t="shared" si="32"/>
        <v>1.6993240662192992</v>
      </c>
      <c r="BJ41" s="1">
        <f t="shared" si="33"/>
        <v>0.76941037334372253</v>
      </c>
      <c r="BK41">
        <f t="shared" si="34"/>
        <v>1</v>
      </c>
      <c r="BL41" s="4">
        <f t="shared" si="35"/>
        <v>0</v>
      </c>
    </row>
    <row r="42" spans="1:64" x14ac:dyDescent="0.3">
      <c r="A42" s="3"/>
      <c r="B42">
        <v>169920</v>
      </c>
      <c r="C42">
        <v>46</v>
      </c>
      <c r="D42">
        <v>0.40300000000000002</v>
      </c>
      <c r="E42">
        <v>0.59599999999999997</v>
      </c>
      <c r="F42">
        <v>2</v>
      </c>
      <c r="G42">
        <v>-6.7469999999999999</v>
      </c>
      <c r="H42">
        <v>3.2099999999999997E-2</v>
      </c>
      <c r="I42">
        <v>0.255</v>
      </c>
      <c r="J42">
        <v>0</v>
      </c>
      <c r="K42">
        <v>0.307</v>
      </c>
      <c r="L42">
        <v>0.59399999999999997</v>
      </c>
      <c r="M42" s="4">
        <v>171.92</v>
      </c>
      <c r="O42" s="3"/>
      <c r="P42" s="1">
        <f t="shared" si="23"/>
        <v>0.12904640047272536</v>
      </c>
      <c r="Q42" s="1">
        <f t="shared" si="37"/>
        <v>0.19354838709677419</v>
      </c>
      <c r="R42" s="1">
        <f t="shared" si="38"/>
        <v>0.34081632653061233</v>
      </c>
      <c r="S42" s="1">
        <f t="shared" si="39"/>
        <v>0.68030522299697405</v>
      </c>
      <c r="T42" s="1">
        <f t="shared" si="40"/>
        <v>0.18181818181818182</v>
      </c>
      <c r="U42" s="1">
        <f t="shared" si="41"/>
        <v>0.73023396530859208</v>
      </c>
      <c r="V42" s="1">
        <f t="shared" si="42"/>
        <v>8.3979328165374623E-2</v>
      </c>
      <c r="W42" s="1">
        <f t="shared" si="43"/>
        <v>0.26942096028074658</v>
      </c>
      <c r="X42" s="1">
        <f t="shared" si="44"/>
        <v>0</v>
      </c>
      <c r="Y42" s="1">
        <f t="shared" si="45"/>
        <v>0.37788018433179715</v>
      </c>
      <c r="Z42" s="1">
        <f t="shared" si="46"/>
        <v>0.79043353063509836</v>
      </c>
      <c r="AA42" s="8">
        <f t="shared" si="47"/>
        <v>0.893268036850834</v>
      </c>
      <c r="AB42" s="1"/>
      <c r="AC42" s="15">
        <f t="shared" si="36"/>
        <v>1.6865737395499323</v>
      </c>
      <c r="AD42" s="16">
        <f t="shared" si="24"/>
        <v>2.3458537742075958</v>
      </c>
      <c r="AE42" s="1">
        <f t="shared" si="25"/>
        <v>1.6865737395499323</v>
      </c>
      <c r="AF42">
        <f t="shared" si="26"/>
        <v>1</v>
      </c>
      <c r="AG42">
        <f t="shared" si="27"/>
        <v>0</v>
      </c>
      <c r="AS42" s="34">
        <f t="shared" si="48"/>
        <v>0.94419196091181345</v>
      </c>
      <c r="AT42" s="16">
        <f t="shared" si="49"/>
        <v>1.5406535133627044</v>
      </c>
      <c r="AU42" s="1">
        <f t="shared" si="28"/>
        <v>0.94419196091181345</v>
      </c>
      <c r="AV42">
        <f t="shared" si="29"/>
        <v>1</v>
      </c>
      <c r="AW42" s="4">
        <f t="shared" si="30"/>
        <v>0</v>
      </c>
      <c r="BH42" s="34">
        <f t="shared" si="31"/>
        <v>0.94645979890327547</v>
      </c>
      <c r="BI42" s="16">
        <f t="shared" si="32"/>
        <v>1.5406535133627044</v>
      </c>
      <c r="BJ42" s="1">
        <f t="shared" si="33"/>
        <v>0.94645979890327547</v>
      </c>
      <c r="BK42">
        <f t="shared" si="34"/>
        <v>1</v>
      </c>
      <c r="BL42" s="4">
        <f t="shared" si="35"/>
        <v>0</v>
      </c>
    </row>
    <row r="43" spans="1:64" x14ac:dyDescent="0.3">
      <c r="A43" s="3"/>
      <c r="B43">
        <v>156146</v>
      </c>
      <c r="C43">
        <v>43</v>
      </c>
      <c r="D43">
        <v>0.65</v>
      </c>
      <c r="E43">
        <v>0.188</v>
      </c>
      <c r="F43">
        <v>9</v>
      </c>
      <c r="G43">
        <v>-11.04</v>
      </c>
      <c r="H43">
        <v>3.9199999999999999E-2</v>
      </c>
      <c r="I43">
        <v>0.88200000000000001</v>
      </c>
      <c r="J43">
        <v>0</v>
      </c>
      <c r="K43">
        <v>0.114</v>
      </c>
      <c r="L43">
        <v>0.254</v>
      </c>
      <c r="M43" s="4">
        <v>114.142</v>
      </c>
      <c r="O43" s="3"/>
      <c r="P43" s="1">
        <f t="shared" si="23"/>
        <v>6.340810209342998E-2</v>
      </c>
      <c r="Q43" s="1">
        <f t="shared" si="37"/>
        <v>9.6774193548387094E-2</v>
      </c>
      <c r="R43" s="1">
        <f t="shared" si="38"/>
        <v>0.84489795918367361</v>
      </c>
      <c r="S43" s="1">
        <f t="shared" si="39"/>
        <v>0.14353374555979476</v>
      </c>
      <c r="T43" s="1">
        <f t="shared" si="40"/>
        <v>0.81818181818181823</v>
      </c>
      <c r="U43" s="1">
        <f t="shared" si="41"/>
        <v>0.29729729729729731</v>
      </c>
      <c r="V43" s="1">
        <f t="shared" si="42"/>
        <v>0.17571059431524547</v>
      </c>
      <c r="W43" s="1">
        <f t="shared" si="43"/>
        <v>0.93619397033019625</v>
      </c>
      <c r="X43" s="1">
        <f t="shared" si="44"/>
        <v>0</v>
      </c>
      <c r="Y43" s="1">
        <f t="shared" si="45"/>
        <v>9.994239631336406E-2</v>
      </c>
      <c r="Z43" s="1">
        <f t="shared" si="46"/>
        <v>0.24652055671092629</v>
      </c>
      <c r="AA43" s="8">
        <f t="shared" si="47"/>
        <v>0.39157918500959477</v>
      </c>
      <c r="AB43" s="1"/>
      <c r="AC43" s="15">
        <f t="shared" si="36"/>
        <v>1.6239076293652632</v>
      </c>
      <c r="AD43" s="16">
        <f t="shared" si="24"/>
        <v>2.531599563837704</v>
      </c>
      <c r="AE43" s="1">
        <f t="shared" si="25"/>
        <v>1.6239076293652632</v>
      </c>
      <c r="AF43">
        <f t="shared" si="26"/>
        <v>1</v>
      </c>
      <c r="AG43">
        <f t="shared" si="27"/>
        <v>0</v>
      </c>
      <c r="AS43" s="34">
        <f t="shared" si="48"/>
        <v>0.80530122137704008</v>
      </c>
      <c r="AT43" s="16">
        <f t="shared" si="49"/>
        <v>1.8514022260086467</v>
      </c>
      <c r="AU43" s="1">
        <f t="shared" si="28"/>
        <v>0.80530122137704008</v>
      </c>
      <c r="AV43">
        <f t="shared" si="29"/>
        <v>1</v>
      </c>
      <c r="AW43" s="4">
        <f t="shared" si="30"/>
        <v>0</v>
      </c>
      <c r="BH43" s="34">
        <f t="shared" si="31"/>
        <v>0.80751909005761424</v>
      </c>
      <c r="BI43" s="16">
        <f t="shared" si="32"/>
        <v>1.8514022260086467</v>
      </c>
      <c r="BJ43" s="1">
        <f t="shared" si="33"/>
        <v>0.80751909005761424</v>
      </c>
      <c r="BK43">
        <f t="shared" si="34"/>
        <v>1</v>
      </c>
      <c r="BL43" s="4">
        <f t="shared" si="35"/>
        <v>0</v>
      </c>
    </row>
    <row r="44" spans="1:64" x14ac:dyDescent="0.3">
      <c r="A44" s="3"/>
      <c r="B44">
        <v>286093</v>
      </c>
      <c r="C44">
        <v>46</v>
      </c>
      <c r="D44">
        <v>0.42399999999999999</v>
      </c>
      <c r="E44">
        <v>0.25900000000000001</v>
      </c>
      <c r="F44">
        <v>9</v>
      </c>
      <c r="G44">
        <v>-13.585000000000001</v>
      </c>
      <c r="H44">
        <v>4.4400000000000002E-2</v>
      </c>
      <c r="I44">
        <v>0.93600000000000005</v>
      </c>
      <c r="J44">
        <v>2.0899999999999999E-6</v>
      </c>
      <c r="K44">
        <v>0.73899999999999999</v>
      </c>
      <c r="L44">
        <v>0.48699999999999999</v>
      </c>
      <c r="M44" s="4">
        <v>69.045000000000002</v>
      </c>
      <c r="O44" s="3"/>
      <c r="P44" s="1">
        <f t="shared" si="23"/>
        <v>0.68265450542538131</v>
      </c>
      <c r="Q44" s="1">
        <f t="shared" si="37"/>
        <v>0.19354838709677419</v>
      </c>
      <c r="R44" s="1">
        <f t="shared" si="38"/>
        <v>0.3836734693877551</v>
      </c>
      <c r="S44" s="1">
        <f t="shared" si="39"/>
        <v>0.23694250756479412</v>
      </c>
      <c r="T44" s="1">
        <f t="shared" si="40"/>
        <v>0.81818181818181823</v>
      </c>
      <c r="U44" s="1">
        <f t="shared" si="41"/>
        <v>4.0641387656312894E-2</v>
      </c>
      <c r="V44" s="1">
        <f t="shared" si="42"/>
        <v>0.24289405684754525</v>
      </c>
      <c r="W44" s="1">
        <f t="shared" si="43"/>
        <v>0.99361939703301971</v>
      </c>
      <c r="X44" s="1">
        <f t="shared" si="44"/>
        <v>3.4717607973421925E-5</v>
      </c>
      <c r="Y44" s="1">
        <f t="shared" si="45"/>
        <v>1</v>
      </c>
      <c r="Z44" s="1">
        <f t="shared" si="46"/>
        <v>0.6192609182530795</v>
      </c>
      <c r="AA44" s="8">
        <f t="shared" si="47"/>
        <v>0</v>
      </c>
      <c r="AB44" s="1"/>
      <c r="AC44" s="15">
        <f t="shared" si="36"/>
        <v>1.95132251563279</v>
      </c>
      <c r="AD44" s="16">
        <f t="shared" si="24"/>
        <v>2.3205079680765097</v>
      </c>
      <c r="AE44" s="1">
        <f t="shared" si="25"/>
        <v>1.95132251563279</v>
      </c>
      <c r="AF44">
        <f t="shared" si="26"/>
        <v>1</v>
      </c>
      <c r="AG44">
        <f t="shared" si="27"/>
        <v>0</v>
      </c>
      <c r="AS44" s="34">
        <f t="shared" si="48"/>
        <v>1.2981132027439723</v>
      </c>
      <c r="AT44" s="16">
        <f t="shared" si="49"/>
        <v>1.9359313202699804</v>
      </c>
      <c r="AU44" s="1">
        <f t="shared" si="28"/>
        <v>1.2981132027439723</v>
      </c>
      <c r="AV44">
        <f t="shared" si="29"/>
        <v>1</v>
      </c>
      <c r="AW44" s="4">
        <f t="shared" si="30"/>
        <v>0</v>
      </c>
      <c r="BH44" s="34">
        <f t="shared" si="31"/>
        <v>1.2984587001395078</v>
      </c>
      <c r="BI44" s="16">
        <f t="shared" si="32"/>
        <v>1.9359313202699804</v>
      </c>
      <c r="BJ44" s="1">
        <f t="shared" si="33"/>
        <v>1.2984587001395078</v>
      </c>
      <c r="BK44">
        <f t="shared" si="34"/>
        <v>1</v>
      </c>
      <c r="BL44" s="4">
        <f t="shared" si="35"/>
        <v>0</v>
      </c>
    </row>
    <row r="45" spans="1:64" x14ac:dyDescent="0.3">
      <c r="A45" s="3"/>
      <c r="B45">
        <v>206268</v>
      </c>
      <c r="C45">
        <v>44</v>
      </c>
      <c r="D45">
        <v>0.68700000000000006</v>
      </c>
      <c r="E45">
        <v>0.79800000000000004</v>
      </c>
      <c r="F45">
        <v>3</v>
      </c>
      <c r="G45">
        <v>-5.548</v>
      </c>
      <c r="H45">
        <v>6.3700000000000007E-2</v>
      </c>
      <c r="I45">
        <v>0.13900000000000001</v>
      </c>
      <c r="J45">
        <v>2.0999999999999999E-5</v>
      </c>
      <c r="K45">
        <v>8.9800000000000005E-2</v>
      </c>
      <c r="L45">
        <v>0.68</v>
      </c>
      <c r="M45" s="4">
        <v>118.68600000000001</v>
      </c>
      <c r="O45" s="3"/>
      <c r="P45" s="1">
        <f t="shared" si="23"/>
        <v>0.30225831200827269</v>
      </c>
      <c r="Q45" s="1">
        <f t="shared" si="37"/>
        <v>0.12903225806451613</v>
      </c>
      <c r="R45" s="1">
        <f t="shared" si="38"/>
        <v>0.92040816326530628</v>
      </c>
      <c r="S45" s="1">
        <f t="shared" si="39"/>
        <v>0.94605972898302859</v>
      </c>
      <c r="T45" s="1">
        <f t="shared" si="40"/>
        <v>0.27272727272727271</v>
      </c>
      <c r="U45" s="1">
        <f t="shared" si="41"/>
        <v>0.85114965711980628</v>
      </c>
      <c r="V45" s="1">
        <f t="shared" si="42"/>
        <v>0.49224806201550403</v>
      </c>
      <c r="W45" s="1">
        <f t="shared" si="43"/>
        <v>0.14606263625245922</v>
      </c>
      <c r="X45" s="1">
        <f t="shared" si="44"/>
        <v>3.4883720930232559E-4</v>
      </c>
      <c r="Y45" s="1">
        <f t="shared" si="45"/>
        <v>6.5092165898617521E-2</v>
      </c>
      <c r="Z45" s="1">
        <f t="shared" si="46"/>
        <v>0.92801151815709493</v>
      </c>
      <c r="AA45" s="8">
        <f t="shared" si="47"/>
        <v>0.43103493188152864</v>
      </c>
      <c r="AB45" s="1"/>
      <c r="AC45" s="15">
        <f t="shared" si="36"/>
        <v>1.9909549374766757</v>
      </c>
      <c r="AD45" s="16">
        <f t="shared" si="24"/>
        <v>2.2349573767518107</v>
      </c>
      <c r="AE45" s="1">
        <f t="shared" si="25"/>
        <v>1.9909549374766757</v>
      </c>
      <c r="AF45">
        <f t="shared" si="26"/>
        <v>1</v>
      </c>
      <c r="AG45">
        <f t="shared" si="27"/>
        <v>0</v>
      </c>
      <c r="AS45" s="34">
        <f t="shared" si="48"/>
        <v>1.0791730629547838</v>
      </c>
      <c r="AT45" s="16">
        <f t="shared" si="49"/>
        <v>1.4642529195694804</v>
      </c>
      <c r="AU45" s="1">
        <f t="shared" si="28"/>
        <v>1.0791730629547838</v>
      </c>
      <c r="AV45">
        <f t="shared" si="29"/>
        <v>1</v>
      </c>
      <c r="AW45" s="4">
        <f t="shared" si="30"/>
        <v>0</v>
      </c>
      <c r="BH45" s="34">
        <f t="shared" si="31"/>
        <v>1.0733019616256232</v>
      </c>
      <c r="BI45" s="16">
        <f t="shared" si="32"/>
        <v>1.4642529195694804</v>
      </c>
      <c r="BJ45" s="1">
        <f t="shared" si="33"/>
        <v>1.0733019616256232</v>
      </c>
      <c r="BK45">
        <f t="shared" si="34"/>
        <v>1</v>
      </c>
      <c r="BL45" s="4">
        <f t="shared" si="35"/>
        <v>0</v>
      </c>
    </row>
    <row r="46" spans="1:64" x14ac:dyDescent="0.3">
      <c r="A46" s="3"/>
      <c r="B46">
        <v>151333</v>
      </c>
      <c r="C46">
        <v>41</v>
      </c>
      <c r="D46">
        <v>0.55500000000000005</v>
      </c>
      <c r="E46">
        <v>0.37</v>
      </c>
      <c r="F46">
        <v>10</v>
      </c>
      <c r="G46">
        <v>-9.827</v>
      </c>
      <c r="H46">
        <v>3.04E-2</v>
      </c>
      <c r="I46">
        <v>0.85099999999999998</v>
      </c>
      <c r="J46">
        <v>2.0599999999999999E-4</v>
      </c>
      <c r="K46">
        <v>0.129</v>
      </c>
      <c r="L46">
        <v>0.53300000000000003</v>
      </c>
      <c r="M46" s="4">
        <v>80.338999999999999</v>
      </c>
      <c r="O46" s="3"/>
      <c r="P46" s="1">
        <f t="shared" si="23"/>
        <v>4.0472344136442268E-2</v>
      </c>
      <c r="Q46" s="1">
        <f t="shared" si="37"/>
        <v>3.2258064516129031E-2</v>
      </c>
      <c r="R46" s="1">
        <f t="shared" si="38"/>
        <v>0.65102040816326545</v>
      </c>
      <c r="S46" s="1">
        <f t="shared" si="39"/>
        <v>0.38297592422049731</v>
      </c>
      <c r="T46" s="1">
        <f t="shared" si="40"/>
        <v>0.90909090909090906</v>
      </c>
      <c r="U46" s="1">
        <f t="shared" si="41"/>
        <v>0.41962484872932626</v>
      </c>
      <c r="V46" s="1">
        <f t="shared" si="42"/>
        <v>6.2015503875968978E-2</v>
      </c>
      <c r="W46" s="1">
        <f t="shared" si="43"/>
        <v>0.90322752166746423</v>
      </c>
      <c r="X46" s="1">
        <f t="shared" si="44"/>
        <v>3.4219269102990033E-3</v>
      </c>
      <c r="Y46" s="1">
        <f t="shared" si="45"/>
        <v>0.12154377880184332</v>
      </c>
      <c r="Z46" s="1">
        <f t="shared" si="46"/>
        <v>0.69284914413693821</v>
      </c>
      <c r="AA46" s="8">
        <f t="shared" si="47"/>
        <v>9.8066286349388257E-2</v>
      </c>
      <c r="AB46" s="1"/>
      <c r="AC46" s="15">
        <f t="shared" si="36"/>
        <v>1.7028844440607467</v>
      </c>
      <c r="AD46" s="16">
        <f t="shared" si="24"/>
        <v>2.5033341983497004</v>
      </c>
      <c r="AE46" s="1">
        <f t="shared" si="25"/>
        <v>1.7028844440607467</v>
      </c>
      <c r="AF46">
        <f t="shared" si="26"/>
        <v>1</v>
      </c>
      <c r="AG46">
        <f t="shared" si="27"/>
        <v>0</v>
      </c>
      <c r="AS46" s="34">
        <f t="shared" si="48"/>
        <v>0.82669465669974074</v>
      </c>
      <c r="AT46" s="16">
        <f t="shared" si="49"/>
        <v>1.8631572492022612</v>
      </c>
      <c r="AU46" s="1">
        <f t="shared" si="28"/>
        <v>0.82669465669974074</v>
      </c>
      <c r="AV46">
        <f t="shared" si="29"/>
        <v>1</v>
      </c>
      <c r="AW46" s="4">
        <f t="shared" si="30"/>
        <v>0</v>
      </c>
      <c r="BH46" s="34">
        <f t="shared" si="31"/>
        <v>0.82610203377975677</v>
      </c>
      <c r="BI46" s="16">
        <f t="shared" si="32"/>
        <v>1.8631572492022612</v>
      </c>
      <c r="BJ46" s="1">
        <f t="shared" si="33"/>
        <v>0.82610203377975677</v>
      </c>
      <c r="BK46">
        <f t="shared" si="34"/>
        <v>1</v>
      </c>
      <c r="BL46" s="4">
        <f t="shared" si="35"/>
        <v>0</v>
      </c>
    </row>
    <row r="47" spans="1:64" x14ac:dyDescent="0.3">
      <c r="A47" s="3"/>
      <c r="B47">
        <v>209051</v>
      </c>
      <c r="C47">
        <v>45</v>
      </c>
      <c r="D47">
        <v>0.41499999999999998</v>
      </c>
      <c r="E47">
        <v>0.59899999999999998</v>
      </c>
      <c r="F47">
        <v>2</v>
      </c>
      <c r="G47">
        <v>-5.891</v>
      </c>
      <c r="H47">
        <v>3.1800000000000002E-2</v>
      </c>
      <c r="I47">
        <v>0.219</v>
      </c>
      <c r="J47">
        <v>1.11E-6</v>
      </c>
      <c r="K47">
        <v>0.32800000000000001</v>
      </c>
      <c r="L47">
        <v>0.55300000000000005</v>
      </c>
      <c r="M47" s="4">
        <v>172.709</v>
      </c>
      <c r="O47" s="3"/>
      <c r="P47" s="1">
        <f t="shared" si="23"/>
        <v>0.3155203553064852</v>
      </c>
      <c r="Q47" s="1">
        <f t="shared" si="37"/>
        <v>0.16129032258064516</v>
      </c>
      <c r="R47" s="1">
        <f t="shared" si="38"/>
        <v>0.36530612244897959</v>
      </c>
      <c r="S47" s="1">
        <f t="shared" si="39"/>
        <v>0.68425207209577688</v>
      </c>
      <c r="T47" s="1">
        <f t="shared" si="40"/>
        <v>0.18181818181818182</v>
      </c>
      <c r="U47" s="1">
        <f t="shared" si="41"/>
        <v>0.81655909640984259</v>
      </c>
      <c r="V47" s="1">
        <f t="shared" si="42"/>
        <v>8.0103359173126623E-2</v>
      </c>
      <c r="W47" s="1">
        <f t="shared" si="43"/>
        <v>0.23113734247886425</v>
      </c>
      <c r="X47" s="1">
        <f t="shared" si="44"/>
        <v>1.8438538205980066E-5</v>
      </c>
      <c r="Y47" s="1">
        <f t="shared" si="45"/>
        <v>0.40812211981566815</v>
      </c>
      <c r="Z47" s="1">
        <f t="shared" si="46"/>
        <v>0.72484402495600719</v>
      </c>
      <c r="AA47" s="8">
        <f t="shared" si="47"/>
        <v>0.90011895768753214</v>
      </c>
      <c r="AB47" s="1"/>
      <c r="AC47" s="15">
        <f t="shared" si="36"/>
        <v>1.7288902266977622</v>
      </c>
      <c r="AD47" s="16">
        <f t="shared" si="24"/>
        <v>2.2914800084993994</v>
      </c>
      <c r="AE47" s="1">
        <f t="shared" si="25"/>
        <v>1.7288902266977622</v>
      </c>
      <c r="AF47">
        <f t="shared" si="26"/>
        <v>1</v>
      </c>
      <c r="AG47">
        <f t="shared" si="27"/>
        <v>0</v>
      </c>
      <c r="AS47" s="34">
        <f t="shared" si="48"/>
        <v>0.92934144369275296</v>
      </c>
      <c r="AT47" s="16">
        <f t="shared" si="49"/>
        <v>1.4948567625684801</v>
      </c>
      <c r="AU47" s="1">
        <f t="shared" si="28"/>
        <v>0.92934144369275296</v>
      </c>
      <c r="AV47">
        <f t="shared" si="29"/>
        <v>1</v>
      </c>
      <c r="AW47" s="4">
        <f t="shared" si="30"/>
        <v>0</v>
      </c>
      <c r="BH47" s="34">
        <f t="shared" si="31"/>
        <v>0.92979360253344412</v>
      </c>
      <c r="BI47" s="16">
        <f t="shared" si="32"/>
        <v>1.4948567625684801</v>
      </c>
      <c r="BJ47" s="1">
        <f t="shared" si="33"/>
        <v>0.92979360253344412</v>
      </c>
      <c r="BK47">
        <f t="shared" si="34"/>
        <v>1</v>
      </c>
      <c r="BL47" s="4">
        <f t="shared" si="35"/>
        <v>0</v>
      </c>
    </row>
    <row r="48" spans="1:64" x14ac:dyDescent="0.3">
      <c r="A48" s="3"/>
      <c r="B48">
        <v>211600</v>
      </c>
      <c r="C48">
        <v>42</v>
      </c>
      <c r="D48">
        <v>0.56699999999999995</v>
      </c>
      <c r="E48">
        <v>0.66500000000000004</v>
      </c>
      <c r="F48">
        <v>11</v>
      </c>
      <c r="G48">
        <v>-4.4649999999999999</v>
      </c>
      <c r="H48">
        <v>2.5600000000000001E-2</v>
      </c>
      <c r="I48">
        <v>7.1400000000000005E-2</v>
      </c>
      <c r="J48">
        <v>0</v>
      </c>
      <c r="K48">
        <v>0.17699999999999999</v>
      </c>
      <c r="L48">
        <v>0.59799999999999998</v>
      </c>
      <c r="M48" s="4">
        <v>97.814999999999998</v>
      </c>
      <c r="O48" s="3"/>
      <c r="P48" s="1">
        <f t="shared" si="23"/>
        <v>0.32766730046176501</v>
      </c>
      <c r="Q48" s="1">
        <f t="shared" si="37"/>
        <v>6.4516129032258063E-2</v>
      </c>
      <c r="R48" s="1">
        <f t="shared" si="38"/>
        <v>0.67551020408163254</v>
      </c>
      <c r="S48" s="1">
        <f t="shared" si="39"/>
        <v>0.77108275226943834</v>
      </c>
      <c r="T48" s="1">
        <f t="shared" si="40"/>
        <v>1</v>
      </c>
      <c r="U48" s="1">
        <f t="shared" si="41"/>
        <v>0.96036708350141176</v>
      </c>
      <c r="V48" s="1">
        <f t="shared" si="42"/>
        <v>0</v>
      </c>
      <c r="W48" s="1">
        <f t="shared" si="43"/>
        <v>7.4174509491146928E-2</v>
      </c>
      <c r="X48" s="1">
        <f t="shared" si="44"/>
        <v>0</v>
      </c>
      <c r="Y48" s="1">
        <f t="shared" si="45"/>
        <v>0.19066820276497695</v>
      </c>
      <c r="Z48" s="1">
        <f t="shared" si="46"/>
        <v>0.79683250679891215</v>
      </c>
      <c r="AA48" s="8">
        <f t="shared" si="47"/>
        <v>0.24981114381723932</v>
      </c>
      <c r="AB48" s="1"/>
      <c r="AC48" s="15">
        <f t="shared" si="36"/>
        <v>1.9554845039801849</v>
      </c>
      <c r="AD48" s="16">
        <f t="shared" si="24"/>
        <v>2.3669938700531246</v>
      </c>
      <c r="AE48" s="1">
        <f t="shared" si="25"/>
        <v>1.9554845039801849</v>
      </c>
      <c r="AF48">
        <f t="shared" si="26"/>
        <v>1</v>
      </c>
      <c r="AG48">
        <f t="shared" si="27"/>
        <v>0</v>
      </c>
      <c r="AS48" s="34">
        <f t="shared" si="48"/>
        <v>0.98559839361601997</v>
      </c>
      <c r="AT48" s="16">
        <f t="shared" si="49"/>
        <v>1.6367675220419731</v>
      </c>
      <c r="AU48" s="1">
        <f t="shared" si="28"/>
        <v>0.98559839361601997</v>
      </c>
      <c r="AV48">
        <f t="shared" si="29"/>
        <v>1</v>
      </c>
      <c r="AW48" s="4">
        <f t="shared" si="30"/>
        <v>0</v>
      </c>
      <c r="BH48" s="34">
        <f t="shared" si="31"/>
        <v>0.97862261712553322</v>
      </c>
      <c r="BI48" s="16">
        <f t="shared" si="32"/>
        <v>1.6367675220419731</v>
      </c>
      <c r="BJ48" s="1">
        <f t="shared" si="33"/>
        <v>0.97862261712553322</v>
      </c>
      <c r="BK48">
        <f t="shared" si="34"/>
        <v>1</v>
      </c>
      <c r="BL48" s="4">
        <f t="shared" si="35"/>
        <v>0</v>
      </c>
    </row>
    <row r="49" spans="1:77" x14ac:dyDescent="0.3">
      <c r="A49" s="3"/>
      <c r="B49">
        <v>309746</v>
      </c>
      <c r="C49">
        <v>45</v>
      </c>
      <c r="D49">
        <v>0.32</v>
      </c>
      <c r="E49">
        <v>0.438</v>
      </c>
      <c r="F49">
        <v>0</v>
      </c>
      <c r="G49">
        <v>-7.5529999999999999</v>
      </c>
      <c r="H49">
        <v>8.8999999999999996E-2</v>
      </c>
      <c r="I49">
        <v>0.70299999999999996</v>
      </c>
      <c r="J49">
        <v>1.26E-5</v>
      </c>
      <c r="K49">
        <v>0.10100000000000001</v>
      </c>
      <c r="L49">
        <v>0.46500000000000002</v>
      </c>
      <c r="M49" s="4">
        <v>184.21199999999999</v>
      </c>
      <c r="O49" s="3"/>
      <c r="P49" s="1">
        <f t="shared" si="23"/>
        <v>0.7953699600184897</v>
      </c>
      <c r="Q49" s="1">
        <f t="shared" si="37"/>
        <v>0.16129032258064516</v>
      </c>
      <c r="R49" s="1">
        <f t="shared" si="38"/>
        <v>0.17142857142857146</v>
      </c>
      <c r="S49" s="1">
        <f t="shared" si="39"/>
        <v>0.47243783712669385</v>
      </c>
      <c r="T49" s="1">
        <f t="shared" si="40"/>
        <v>0</v>
      </c>
      <c r="U49" s="1">
        <f t="shared" si="41"/>
        <v>0.64895118999596602</v>
      </c>
      <c r="V49" s="1">
        <f t="shared" si="42"/>
        <v>0.81912144702842382</v>
      </c>
      <c r="W49" s="1">
        <f t="shared" si="43"/>
        <v>0.7458393151486149</v>
      </c>
      <c r="X49" s="1">
        <f t="shared" si="44"/>
        <v>2.0930232558139536E-4</v>
      </c>
      <c r="Y49" s="1">
        <f t="shared" si="45"/>
        <v>8.1221198156682037E-2</v>
      </c>
      <c r="Z49" s="1">
        <f t="shared" si="46"/>
        <v>0.58406654935210378</v>
      </c>
      <c r="AA49" s="8">
        <f t="shared" si="47"/>
        <v>1</v>
      </c>
      <c r="AB49" s="1"/>
      <c r="AC49" s="15">
        <f t="shared" si="36"/>
        <v>1.9766936392417995</v>
      </c>
      <c r="AD49" s="16">
        <f t="shared" si="24"/>
        <v>2.2242855835291127</v>
      </c>
      <c r="AE49" s="1">
        <f t="shared" si="25"/>
        <v>1.9766936392417995</v>
      </c>
      <c r="AF49">
        <f t="shared" si="26"/>
        <v>1</v>
      </c>
      <c r="AG49">
        <f t="shared" si="27"/>
        <v>0</v>
      </c>
      <c r="AS49" s="34">
        <f t="shared" si="48"/>
        <v>1.209885569100849</v>
      </c>
      <c r="AT49" s="16">
        <f t="shared" si="49"/>
        <v>1.4223805346557925</v>
      </c>
      <c r="AU49" s="1">
        <f t="shared" si="28"/>
        <v>1.209885569100849</v>
      </c>
      <c r="AV49">
        <f t="shared" si="29"/>
        <v>1</v>
      </c>
      <c r="AW49" s="4">
        <f t="shared" si="30"/>
        <v>0</v>
      </c>
      <c r="BH49" s="34">
        <f t="shared" si="31"/>
        <v>1.2076015648978715</v>
      </c>
      <c r="BI49" s="16">
        <f t="shared" si="32"/>
        <v>1.4223805346557925</v>
      </c>
      <c r="BJ49" s="1">
        <f t="shared" si="33"/>
        <v>1.2076015648978715</v>
      </c>
      <c r="BK49">
        <f t="shared" si="34"/>
        <v>1</v>
      </c>
      <c r="BL49" s="4">
        <f t="shared" si="35"/>
        <v>0</v>
      </c>
    </row>
    <row r="50" spans="1:77" x14ac:dyDescent="0.3">
      <c r="A50" s="3"/>
      <c r="B50">
        <v>200040</v>
      </c>
      <c r="C50">
        <v>43</v>
      </c>
      <c r="D50">
        <v>0.47899999999999998</v>
      </c>
      <c r="E50">
        <v>0.502</v>
      </c>
      <c r="F50">
        <v>6</v>
      </c>
      <c r="G50">
        <v>-5.1639999999999997</v>
      </c>
      <c r="H50">
        <v>5.1900000000000002E-2</v>
      </c>
      <c r="I50">
        <v>0.223</v>
      </c>
      <c r="J50">
        <v>0</v>
      </c>
      <c r="K50">
        <v>7.9899999999999999E-2</v>
      </c>
      <c r="L50">
        <v>0.57799999999999996</v>
      </c>
      <c r="M50" s="4">
        <v>176.49</v>
      </c>
      <c r="O50" s="3"/>
      <c r="P50" s="1">
        <f t="shared" si="23"/>
        <v>0.27257954605021756</v>
      </c>
      <c r="Q50" s="1">
        <f t="shared" si="37"/>
        <v>9.6774193548387094E-2</v>
      </c>
      <c r="R50" s="1">
        <f t="shared" si="38"/>
        <v>0.49591836734693878</v>
      </c>
      <c r="S50" s="1">
        <f t="shared" si="39"/>
        <v>0.55663728456782002</v>
      </c>
      <c r="T50" s="1">
        <f t="shared" si="40"/>
        <v>0.54545454545454541</v>
      </c>
      <c r="U50" s="1">
        <f t="shared" si="41"/>
        <v>0.88987494957644209</v>
      </c>
      <c r="V50" s="1">
        <f t="shared" si="42"/>
        <v>0.33979328165374678</v>
      </c>
      <c r="W50" s="1">
        <f t="shared" si="43"/>
        <v>0.23539107779018453</v>
      </c>
      <c r="X50" s="1">
        <f t="shared" si="44"/>
        <v>0</v>
      </c>
      <c r="Y50" s="1">
        <f t="shared" si="45"/>
        <v>5.0835253456221197E-2</v>
      </c>
      <c r="Z50" s="1">
        <f t="shared" si="46"/>
        <v>0.76483762597984317</v>
      </c>
      <c r="AA50" s="8">
        <f t="shared" si="47"/>
        <v>0.93294954283779219</v>
      </c>
      <c r="AB50" s="1"/>
      <c r="AC50" s="15">
        <f t="shared" si="36"/>
        <v>1.8323938262545001</v>
      </c>
      <c r="AD50" s="16">
        <f t="shared" si="24"/>
        <v>2.2350784769155934</v>
      </c>
      <c r="AE50" s="1">
        <f t="shared" si="25"/>
        <v>1.8323938262545001</v>
      </c>
      <c r="AF50">
        <f t="shared" si="26"/>
        <v>1</v>
      </c>
      <c r="AG50">
        <f t="shared" si="27"/>
        <v>0</v>
      </c>
      <c r="AS50" s="34">
        <f t="shared" si="48"/>
        <v>0.83620969463515149</v>
      </c>
      <c r="AT50" s="16">
        <f t="shared" si="49"/>
        <v>1.3575749706580997</v>
      </c>
      <c r="AU50" s="1">
        <f t="shared" si="28"/>
        <v>0.83620969463515149</v>
      </c>
      <c r="AV50">
        <f t="shared" si="29"/>
        <v>1</v>
      </c>
      <c r="AW50" s="4">
        <f t="shared" si="30"/>
        <v>0</v>
      </c>
      <c r="BH50" s="34">
        <f t="shared" si="31"/>
        <v>0.8303171599258018</v>
      </c>
      <c r="BI50" s="16">
        <f t="shared" si="32"/>
        <v>1.3575749706580997</v>
      </c>
      <c r="BJ50" s="1">
        <f t="shared" si="33"/>
        <v>0.8303171599258018</v>
      </c>
      <c r="BK50">
        <f t="shared" si="34"/>
        <v>1</v>
      </c>
      <c r="BL50" s="4">
        <f t="shared" si="35"/>
        <v>0</v>
      </c>
    </row>
    <row r="51" spans="1:77" x14ac:dyDescent="0.3">
      <c r="A51" s="3"/>
      <c r="B51">
        <v>345026</v>
      </c>
      <c r="C51">
        <v>44</v>
      </c>
      <c r="D51">
        <v>0.38800000000000001</v>
      </c>
      <c r="E51">
        <v>0.57499999999999996</v>
      </c>
      <c r="F51">
        <v>5</v>
      </c>
      <c r="G51">
        <v>-7.2720000000000002</v>
      </c>
      <c r="H51">
        <v>2.93E-2</v>
      </c>
      <c r="I51">
        <v>0.26600000000000001</v>
      </c>
      <c r="J51">
        <v>2.2499999999999998E-3</v>
      </c>
      <c r="K51">
        <v>9.5600000000000004E-2</v>
      </c>
      <c r="L51">
        <v>0.218</v>
      </c>
      <c r="M51" s="4">
        <v>86.582999999999998</v>
      </c>
      <c r="O51" s="3"/>
      <c r="P51" s="1">
        <f t="shared" si="23"/>
        <v>0.96349244926065181</v>
      </c>
      <c r="Q51" s="1">
        <f t="shared" si="37"/>
        <v>0.12903225806451613</v>
      </c>
      <c r="R51" s="1">
        <f t="shared" si="38"/>
        <v>0.31020408163265312</v>
      </c>
      <c r="S51" s="1">
        <f t="shared" si="39"/>
        <v>0.65267727930535457</v>
      </c>
      <c r="T51" s="1">
        <f t="shared" si="40"/>
        <v>0.45454545454545453</v>
      </c>
      <c r="U51" s="1">
        <f t="shared" si="41"/>
        <v>0.67728922952803539</v>
      </c>
      <c r="V51" s="1">
        <f t="shared" si="42"/>
        <v>4.7803617571059415E-2</v>
      </c>
      <c r="W51" s="1">
        <f t="shared" si="43"/>
        <v>0.28111873238687729</v>
      </c>
      <c r="X51" s="1">
        <f t="shared" si="44"/>
        <v>3.7375415282392029E-2</v>
      </c>
      <c r="Y51" s="1">
        <f t="shared" si="45"/>
        <v>7.3444700460829501E-2</v>
      </c>
      <c r="Z51" s="1">
        <f t="shared" si="46"/>
        <v>0.18892977123660215</v>
      </c>
      <c r="AA51" s="8">
        <f t="shared" si="47"/>
        <v>0.15228320612675506</v>
      </c>
      <c r="AB51" s="1"/>
      <c r="AC51" s="15">
        <f t="shared" si="36"/>
        <v>1.5098020081593098</v>
      </c>
      <c r="AD51" s="16">
        <f t="shared" si="24"/>
        <v>2.5185530991105831</v>
      </c>
      <c r="AE51" s="1">
        <f t="shared" si="25"/>
        <v>1.5098020081593098</v>
      </c>
      <c r="AF51">
        <f t="shared" si="26"/>
        <v>1</v>
      </c>
      <c r="AG51">
        <f t="shared" si="27"/>
        <v>0</v>
      </c>
      <c r="AS51" s="34">
        <f t="shared" si="48"/>
        <v>0.83131693713896304</v>
      </c>
      <c r="AT51" s="16">
        <f t="shared" si="49"/>
        <v>1.6706039166947204</v>
      </c>
      <c r="AU51" s="1">
        <f t="shared" si="28"/>
        <v>0.83131693713896304</v>
      </c>
      <c r="AV51">
        <f t="shared" si="29"/>
        <v>1</v>
      </c>
      <c r="AW51" s="4">
        <f t="shared" si="30"/>
        <v>0</v>
      </c>
      <c r="BH51" s="34">
        <f t="shared" si="31"/>
        <v>0.83825288975586787</v>
      </c>
      <c r="BI51" s="16">
        <f t="shared" si="32"/>
        <v>1.6706039166947204</v>
      </c>
      <c r="BJ51" s="1">
        <f t="shared" si="33"/>
        <v>0.83825288975586787</v>
      </c>
      <c r="BK51">
        <f t="shared" si="34"/>
        <v>1</v>
      </c>
      <c r="BL51" s="4">
        <f t="shared" si="35"/>
        <v>0</v>
      </c>
    </row>
    <row r="52" spans="1:77" x14ac:dyDescent="0.3">
      <c r="A52" s="3"/>
      <c r="B52">
        <v>159173</v>
      </c>
      <c r="C52">
        <v>40</v>
      </c>
      <c r="D52">
        <v>0.57199999999999995</v>
      </c>
      <c r="E52">
        <v>0.191</v>
      </c>
      <c r="F52">
        <v>11</v>
      </c>
      <c r="G52">
        <v>-10.545</v>
      </c>
      <c r="H52">
        <v>3.7999999999999999E-2</v>
      </c>
      <c r="I52">
        <v>0.94</v>
      </c>
      <c r="J52">
        <v>6.2500000000000001E-5</v>
      </c>
      <c r="K52">
        <v>0.221</v>
      </c>
      <c r="L52">
        <v>0.48399999999999999</v>
      </c>
      <c r="M52" s="4">
        <v>139.797</v>
      </c>
      <c r="O52" s="3"/>
      <c r="P52" s="1">
        <f t="shared" si="23"/>
        <v>7.7832897301367193E-2</v>
      </c>
      <c r="Q52" s="1">
        <f t="shared" si="37"/>
        <v>0</v>
      </c>
      <c r="R52" s="1">
        <f t="shared" si="38"/>
        <v>0.68571428571428561</v>
      </c>
      <c r="S52" s="1">
        <f t="shared" si="39"/>
        <v>0.14748059465859756</v>
      </c>
      <c r="T52" s="1">
        <f t="shared" si="40"/>
        <v>1</v>
      </c>
      <c r="U52" s="1">
        <f t="shared" si="41"/>
        <v>0.34721661960467926</v>
      </c>
      <c r="V52" s="1">
        <f t="shared" si="42"/>
        <v>0.16020671834625322</v>
      </c>
      <c r="W52" s="1">
        <f t="shared" si="43"/>
        <v>0.99787313234433983</v>
      </c>
      <c r="X52" s="1">
        <f t="shared" si="44"/>
        <v>1.0382059800664453E-3</v>
      </c>
      <c r="Y52" s="1">
        <f t="shared" si="45"/>
        <v>0.25403225806451613</v>
      </c>
      <c r="Z52" s="1">
        <f t="shared" si="46"/>
        <v>0.61446168613021912</v>
      </c>
      <c r="AA52" s="8">
        <f t="shared" si="47"/>
        <v>0.61434265023834955</v>
      </c>
      <c r="AB52" s="1"/>
      <c r="AC52" s="15">
        <f t="shared" si="36"/>
        <v>1.8599737769002005</v>
      </c>
      <c r="AD52" s="16">
        <f t="shared" si="24"/>
        <v>2.3788872091780746</v>
      </c>
      <c r="AE52" s="1">
        <f t="shared" si="25"/>
        <v>1.8599737769002005</v>
      </c>
      <c r="AF52">
        <f t="shared" si="26"/>
        <v>1</v>
      </c>
      <c r="AG52">
        <f t="shared" si="27"/>
        <v>0</v>
      </c>
      <c r="AS52" s="34">
        <f t="shared" si="48"/>
        <v>0.90905919263524215</v>
      </c>
      <c r="AT52" s="16">
        <f t="shared" si="49"/>
        <v>1.7981516947376999</v>
      </c>
      <c r="AU52" s="1">
        <f t="shared" si="28"/>
        <v>0.90905919263524215</v>
      </c>
      <c r="AV52">
        <f t="shared" si="29"/>
        <v>1</v>
      </c>
      <c r="AW52" s="4">
        <f t="shared" si="30"/>
        <v>0</v>
      </c>
      <c r="BH52" s="34">
        <f t="shared" si="31"/>
        <v>0.90392183362341405</v>
      </c>
      <c r="BI52" s="16">
        <f t="shared" si="32"/>
        <v>1.7981516947376999</v>
      </c>
      <c r="BJ52" s="1">
        <f t="shared" si="33"/>
        <v>0.90392183362341405</v>
      </c>
      <c r="BK52">
        <f t="shared" si="34"/>
        <v>1</v>
      </c>
      <c r="BL52" s="4">
        <f t="shared" si="35"/>
        <v>0</v>
      </c>
    </row>
    <row r="53" spans="1:77" x14ac:dyDescent="0.3">
      <c r="A53" s="3"/>
      <c r="B53">
        <v>346397</v>
      </c>
      <c r="C53">
        <v>45</v>
      </c>
      <c r="D53">
        <v>0.28799999999999998</v>
      </c>
      <c r="E53">
        <v>0.18</v>
      </c>
      <c r="F53">
        <v>7</v>
      </c>
      <c r="G53">
        <v>-10.987</v>
      </c>
      <c r="H53">
        <v>4.0300000000000002E-2</v>
      </c>
      <c r="I53">
        <v>0.90500000000000003</v>
      </c>
      <c r="J53">
        <v>0</v>
      </c>
      <c r="K53">
        <v>0.159</v>
      </c>
      <c r="L53">
        <v>0.20200000000000001</v>
      </c>
      <c r="M53" s="4">
        <v>88.054000000000002</v>
      </c>
      <c r="O53" s="3"/>
      <c r="P53" s="1">
        <f t="shared" si="23"/>
        <v>0.97002578068783452</v>
      </c>
      <c r="Q53" s="1">
        <f t="shared" si="37"/>
        <v>0.16129032258064516</v>
      </c>
      <c r="R53" s="1">
        <f t="shared" si="38"/>
        <v>0.10612244897959182</v>
      </c>
      <c r="S53" s="1">
        <f t="shared" si="39"/>
        <v>0.133008814629654</v>
      </c>
      <c r="T53" s="1">
        <f t="shared" si="40"/>
        <v>0.63636363636363635</v>
      </c>
      <c r="U53" s="1">
        <f t="shared" si="41"/>
        <v>0.30264219443323914</v>
      </c>
      <c r="V53" s="1">
        <f t="shared" si="42"/>
        <v>0.18992248062015507</v>
      </c>
      <c r="W53" s="1">
        <f t="shared" si="43"/>
        <v>0.9606529483702877</v>
      </c>
      <c r="X53" s="1">
        <f t="shared" si="44"/>
        <v>0</v>
      </c>
      <c r="Y53" s="1">
        <f t="shared" si="45"/>
        <v>0.16474654377880185</v>
      </c>
      <c r="Z53" s="1">
        <f t="shared" si="46"/>
        <v>0.16333386658134699</v>
      </c>
      <c r="AA53" s="8">
        <f t="shared" si="47"/>
        <v>0.16505596221139737</v>
      </c>
      <c r="AB53" s="1"/>
      <c r="AC53" s="15">
        <f t="shared" si="36"/>
        <v>1.5913693348872802</v>
      </c>
      <c r="AD53" s="16">
        <f t="shared" si="24"/>
        <v>2.574126329756643</v>
      </c>
      <c r="AE53" s="1">
        <f t="shared" si="25"/>
        <v>1.5913693348872802</v>
      </c>
      <c r="AF53">
        <f t="shared" si="26"/>
        <v>1</v>
      </c>
      <c r="AG53">
        <f t="shared" si="27"/>
        <v>0</v>
      </c>
      <c r="AS53" s="34">
        <f t="shared" si="48"/>
        <v>1.0015158476774189</v>
      </c>
      <c r="AT53" s="16">
        <f t="shared" si="49"/>
        <v>1.8703459006611247</v>
      </c>
      <c r="AU53" s="1">
        <f t="shared" si="28"/>
        <v>1.0015158476774189</v>
      </c>
      <c r="AV53">
        <f t="shared" si="29"/>
        <v>1</v>
      </c>
      <c r="AW53" s="4">
        <f t="shared" si="30"/>
        <v>0</v>
      </c>
      <c r="BH53" s="34">
        <f t="shared" si="31"/>
        <v>1.0078660070162697</v>
      </c>
      <c r="BI53" s="16">
        <f t="shared" si="32"/>
        <v>1.8703459006611247</v>
      </c>
      <c r="BJ53" s="1">
        <f t="shared" si="33"/>
        <v>1.0078660070162697</v>
      </c>
      <c r="BK53">
        <f t="shared" si="34"/>
        <v>1</v>
      </c>
      <c r="BL53" s="4">
        <f t="shared" si="35"/>
        <v>0</v>
      </c>
    </row>
    <row r="54" spans="1:77" x14ac:dyDescent="0.3">
      <c r="A54" s="3"/>
      <c r="B54">
        <v>247133</v>
      </c>
      <c r="C54">
        <v>42</v>
      </c>
      <c r="D54">
        <v>0.40600000000000003</v>
      </c>
      <c r="E54">
        <v>0.34100000000000003</v>
      </c>
      <c r="F54">
        <v>7</v>
      </c>
      <c r="G54">
        <v>-7.7469999999999999</v>
      </c>
      <c r="H54">
        <v>3.49E-2</v>
      </c>
      <c r="I54">
        <v>0.68100000000000005</v>
      </c>
      <c r="J54">
        <v>5.6800000000000004E-4</v>
      </c>
      <c r="K54">
        <v>7.8899999999999998E-2</v>
      </c>
      <c r="L54">
        <v>0.28599999999999998</v>
      </c>
      <c r="M54" s="4">
        <v>148.654</v>
      </c>
      <c r="O54" s="3"/>
      <c r="P54" s="1">
        <f t="shared" si="23"/>
        <v>0.49699543000376467</v>
      </c>
      <c r="Q54" s="1">
        <f t="shared" si="37"/>
        <v>6.4516129032258063E-2</v>
      </c>
      <c r="R54" s="1">
        <f t="shared" si="38"/>
        <v>0.34693877551020419</v>
      </c>
      <c r="S54" s="1">
        <f t="shared" si="39"/>
        <v>0.344823049598737</v>
      </c>
      <c r="T54" s="1">
        <f t="shared" si="40"/>
        <v>0.63636363636363635</v>
      </c>
      <c r="U54" s="1">
        <f t="shared" si="41"/>
        <v>0.62938684953610324</v>
      </c>
      <c r="V54" s="1">
        <f t="shared" si="42"/>
        <v>0.12015503875968991</v>
      </c>
      <c r="W54" s="1">
        <f t="shared" si="43"/>
        <v>0.72244377093635359</v>
      </c>
      <c r="X54" s="1">
        <f t="shared" si="44"/>
        <v>9.4352159468438553E-3</v>
      </c>
      <c r="Y54" s="1">
        <f t="shared" si="45"/>
        <v>4.9395161290322578E-2</v>
      </c>
      <c r="Z54" s="1">
        <f t="shared" si="46"/>
        <v>0.29771236602143658</v>
      </c>
      <c r="AA54" s="8">
        <f t="shared" si="47"/>
        <v>0.69124836107565535</v>
      </c>
      <c r="AB54" s="1"/>
      <c r="AC54" s="15">
        <f t="shared" si="36"/>
        <v>1.5481830680597051</v>
      </c>
      <c r="AD54" s="16">
        <f t="shared" si="24"/>
        <v>2.3617881454687568</v>
      </c>
      <c r="AE54" s="1">
        <f t="shared" si="25"/>
        <v>1.5481830680597051</v>
      </c>
      <c r="AF54">
        <f t="shared" si="26"/>
        <v>1</v>
      </c>
      <c r="AG54">
        <f t="shared" si="27"/>
        <v>0</v>
      </c>
      <c r="AS54" s="34">
        <f t="shared" si="48"/>
        <v>0.4882361595348868</v>
      </c>
      <c r="AT54" s="16">
        <f t="shared" si="49"/>
        <v>1.5308391889536428</v>
      </c>
      <c r="AU54" s="1">
        <f t="shared" si="28"/>
        <v>0.4882361595348868</v>
      </c>
      <c r="AV54">
        <f t="shared" si="29"/>
        <v>1</v>
      </c>
      <c r="AW54" s="4">
        <f t="shared" si="30"/>
        <v>0</v>
      </c>
      <c r="BH54" s="34">
        <f t="shared" si="31"/>
        <v>0.48841884123127322</v>
      </c>
      <c r="BI54" s="16">
        <f t="shared" si="32"/>
        <v>1.5308391889536428</v>
      </c>
      <c r="BJ54" s="1">
        <f t="shared" si="33"/>
        <v>0.48841884123127322</v>
      </c>
      <c r="BK54">
        <f t="shared" si="34"/>
        <v>1</v>
      </c>
      <c r="BL54" s="4">
        <f t="shared" si="35"/>
        <v>0</v>
      </c>
    </row>
    <row r="55" spans="1:77" x14ac:dyDescent="0.3">
      <c r="A55" s="3"/>
      <c r="B55">
        <v>206636</v>
      </c>
      <c r="C55">
        <v>42</v>
      </c>
      <c r="D55">
        <v>0.68400000000000005</v>
      </c>
      <c r="E55">
        <v>0.53600000000000003</v>
      </c>
      <c r="F55">
        <v>5</v>
      </c>
      <c r="G55">
        <v>-7.6349999999999998</v>
      </c>
      <c r="H55">
        <v>4.02E-2</v>
      </c>
      <c r="I55">
        <v>1.65E-3</v>
      </c>
      <c r="J55">
        <v>6.0199999999999997E-2</v>
      </c>
      <c r="K55">
        <v>0.106</v>
      </c>
      <c r="L55">
        <v>0.40899999999999997</v>
      </c>
      <c r="M55" s="4">
        <v>107.98099999999999</v>
      </c>
      <c r="O55" s="3"/>
      <c r="P55" s="1">
        <f t="shared" si="23"/>
        <v>0.30401197062621815</v>
      </c>
      <c r="Q55" s="1">
        <f t="shared" si="37"/>
        <v>6.4516129032258063E-2</v>
      </c>
      <c r="R55" s="1">
        <f t="shared" si="38"/>
        <v>0.91428571428571448</v>
      </c>
      <c r="S55" s="1">
        <f t="shared" si="39"/>
        <v>0.60136824102091835</v>
      </c>
      <c r="T55" s="1">
        <f t="shared" si="40"/>
        <v>0.45454545454545453</v>
      </c>
      <c r="U55" s="1">
        <f t="shared" si="41"/>
        <v>0.64068172650262201</v>
      </c>
      <c r="V55" s="1">
        <f t="shared" si="42"/>
        <v>0.18863049095607234</v>
      </c>
      <c r="W55" s="1">
        <f t="shared" si="43"/>
        <v>0</v>
      </c>
      <c r="X55" s="1">
        <f t="shared" si="44"/>
        <v>1</v>
      </c>
      <c r="Y55" s="1">
        <f t="shared" si="45"/>
        <v>8.8421658986175114E-2</v>
      </c>
      <c r="Z55" s="1">
        <f t="shared" si="46"/>
        <v>0.49448088305871057</v>
      </c>
      <c r="AA55" s="8">
        <f t="shared" si="47"/>
        <v>0.33808295779172853</v>
      </c>
      <c r="AB55" s="1"/>
      <c r="AC55" s="15">
        <f t="shared" si="36"/>
        <v>1.8202866984964519</v>
      </c>
      <c r="AD55" s="16">
        <f t="shared" si="24"/>
        <v>2.2661405982664373</v>
      </c>
      <c r="AE55" s="1">
        <f t="shared" si="25"/>
        <v>1.8202866984964519</v>
      </c>
      <c r="AF55">
        <f t="shared" si="26"/>
        <v>1</v>
      </c>
      <c r="AG55">
        <f t="shared" si="27"/>
        <v>0</v>
      </c>
      <c r="AS55" s="34">
        <f t="shared" si="48"/>
        <v>1.2229893422578741</v>
      </c>
      <c r="AT55" s="16">
        <f t="shared" si="49"/>
        <v>1.7443891455867795</v>
      </c>
      <c r="AU55" s="1">
        <f t="shared" si="28"/>
        <v>1.2229893422578741</v>
      </c>
      <c r="AV55">
        <f t="shared" si="29"/>
        <v>1</v>
      </c>
      <c r="AW55" s="4">
        <f t="shared" si="30"/>
        <v>0</v>
      </c>
      <c r="BH55" s="34">
        <f t="shared" si="31"/>
        <v>1.2258452018483916</v>
      </c>
      <c r="BI55" s="16">
        <f t="shared" si="32"/>
        <v>1.7443891455867795</v>
      </c>
      <c r="BJ55" s="1">
        <f t="shared" si="33"/>
        <v>1.2258452018483916</v>
      </c>
      <c r="BK55">
        <f t="shared" si="34"/>
        <v>1</v>
      </c>
      <c r="BL55" s="4">
        <f t="shared" si="35"/>
        <v>0</v>
      </c>
    </row>
    <row r="56" spans="1:77" ht="15" thickBot="1" x14ac:dyDescent="0.35">
      <c r="A56" s="5"/>
      <c r="B56" s="6">
        <v>276146</v>
      </c>
      <c r="C56" s="6">
        <v>40</v>
      </c>
      <c r="D56" s="6">
        <v>0.46300000000000002</v>
      </c>
      <c r="E56" s="6">
        <v>0.248</v>
      </c>
      <c r="F56" s="6">
        <v>10</v>
      </c>
      <c r="G56" s="6">
        <v>-10.246</v>
      </c>
      <c r="H56" s="6">
        <v>4.48E-2</v>
      </c>
      <c r="I56" s="6">
        <v>0.871</v>
      </c>
      <c r="J56" s="6">
        <v>2.83E-5</v>
      </c>
      <c r="K56" s="6">
        <v>0.10299999999999999</v>
      </c>
      <c r="L56" s="6">
        <v>0.18099999999999999</v>
      </c>
      <c r="M56" s="7">
        <v>139.31</v>
      </c>
      <c r="O56" s="5"/>
      <c r="P56" s="9">
        <f t="shared" si="23"/>
        <v>0.63525330359738286</v>
      </c>
      <c r="Q56" s="9">
        <f t="shared" si="37"/>
        <v>0</v>
      </c>
      <c r="R56" s="9">
        <f t="shared" si="38"/>
        <v>0.46326530612244904</v>
      </c>
      <c r="S56" s="9">
        <f t="shared" si="39"/>
        <v>0.22247072753585054</v>
      </c>
      <c r="T56" s="9">
        <f t="shared" si="40"/>
        <v>0.90909090909090906</v>
      </c>
      <c r="U56" s="9">
        <f t="shared" si="41"/>
        <v>0.37736990722065339</v>
      </c>
      <c r="V56" s="9">
        <f t="shared" si="42"/>
        <v>0.24806201550387597</v>
      </c>
      <c r="W56" s="9">
        <f t="shared" si="43"/>
        <v>0.92449619822406559</v>
      </c>
      <c r="X56" s="9">
        <f t="shared" si="44"/>
        <v>4.7009966777408643E-4</v>
      </c>
      <c r="Y56" s="9">
        <f t="shared" si="45"/>
        <v>8.4101382488479245E-2</v>
      </c>
      <c r="Z56" s="9">
        <f t="shared" si="46"/>
        <v>0.12973924172132459</v>
      </c>
      <c r="AA56" s="10">
        <f t="shared" si="47"/>
        <v>0.61011400835308738</v>
      </c>
      <c r="AB56" s="1"/>
      <c r="AC56" s="15">
        <f t="shared" si="36"/>
        <v>1.7172308166620376</v>
      </c>
      <c r="AD56" s="16">
        <f t="shared" si="24"/>
        <v>2.3958329404701959</v>
      </c>
      <c r="AE56" s="1">
        <f t="shared" si="25"/>
        <v>1.7172308166620376</v>
      </c>
      <c r="AF56">
        <f t="shared" si="26"/>
        <v>1</v>
      </c>
      <c r="AG56">
        <f t="shared" si="27"/>
        <v>0</v>
      </c>
      <c r="AS56" s="34">
        <f t="shared" si="48"/>
        <v>0.76878029470569298</v>
      </c>
      <c r="AT56" s="16">
        <f t="shared" si="49"/>
        <v>1.6696116022259699</v>
      </c>
      <c r="AU56" s="9">
        <f t="shared" si="28"/>
        <v>0.76878029470569298</v>
      </c>
      <c r="AV56" s="6">
        <f t="shared" si="29"/>
        <v>1</v>
      </c>
      <c r="AW56" s="7">
        <f t="shared" si="30"/>
        <v>0</v>
      </c>
      <c r="BH56" s="34">
        <f t="shared" si="31"/>
        <v>0.76629910158616532</v>
      </c>
      <c r="BI56" s="16">
        <f t="shared" si="32"/>
        <v>1.6696116022259699</v>
      </c>
      <c r="BJ56" s="1">
        <f t="shared" si="33"/>
        <v>0.76629910158616532</v>
      </c>
      <c r="BK56">
        <f t="shared" si="34"/>
        <v>1</v>
      </c>
      <c r="BL56" s="4">
        <f t="shared" si="35"/>
        <v>0</v>
      </c>
    </row>
    <row r="57" spans="1:77" x14ac:dyDescent="0.3">
      <c r="AE57">
        <f>SUM(AE6:AE56)</f>
        <v>86.929696532993802</v>
      </c>
      <c r="AF57">
        <f>SUM(AF6:AF56)</f>
        <v>49</v>
      </c>
      <c r="AG57">
        <f>SUM(AG6:AG56)</f>
        <v>2</v>
      </c>
      <c r="AU57" s="1">
        <f>SUM(AU6:AU56)</f>
        <v>41.05482362115287</v>
      </c>
      <c r="AV57">
        <f>SUM(AV6:AV56)</f>
        <v>49</v>
      </c>
      <c r="AW57" s="4">
        <f>SUM(AW6:AW56)</f>
        <v>2</v>
      </c>
      <c r="BJ57" s="1">
        <f>SUM(BJ6:BJ56)</f>
        <v>41.014704846137732</v>
      </c>
      <c r="BK57">
        <f>IF(BJ57=BO5, 1, 0)</f>
        <v>0</v>
      </c>
      <c r="BY57" s="35" t="s">
        <v>24</v>
      </c>
    </row>
  </sheetData>
  <mergeCells count="3">
    <mergeCell ref="AC1:AC3"/>
    <mergeCell ref="AS1:AS3"/>
    <mergeCell ref="BH1:BH3"/>
  </mergeCells>
  <conditionalFormatting sqref="AF6:AG56 AG57">
    <cfRule type="cellIs" dxfId="18" priority="18" operator="equal">
      <formula>0</formula>
    </cfRule>
    <cfRule type="cellIs" dxfId="17" priority="19" operator="equal">
      <formula>1</formula>
    </cfRule>
  </conditionalFormatting>
  <conditionalFormatting sqref="AV6:AW57">
    <cfRule type="cellIs" dxfId="16" priority="16" operator="equal">
      <formula>0</formula>
    </cfRule>
    <cfRule type="cellIs" dxfId="15" priority="17" operator="equal">
      <formula>1</formula>
    </cfRule>
  </conditionalFormatting>
  <conditionalFormatting sqref="BK6:BL56 BK57">
    <cfRule type="cellIs" dxfId="14" priority="14" operator="equal">
      <formula>0</formula>
    </cfRule>
    <cfRule type="cellIs" dxfId="13" priority="15" operator="equal">
      <formula>1</formula>
    </cfRule>
  </conditionalFormatting>
  <conditionalFormatting sqref="BJ6:BJ56">
    <cfRule type="cellIs" dxfId="8" priority="9" operator="equal">
      <formula>$BN$6</formula>
    </cfRule>
    <cfRule type="cellIs" dxfId="7" priority="7" operator="equal">
      <formula>$BP$6</formula>
    </cfRule>
  </conditionalFormatting>
  <conditionalFormatting sqref="BP5">
    <cfRule type="cellIs" dxfId="4" priority="5" operator="equal">
      <formula>$BP$6</formula>
    </cfRule>
    <cfRule type="cellIs" dxfId="5" priority="6" operator="equal">
      <formula>$BN$6</formula>
    </cfRule>
  </conditionalFormatting>
  <conditionalFormatting sqref="BP6">
    <cfRule type="cellIs" dxfId="2" priority="3" operator="equal">
      <formula>$BP$6</formula>
    </cfRule>
    <cfRule type="cellIs" dxfId="3" priority="4" operator="equal">
      <formula>$BN$6</formula>
    </cfRule>
  </conditionalFormatting>
  <conditionalFormatting sqref="BN6">
    <cfRule type="cellIs" dxfId="0" priority="1" operator="equal">
      <formula>$BP$6</formula>
    </cfRule>
    <cfRule type="cellIs" dxfId="1" priority="2" operator="equal">
      <formula>$BN$6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61448-C520-4ED3-8926-15AC97C0E71B}">
  <dimension ref="C6:O60"/>
  <sheetViews>
    <sheetView tabSelected="1" zoomScale="74" workbookViewId="0">
      <selection activeCell="Q9" sqref="Q9"/>
    </sheetView>
  </sheetViews>
  <sheetFormatPr baseColWidth="10" defaultRowHeight="14.4" x14ac:dyDescent="0.3"/>
  <cols>
    <col min="4" max="11" width="12.5546875" bestFit="1" customWidth="1"/>
    <col min="12" max="12" width="15.44140625" bestFit="1" customWidth="1"/>
    <col min="13" max="15" width="12.5546875" bestFit="1" customWidth="1"/>
  </cols>
  <sheetData>
    <row r="6" spans="3:15" x14ac:dyDescent="0.3">
      <c r="C6" t="s">
        <v>0</v>
      </c>
      <c r="D6" s="1">
        <v>0.37862347329244639</v>
      </c>
      <c r="E6" s="1">
        <v>0.22580645161290322</v>
      </c>
      <c r="F6" s="1">
        <v>0.62653061224489803</v>
      </c>
      <c r="G6" s="1">
        <v>0.32640442047099066</v>
      </c>
      <c r="H6" s="1">
        <v>0.81818181818181823</v>
      </c>
      <c r="I6" s="1">
        <v>0.72357805566760791</v>
      </c>
      <c r="J6" s="1">
        <v>0.14470284237726097</v>
      </c>
      <c r="K6" s="1">
        <v>0.83304088903068019</v>
      </c>
      <c r="L6" s="1">
        <v>0</v>
      </c>
      <c r="M6" s="1">
        <v>6.3652073732718903E-2</v>
      </c>
      <c r="N6" s="1">
        <v>0.23852183650615905</v>
      </c>
      <c r="O6" s="8">
        <v>0.57492163553795805</v>
      </c>
    </row>
    <row r="7" spans="3:15" x14ac:dyDescent="0.3">
      <c r="C7" t="s">
        <v>1</v>
      </c>
      <c r="D7" s="1">
        <v>0.42011560803823739</v>
      </c>
      <c r="E7" s="1">
        <v>0.90322580645161288</v>
      </c>
      <c r="F7" s="1">
        <v>0.54489795918367356</v>
      </c>
      <c r="G7" s="1">
        <v>0.84607288514669121</v>
      </c>
      <c r="H7" s="1">
        <v>0.81818181818181823</v>
      </c>
      <c r="I7" s="1">
        <v>0.64471561113352149</v>
      </c>
      <c r="J7" s="1">
        <v>1</v>
      </c>
      <c r="K7" s="1">
        <v>0.21624926888924337</v>
      </c>
      <c r="L7" s="1">
        <v>5.8471760797342194E-4</v>
      </c>
      <c r="M7" s="1">
        <v>5.7459677419354843E-2</v>
      </c>
      <c r="N7" s="1">
        <v>0.40649496080627101</v>
      </c>
      <c r="O7" s="8">
        <v>0.89401477853899125</v>
      </c>
    </row>
    <row r="9" spans="3:15" x14ac:dyDescent="0.3">
      <c r="D9" t="s">
        <v>2</v>
      </c>
      <c r="E9" t="s">
        <v>3</v>
      </c>
      <c r="F9" t="s">
        <v>4</v>
      </c>
      <c r="G9" t="s">
        <v>5</v>
      </c>
      <c r="H9" t="s">
        <v>6</v>
      </c>
      <c r="I9" t="s">
        <v>7</v>
      </c>
      <c r="J9" t="s">
        <v>8</v>
      </c>
      <c r="K9" t="s">
        <v>9</v>
      </c>
      <c r="L9" t="s">
        <v>10</v>
      </c>
      <c r="M9" t="s">
        <v>11</v>
      </c>
      <c r="N9" t="s">
        <v>12</v>
      </c>
      <c r="O9" t="s">
        <v>13</v>
      </c>
    </row>
    <row r="10" spans="3:15" x14ac:dyDescent="0.3">
      <c r="D10">
        <v>0.58359662039485916</v>
      </c>
      <c r="E10">
        <v>0.64516129032258063</v>
      </c>
      <c r="F10">
        <v>0.44081632653061231</v>
      </c>
      <c r="G10">
        <v>0.32903565320352585</v>
      </c>
      <c r="H10">
        <v>0.72727272727272729</v>
      </c>
      <c r="I10">
        <v>0.16196046793061716</v>
      </c>
      <c r="J10">
        <v>0.2183462532299742</v>
      </c>
      <c r="K10">
        <v>1</v>
      </c>
      <c r="L10">
        <v>2.1262458471760802E-2</v>
      </c>
      <c r="M10">
        <v>7.6756912442396311E-2</v>
      </c>
      <c r="N10">
        <v>0.1569348904175332</v>
      </c>
      <c r="O10">
        <v>0.11914871447550075</v>
      </c>
    </row>
    <row r="11" spans="3:15" x14ac:dyDescent="0.3">
      <c r="D11">
        <v>0.59954633614014019</v>
      </c>
      <c r="E11">
        <v>1</v>
      </c>
      <c r="F11">
        <v>0.12448979591836734</v>
      </c>
      <c r="G11">
        <v>1</v>
      </c>
      <c r="H11">
        <v>0.63636363636363635</v>
      </c>
      <c r="I11">
        <v>0.962081484469544</v>
      </c>
      <c r="J11">
        <v>0.76485788113695097</v>
      </c>
      <c r="K11">
        <v>0.42255543148827573</v>
      </c>
      <c r="L11">
        <v>0</v>
      </c>
      <c r="M11">
        <v>7.4740783410138248E-2</v>
      </c>
      <c r="N11">
        <v>0.32490801471764519</v>
      </c>
      <c r="O11">
        <v>0.72895881632759407</v>
      </c>
    </row>
    <row r="12" spans="3:15" x14ac:dyDescent="0.3">
      <c r="D12">
        <v>0.42011560803823739</v>
      </c>
      <c r="E12">
        <v>0.90322580645161288</v>
      </c>
      <c r="F12">
        <v>0.54489795918367356</v>
      </c>
      <c r="G12">
        <v>0.84607288514669121</v>
      </c>
      <c r="H12">
        <v>0.81818181818181823</v>
      </c>
      <c r="I12">
        <v>0.64471561113352149</v>
      </c>
      <c r="J12">
        <v>1</v>
      </c>
      <c r="K12">
        <v>0.21624926888924337</v>
      </c>
      <c r="L12">
        <v>5.8471760797342194E-4</v>
      </c>
      <c r="M12">
        <v>5.7459677419354843E-2</v>
      </c>
      <c r="N12">
        <v>0.40649496080627101</v>
      </c>
      <c r="O12">
        <v>0.89401477853899125</v>
      </c>
    </row>
    <row r="13" spans="3:15" x14ac:dyDescent="0.3">
      <c r="D13">
        <v>0.45582257549548005</v>
      </c>
      <c r="E13">
        <v>0.83870967741935487</v>
      </c>
      <c r="F13">
        <v>0.62857142857142867</v>
      </c>
      <c r="G13">
        <v>0.55400605183528484</v>
      </c>
      <c r="H13">
        <v>1</v>
      </c>
      <c r="I13">
        <v>0.57835820895522383</v>
      </c>
      <c r="J13">
        <v>5.1679586563307183E-3</v>
      </c>
      <c r="K13">
        <v>3.2806933588557456E-2</v>
      </c>
      <c r="L13">
        <v>6.2790697674418604E-5</v>
      </c>
      <c r="M13">
        <v>9.2741935483870969E-2</v>
      </c>
      <c r="N13">
        <v>0.12334026555751078</v>
      </c>
      <c r="O13">
        <v>0.21339446195524756</v>
      </c>
    </row>
    <row r="14" spans="3:15" x14ac:dyDescent="0.3">
      <c r="D14">
        <v>0.41581723827359934</v>
      </c>
      <c r="E14">
        <v>0.70967741935483875</v>
      </c>
      <c r="F14">
        <v>0.67755102040816317</v>
      </c>
      <c r="G14">
        <v>0.79871069596105781</v>
      </c>
      <c r="H14">
        <v>9.0909090909090912E-2</v>
      </c>
      <c r="I14">
        <v>0.74152884227511084</v>
      </c>
      <c r="J14">
        <v>9.5607235142118871E-2</v>
      </c>
      <c r="K14">
        <v>0.15776040835858987</v>
      </c>
      <c r="L14">
        <v>3.0066445182724255E-5</v>
      </c>
      <c r="M14">
        <v>6.2644009216589858E-2</v>
      </c>
      <c r="N14">
        <v>1</v>
      </c>
      <c r="O14">
        <v>0.89461390849809408</v>
      </c>
    </row>
    <row r="15" spans="3:15" x14ac:dyDescent="0.3">
      <c r="D15">
        <v>0.34227794536019102</v>
      </c>
      <c r="E15">
        <v>0.67741935483870963</v>
      </c>
      <c r="F15">
        <v>0.66938775510204074</v>
      </c>
      <c r="G15">
        <v>0.17116168925141428</v>
      </c>
      <c r="H15">
        <v>0.27272727272727271</v>
      </c>
      <c r="I15">
        <v>0.51089148850342869</v>
      </c>
      <c r="J15">
        <v>7.8811369509043896E-2</v>
      </c>
      <c r="K15">
        <v>0.76817142553304618</v>
      </c>
      <c r="L15">
        <v>6.6279069767441869E-4</v>
      </c>
      <c r="M15">
        <v>8.9861751152073732E-2</v>
      </c>
      <c r="N15">
        <v>0.48328267477203651</v>
      </c>
      <c r="O15">
        <v>0.34713937152135599</v>
      </c>
    </row>
    <row r="16" spans="3:15" x14ac:dyDescent="0.3">
      <c r="D16">
        <v>0.31959475236720086</v>
      </c>
      <c r="E16">
        <v>0.58064516129032262</v>
      </c>
      <c r="F16">
        <v>0.65918367346938789</v>
      </c>
      <c r="G16">
        <v>0.63557426654387594</v>
      </c>
      <c r="H16">
        <v>1</v>
      </c>
      <c r="I16">
        <v>0.83844292053247271</v>
      </c>
      <c r="J16">
        <v>8.9147286821705432E-2</v>
      </c>
      <c r="K16">
        <v>0.21412240123358325</v>
      </c>
      <c r="L16">
        <v>1.5747508305647844E-4</v>
      </c>
      <c r="M16">
        <v>0.18058755760368664</v>
      </c>
      <c r="N16">
        <v>0.52487601983682608</v>
      </c>
      <c r="O16">
        <v>0.54717931351862958</v>
      </c>
    </row>
    <row r="17" spans="4:15" x14ac:dyDescent="0.3">
      <c r="D17">
        <v>0.65063117414116001</v>
      </c>
      <c r="E17">
        <v>0.58064516129032262</v>
      </c>
      <c r="F17">
        <v>0</v>
      </c>
      <c r="G17">
        <v>0.65662412840415729</v>
      </c>
      <c r="H17">
        <v>0.63636363636363635</v>
      </c>
      <c r="I17">
        <v>0.85830980233965293</v>
      </c>
      <c r="J17">
        <v>0.19121447028423769</v>
      </c>
      <c r="K17">
        <v>0.34598819588451113</v>
      </c>
      <c r="L17">
        <v>2.4916943521594683E-3</v>
      </c>
      <c r="M17">
        <v>0.23243087557603684</v>
      </c>
      <c r="N17">
        <v>0.20332746760518317</v>
      </c>
      <c r="O17">
        <v>5.489419712243962E-2</v>
      </c>
    </row>
    <row r="18" spans="4:15" x14ac:dyDescent="0.3">
      <c r="D18">
        <v>0.30225354663159348</v>
      </c>
      <c r="E18">
        <v>0.58064516129032262</v>
      </c>
      <c r="F18">
        <v>0.75510204081632648</v>
      </c>
      <c r="G18">
        <v>0.32508880410472307</v>
      </c>
      <c r="H18">
        <v>0.90909090909090906</v>
      </c>
      <c r="I18">
        <v>0.39905203711173848</v>
      </c>
      <c r="J18">
        <v>4.9095607235142093E-2</v>
      </c>
      <c r="K18">
        <v>0.8925931833891636</v>
      </c>
      <c r="L18">
        <v>0</v>
      </c>
      <c r="M18">
        <v>0.13594470046082952</v>
      </c>
      <c r="N18">
        <v>0.50247960326347785</v>
      </c>
      <c r="O18">
        <v>0.19607179139857778</v>
      </c>
    </row>
    <row r="19" spans="4:15" x14ac:dyDescent="0.3">
      <c r="D19">
        <v>4.8158896719991233E-2</v>
      </c>
      <c r="E19">
        <v>0.41935483870967744</v>
      </c>
      <c r="F19">
        <v>0.82040816326530619</v>
      </c>
      <c r="G19">
        <v>0.49085646625444018</v>
      </c>
      <c r="H19">
        <v>0.81818181818181823</v>
      </c>
      <c r="I19">
        <v>0.44090359015732145</v>
      </c>
      <c r="J19">
        <v>5.2971576227390176E-2</v>
      </c>
      <c r="K19">
        <v>0.6448131015047589</v>
      </c>
      <c r="L19">
        <v>0.95847176079734231</v>
      </c>
      <c r="M19">
        <v>9.7062211981566823E-2</v>
      </c>
      <c r="N19">
        <v>0.38569828827387626</v>
      </c>
      <c r="O19">
        <v>0.26969531202514613</v>
      </c>
    </row>
    <row r="20" spans="4:15" x14ac:dyDescent="0.3">
      <c r="D20">
        <v>0.33186083193946064</v>
      </c>
      <c r="E20">
        <v>0.54838709677419351</v>
      </c>
      <c r="F20">
        <v>0.64897959183673481</v>
      </c>
      <c r="G20">
        <v>0.51453756084725699</v>
      </c>
      <c r="H20">
        <v>0.72727272727272729</v>
      </c>
      <c r="I20">
        <v>0.744655102864058</v>
      </c>
      <c r="J20">
        <v>0.37726098191214474</v>
      </c>
      <c r="K20">
        <v>0.81708938161322919</v>
      </c>
      <c r="L20">
        <v>4.3189368770764125E-5</v>
      </c>
      <c r="M20">
        <v>8.8421658986175114E-2</v>
      </c>
      <c r="N20">
        <v>0.39369700847864342</v>
      </c>
      <c r="O20">
        <v>0.2305608377399776</v>
      </c>
    </row>
    <row r="21" spans="4:15" x14ac:dyDescent="0.3">
      <c r="D21">
        <v>0.46846511982539663</v>
      </c>
      <c r="E21">
        <v>0.45161290322580644</v>
      </c>
      <c r="F21">
        <v>0.69591836734693868</v>
      </c>
      <c r="G21">
        <v>0.5934745428233128</v>
      </c>
      <c r="H21">
        <v>0.63636363636363635</v>
      </c>
      <c r="I21">
        <v>0.73003227107704716</v>
      </c>
      <c r="J21">
        <v>7.2351421188630458E-2</v>
      </c>
      <c r="K21">
        <v>0.57675333652363492</v>
      </c>
      <c r="L21">
        <v>5.4651162790697672E-5</v>
      </c>
      <c r="M21">
        <v>8.4101382488479245E-2</v>
      </c>
      <c r="N21">
        <v>0.19212925931850905</v>
      </c>
      <c r="O21">
        <v>0.14262766243802483</v>
      </c>
    </row>
    <row r="22" spans="4:15" x14ac:dyDescent="0.3">
      <c r="D22">
        <v>0.20199478667791296</v>
      </c>
      <c r="E22">
        <v>0.41935483870967744</v>
      </c>
      <c r="F22">
        <v>0.37346938775510202</v>
      </c>
      <c r="G22">
        <v>0.25009867122747009</v>
      </c>
      <c r="H22">
        <v>0.63636363636363635</v>
      </c>
      <c r="I22">
        <v>0.46389673255344893</v>
      </c>
      <c r="J22">
        <v>0.12919896640826872</v>
      </c>
      <c r="K22">
        <v>0.66395491040569998</v>
      </c>
      <c r="L22">
        <v>3.0398671096345517E-4</v>
      </c>
      <c r="M22">
        <v>0.1028225806451613</v>
      </c>
      <c r="N22">
        <v>8.3346664533674605E-2</v>
      </c>
      <c r="O22">
        <v>0.45716220792414491</v>
      </c>
    </row>
    <row r="23" spans="4:15" x14ac:dyDescent="0.3">
      <c r="D23">
        <v>0.55620523524281973</v>
      </c>
      <c r="E23">
        <v>0.4838709677419355</v>
      </c>
      <c r="F23">
        <v>0.24081632653061225</v>
      </c>
      <c r="G23">
        <v>0.16721484015261148</v>
      </c>
      <c r="H23">
        <v>0</v>
      </c>
      <c r="I23">
        <v>0.22075433642597822</v>
      </c>
      <c r="J23">
        <v>0.14082687338501287</v>
      </c>
      <c r="K23">
        <v>0.82666028606369979</v>
      </c>
      <c r="L23">
        <v>3.4883720930232562E-3</v>
      </c>
      <c r="M23">
        <v>7.3876728110599074E-2</v>
      </c>
      <c r="N23">
        <v>0.16333386658134699</v>
      </c>
      <c r="O23">
        <v>0.60790851546015801</v>
      </c>
    </row>
    <row r="24" spans="4:15" x14ac:dyDescent="0.3">
      <c r="D24">
        <v>0.20291450437699848</v>
      </c>
      <c r="E24">
        <v>0.38709677419354838</v>
      </c>
      <c r="F24">
        <v>0.18571428571428578</v>
      </c>
      <c r="G24">
        <v>0.11722141823444285</v>
      </c>
      <c r="H24">
        <v>0.81818181818181823</v>
      </c>
      <c r="I24">
        <v>0</v>
      </c>
      <c r="J24">
        <v>0.31395348837209303</v>
      </c>
      <c r="K24">
        <v>0.96809698516509823</v>
      </c>
      <c r="L24">
        <v>0.40697674418604657</v>
      </c>
      <c r="M24">
        <v>7.5892857142857137E-2</v>
      </c>
      <c r="N24">
        <v>0</v>
      </c>
      <c r="O24">
        <v>6.7154653676834472E-2</v>
      </c>
    </row>
    <row r="25" spans="4:15" x14ac:dyDescent="0.3">
      <c r="D25">
        <v>0.32801993833602577</v>
      </c>
      <c r="E25">
        <v>0.35483870967741937</v>
      </c>
      <c r="F25">
        <v>0.38571428571428573</v>
      </c>
      <c r="G25">
        <v>0.23562689119852653</v>
      </c>
      <c r="H25">
        <v>0.54545454545454541</v>
      </c>
      <c r="I25">
        <v>0.47035094796288823</v>
      </c>
      <c r="J25">
        <v>0.13436692506459944</v>
      </c>
      <c r="K25">
        <v>0.78093263146700698</v>
      </c>
      <c r="L25">
        <v>0</v>
      </c>
      <c r="M25">
        <v>4.1474654377880192E-2</v>
      </c>
      <c r="N25">
        <v>0.33770596704527278</v>
      </c>
      <c r="O25">
        <v>0.81374004706209246</v>
      </c>
    </row>
    <row r="26" spans="4:15" x14ac:dyDescent="0.3">
      <c r="D26">
        <v>0.25796413577511235</v>
      </c>
      <c r="E26">
        <v>0.38709677419354838</v>
      </c>
      <c r="F26">
        <v>0.6673469387755101</v>
      </c>
      <c r="G26">
        <v>0.5053282462833838</v>
      </c>
      <c r="H26">
        <v>0.72727272727272729</v>
      </c>
      <c r="I26">
        <v>0.6678096006454215</v>
      </c>
      <c r="J26">
        <v>0.38113695090439281</v>
      </c>
      <c r="K26">
        <v>0.85324613175945141</v>
      </c>
      <c r="L26">
        <v>3.7707641196013287E-5</v>
      </c>
      <c r="M26">
        <v>6.8260368663594459E-2</v>
      </c>
      <c r="N26">
        <v>0.47048472244440892</v>
      </c>
      <c r="O26">
        <v>0.25175614542360225</v>
      </c>
    </row>
    <row r="27" spans="4:15" x14ac:dyDescent="0.3">
      <c r="D27">
        <v>1</v>
      </c>
      <c r="E27">
        <v>0.64516129032258063</v>
      </c>
      <c r="F27">
        <v>0.30816326530612248</v>
      </c>
      <c r="G27">
        <v>0.44349427706880667</v>
      </c>
      <c r="H27">
        <v>0.81818181818181823</v>
      </c>
      <c r="I27">
        <v>0.39209358612343687</v>
      </c>
      <c r="J27">
        <v>8.3979328165374623E-2</v>
      </c>
      <c r="K27">
        <v>0.91492529377359499</v>
      </c>
      <c r="L27">
        <v>1.4750830564784053E-4</v>
      </c>
      <c r="M27">
        <v>0.10570276497695852</v>
      </c>
      <c r="N27">
        <v>0.24972004479283319</v>
      </c>
      <c r="O27">
        <v>0.75655352661786812</v>
      </c>
    </row>
    <row r="28" spans="4:15" x14ac:dyDescent="0.3">
      <c r="D28">
        <v>0.33782708354181856</v>
      </c>
      <c r="E28">
        <v>0.61290322580645162</v>
      </c>
      <c r="F28">
        <v>0.82244897959183683</v>
      </c>
      <c r="G28">
        <v>0.77239836863570588</v>
      </c>
      <c r="H28">
        <v>0</v>
      </c>
      <c r="I28">
        <v>0.62656313029447352</v>
      </c>
      <c r="J28">
        <v>0.4909560723514213</v>
      </c>
      <c r="K28">
        <v>0.2864359015260276</v>
      </c>
      <c r="L28">
        <v>0</v>
      </c>
      <c r="M28">
        <v>9.5622119815668205E-2</v>
      </c>
      <c r="N28">
        <v>0.4352903535434331</v>
      </c>
      <c r="O28">
        <v>0.25475179521911662</v>
      </c>
    </row>
    <row r="29" spans="4:15" x14ac:dyDescent="0.3">
      <c r="D29">
        <v>0.16907556457800207</v>
      </c>
      <c r="E29">
        <v>0.29032258064516131</v>
      </c>
      <c r="F29">
        <v>0.63061224489795931</v>
      </c>
      <c r="G29">
        <v>0.35534798052887778</v>
      </c>
      <c r="H29">
        <v>0.18181818181818182</v>
      </c>
      <c r="I29">
        <v>0.40913674868898753</v>
      </c>
      <c r="J29">
        <v>0.2868217054263566</v>
      </c>
      <c r="K29">
        <v>0.50975700537034085</v>
      </c>
      <c r="L29">
        <v>1E-3</v>
      </c>
      <c r="M29">
        <v>7.7620967741935484E-2</v>
      </c>
      <c r="N29">
        <v>0.39529675251959684</v>
      </c>
      <c r="O29">
        <v>8.7898443130410675E-2</v>
      </c>
    </row>
    <row r="30" spans="4:15" x14ac:dyDescent="0.3">
      <c r="D30">
        <v>0.27950363836509456</v>
      </c>
      <c r="E30">
        <v>0.29032258064516131</v>
      </c>
      <c r="F30">
        <v>1</v>
      </c>
      <c r="G30">
        <v>0.77371398500197353</v>
      </c>
      <c r="H30">
        <v>0.90909090909090906</v>
      </c>
      <c r="I30">
        <v>1</v>
      </c>
      <c r="J30">
        <v>0.30361757105943149</v>
      </c>
      <c r="K30">
        <v>0.51082043919817099</v>
      </c>
      <c r="L30">
        <v>0</v>
      </c>
      <c r="M30">
        <v>0</v>
      </c>
      <c r="N30">
        <v>0.16813309870420731</v>
      </c>
      <c r="O30">
        <v>0.15665077669818611</v>
      </c>
    </row>
    <row r="31" spans="4:15" x14ac:dyDescent="0.3">
      <c r="D31">
        <v>0.3910134526583654</v>
      </c>
      <c r="E31">
        <v>0.32258064516129031</v>
      </c>
      <c r="F31">
        <v>0.42448979591836739</v>
      </c>
      <c r="G31">
        <v>0</v>
      </c>
      <c r="H31">
        <v>1</v>
      </c>
      <c r="I31">
        <v>1.4118596208148324E-2</v>
      </c>
      <c r="J31">
        <v>0.26873385012919893</v>
      </c>
      <c r="K31">
        <v>0.89152974956133357</v>
      </c>
      <c r="L31">
        <v>2.7242524916943523E-3</v>
      </c>
      <c r="M31">
        <v>8.8421658986175114E-2</v>
      </c>
      <c r="N31">
        <v>8.6546152615581504E-2</v>
      </c>
      <c r="O31">
        <v>0.1589257339341999</v>
      </c>
    </row>
    <row r="32" spans="4:15" x14ac:dyDescent="0.3">
      <c r="D32">
        <v>0.37633609248643057</v>
      </c>
      <c r="E32">
        <v>0.29032258064516131</v>
      </c>
      <c r="F32">
        <v>0.74693877551020404</v>
      </c>
      <c r="G32">
        <v>0.71056439942112881</v>
      </c>
      <c r="H32">
        <v>0.45454545454545453</v>
      </c>
      <c r="I32">
        <v>0.5843081887858006</v>
      </c>
      <c r="J32">
        <v>0.12919896640826872</v>
      </c>
      <c r="K32">
        <v>8.0236082309778287E-2</v>
      </c>
      <c r="L32">
        <v>0</v>
      </c>
      <c r="M32">
        <v>6.3508064516129031E-2</v>
      </c>
      <c r="N32">
        <v>0.20492721164613661</v>
      </c>
      <c r="O32">
        <v>0.33328123507602003</v>
      </c>
    </row>
    <row r="33" spans="4:15" x14ac:dyDescent="0.3">
      <c r="D33">
        <v>0.30860579374496655</v>
      </c>
      <c r="E33">
        <v>0.38709677419354838</v>
      </c>
      <c r="F33">
        <v>0.25714285714285717</v>
      </c>
      <c r="G33">
        <v>0.61057755558479154</v>
      </c>
      <c r="H33">
        <v>0.45454545454545453</v>
      </c>
      <c r="I33">
        <v>0.69776119402985071</v>
      </c>
      <c r="J33">
        <v>0.16795865633074938</v>
      </c>
      <c r="K33">
        <v>0.63630563088211833</v>
      </c>
      <c r="L33">
        <v>5.4651162790697672E-3</v>
      </c>
      <c r="M33">
        <v>8.1221198156682037E-2</v>
      </c>
      <c r="N33">
        <v>0.40649496080627101</v>
      </c>
      <c r="O33">
        <v>0.95859056847881796</v>
      </c>
    </row>
    <row r="34" spans="4:15" x14ac:dyDescent="0.3">
      <c r="D34">
        <v>0</v>
      </c>
      <c r="E34">
        <v>0.29032258064516131</v>
      </c>
      <c r="F34">
        <v>0.7142857142857143</v>
      </c>
      <c r="G34">
        <v>0.82896987238521247</v>
      </c>
      <c r="H34">
        <v>1</v>
      </c>
      <c r="I34">
        <v>0.88221056877773285</v>
      </c>
      <c r="J34">
        <v>0.37596899224806202</v>
      </c>
      <c r="K34">
        <v>0.29813367363215826</v>
      </c>
      <c r="L34">
        <v>0</v>
      </c>
      <c r="M34">
        <v>0.17338709677419356</v>
      </c>
      <c r="N34">
        <v>0.56167013277875544</v>
      </c>
      <c r="O34">
        <v>0.21058115606032976</v>
      </c>
    </row>
    <row r="35" spans="4:15" x14ac:dyDescent="0.3">
      <c r="D35">
        <v>0.60799534899236107</v>
      </c>
      <c r="E35">
        <v>0.22580645161290322</v>
      </c>
      <c r="F35">
        <v>0.65714285714285725</v>
      </c>
      <c r="G35">
        <v>0.41981318247599009</v>
      </c>
      <c r="H35">
        <v>0.45454545454545453</v>
      </c>
      <c r="I35">
        <v>0.64431222267043153</v>
      </c>
      <c r="J35">
        <v>5.4263565891472854E-2</v>
      </c>
      <c r="K35">
        <v>0.72244377093635359</v>
      </c>
      <c r="L35">
        <v>0</v>
      </c>
      <c r="M35">
        <v>5.9475806451612906E-2</v>
      </c>
      <c r="N35">
        <v>0.13293872980323149</v>
      </c>
      <c r="O35">
        <v>0.61423845372372299</v>
      </c>
    </row>
    <row r="36" spans="4:15" x14ac:dyDescent="0.3">
      <c r="D36">
        <v>0.76604859731137442</v>
      </c>
      <c r="E36">
        <v>0.35483870967741937</v>
      </c>
      <c r="F36">
        <v>0.42448979591836739</v>
      </c>
      <c r="G36">
        <v>0.85528219971056441</v>
      </c>
      <c r="H36">
        <v>0.18181818181818182</v>
      </c>
      <c r="I36">
        <v>0.86183945139169005</v>
      </c>
      <c r="J36">
        <v>3.2299741602067167E-2</v>
      </c>
      <c r="K36">
        <v>5.6361992874993348E-3</v>
      </c>
      <c r="L36">
        <v>2.9900332225913621E-5</v>
      </c>
      <c r="M36">
        <v>3.7010368663594473E-2</v>
      </c>
      <c r="N36">
        <v>0.46088625819868828</v>
      </c>
      <c r="O36">
        <v>0.22760860315889098</v>
      </c>
    </row>
    <row r="37" spans="4:15" x14ac:dyDescent="0.3">
      <c r="D37">
        <v>0.41586489204039134</v>
      </c>
      <c r="E37">
        <v>0.22580645161290322</v>
      </c>
      <c r="F37">
        <v>0.62448979591836751</v>
      </c>
      <c r="G37">
        <v>0.66451782660176295</v>
      </c>
      <c r="H37">
        <v>0.81818181818181823</v>
      </c>
      <c r="I37">
        <v>0.72650262202501004</v>
      </c>
      <c r="J37">
        <v>0.42764857881136958</v>
      </c>
      <c r="K37">
        <v>0.40554049024299471</v>
      </c>
      <c r="L37">
        <v>5.3820598006644525E-4</v>
      </c>
      <c r="M37">
        <v>0.363479262672811</v>
      </c>
      <c r="N37">
        <v>0.23532234842425215</v>
      </c>
      <c r="O37">
        <v>0.19626281834205977</v>
      </c>
    </row>
    <row r="38" spans="4:15" x14ac:dyDescent="0.3">
      <c r="D38">
        <v>0.24080877972999376</v>
      </c>
      <c r="E38">
        <v>0.25806451612903225</v>
      </c>
      <c r="F38">
        <v>0.42448979591836739</v>
      </c>
      <c r="G38">
        <v>0.63031180107880558</v>
      </c>
      <c r="H38">
        <v>0.72727272727272729</v>
      </c>
      <c r="I38">
        <v>0.83743444937474765</v>
      </c>
      <c r="J38">
        <v>0.1731266149870801</v>
      </c>
      <c r="K38">
        <v>0.29813367363215826</v>
      </c>
      <c r="L38">
        <v>2.4750830564784055E-5</v>
      </c>
      <c r="M38">
        <v>8.2661290322580627E-2</v>
      </c>
      <c r="N38">
        <v>0.2305231163013918</v>
      </c>
      <c r="O38">
        <v>0.43567167678241164</v>
      </c>
    </row>
    <row r="39" spans="4:15" x14ac:dyDescent="0.3">
      <c r="D39">
        <v>0.37862347329244639</v>
      </c>
      <c r="E39">
        <v>0.22580645161290322</v>
      </c>
      <c r="F39">
        <v>0.62653061224489803</v>
      </c>
      <c r="G39">
        <v>0.32640442047099066</v>
      </c>
      <c r="H39">
        <v>0.81818181818181823</v>
      </c>
      <c r="I39">
        <v>0.72357805566760791</v>
      </c>
      <c r="J39">
        <v>0.14470284237726097</v>
      </c>
      <c r="K39">
        <v>0.83304088903068019</v>
      </c>
      <c r="L39">
        <v>0</v>
      </c>
      <c r="M39">
        <v>6.3652073732718903E-2</v>
      </c>
      <c r="N39">
        <v>0.23852183650615905</v>
      </c>
      <c r="O39">
        <v>0.57492163553795805</v>
      </c>
    </row>
    <row r="40" spans="4:15" x14ac:dyDescent="0.3">
      <c r="D40">
        <v>0.37112753577606544</v>
      </c>
      <c r="E40">
        <v>0.19354838709677419</v>
      </c>
      <c r="F40">
        <v>0.45102040816326538</v>
      </c>
      <c r="G40">
        <v>0.37771345875542695</v>
      </c>
      <c r="H40">
        <v>0.18181818181818182</v>
      </c>
      <c r="I40">
        <v>0.66659943525615162</v>
      </c>
      <c r="J40">
        <v>0.20284237726098195</v>
      </c>
      <c r="K40">
        <v>0.84048492582549061</v>
      </c>
      <c r="L40">
        <v>5.0996677740863794E-4</v>
      </c>
      <c r="M40">
        <v>6.2644009216589858E-2</v>
      </c>
      <c r="N40">
        <v>0.26091825307950733</v>
      </c>
      <c r="O40">
        <v>0.62791424626846248</v>
      </c>
    </row>
    <row r="41" spans="4:15" x14ac:dyDescent="0.3">
      <c r="D41">
        <v>0.4234180140769227</v>
      </c>
      <c r="E41">
        <v>0.16129032258064516</v>
      </c>
      <c r="F41">
        <v>0.37959183673469388</v>
      </c>
      <c r="G41">
        <v>0.52111564267859489</v>
      </c>
      <c r="H41">
        <v>1</v>
      </c>
      <c r="I41">
        <v>0.81070996369503823</v>
      </c>
      <c r="J41">
        <v>0.1459948320413437</v>
      </c>
      <c r="K41">
        <v>0.48210772584675926</v>
      </c>
      <c r="L41">
        <v>0</v>
      </c>
      <c r="M41">
        <v>0.14314516129032256</v>
      </c>
      <c r="N41">
        <v>0.3025115981442969</v>
      </c>
      <c r="O41">
        <v>0.85616539460088392</v>
      </c>
    </row>
    <row r="42" spans="4:15" x14ac:dyDescent="0.3">
      <c r="D42">
        <v>0.15293523376555299</v>
      </c>
      <c r="E42">
        <v>0.29032258064516131</v>
      </c>
      <c r="F42">
        <v>0.7</v>
      </c>
      <c r="G42">
        <v>0.71319563215366399</v>
      </c>
      <c r="H42">
        <v>0.45454545454545453</v>
      </c>
      <c r="I42">
        <v>0.81222267043162544</v>
      </c>
      <c r="J42">
        <v>0.12532299741602063</v>
      </c>
      <c r="K42">
        <v>0.28537246769819752</v>
      </c>
      <c r="L42">
        <v>0</v>
      </c>
      <c r="M42">
        <v>7.4740783410138248E-2</v>
      </c>
      <c r="N42">
        <v>0.81762917933130697</v>
      </c>
      <c r="O42">
        <v>0.61080865178393107</v>
      </c>
    </row>
    <row r="43" spans="4:15" x14ac:dyDescent="0.3">
      <c r="D43">
        <v>0.70857815456022721</v>
      </c>
      <c r="E43">
        <v>0.29032258064516131</v>
      </c>
      <c r="F43">
        <v>0.3693877551020408</v>
      </c>
      <c r="G43">
        <v>0.73029864491514285</v>
      </c>
      <c r="H43">
        <v>0.81818181818181823</v>
      </c>
      <c r="I43">
        <v>0.68646631706333194</v>
      </c>
      <c r="J43">
        <v>0.29198966408268734</v>
      </c>
      <c r="K43">
        <v>1.6642739405540494E-2</v>
      </c>
      <c r="L43">
        <v>3.3554817275747512E-4</v>
      </c>
      <c r="M43">
        <v>9.8502304147465441E-2</v>
      </c>
      <c r="N43">
        <v>0.35370340745480727</v>
      </c>
      <c r="O43">
        <v>0.72595448348919411</v>
      </c>
    </row>
    <row r="44" spans="4:15" x14ac:dyDescent="0.3">
      <c r="D44">
        <v>0.68862552240441843</v>
      </c>
      <c r="E44">
        <v>0.16129032258064516</v>
      </c>
      <c r="F44">
        <v>0.6183673469387756</v>
      </c>
      <c r="G44">
        <v>0.14221812919352717</v>
      </c>
      <c r="H44">
        <v>0.45454545454545453</v>
      </c>
      <c r="I44">
        <v>0.22509076240419515</v>
      </c>
      <c r="J44">
        <v>0.12532299741602063</v>
      </c>
      <c r="K44">
        <v>0.88408571276652315</v>
      </c>
      <c r="L44">
        <v>0</v>
      </c>
      <c r="M44">
        <v>0.10714285714285714</v>
      </c>
      <c r="N44">
        <v>0.40969444888817791</v>
      </c>
      <c r="O44">
        <v>0.52032266187362697</v>
      </c>
    </row>
    <row r="45" spans="4:15" x14ac:dyDescent="0.3">
      <c r="D45">
        <v>0.18749851081978774</v>
      </c>
      <c r="E45">
        <v>0.16129032258064516</v>
      </c>
      <c r="F45">
        <v>0.65510204081632673</v>
      </c>
      <c r="G45">
        <v>0.13958689646099198</v>
      </c>
      <c r="H45">
        <v>0.72727272727272729</v>
      </c>
      <c r="I45">
        <v>0.18293666801129488</v>
      </c>
      <c r="J45">
        <v>0.23643410852713179</v>
      </c>
      <c r="K45">
        <v>0.96916041899292826</v>
      </c>
      <c r="L45">
        <v>3.6877076411960134E-4</v>
      </c>
      <c r="M45">
        <v>0.15178571428571427</v>
      </c>
      <c r="N45">
        <v>0.50887857942729164</v>
      </c>
      <c r="O45">
        <v>0.6662238314795037</v>
      </c>
    </row>
    <row r="46" spans="4:15" x14ac:dyDescent="0.3">
      <c r="D46">
        <v>0.12904640047272536</v>
      </c>
      <c r="E46">
        <v>0.19354838709677419</v>
      </c>
      <c r="F46">
        <v>0.34081632653061233</v>
      </c>
      <c r="G46">
        <v>0.68030522299697405</v>
      </c>
      <c r="H46">
        <v>0.18181818181818182</v>
      </c>
      <c r="I46">
        <v>0.73023396530859208</v>
      </c>
      <c r="J46">
        <v>8.3979328165374623E-2</v>
      </c>
      <c r="K46">
        <v>0.26942096028074658</v>
      </c>
      <c r="L46">
        <v>0</v>
      </c>
      <c r="M46">
        <v>0.37788018433179715</v>
      </c>
      <c r="N46">
        <v>0.79043353063509836</v>
      </c>
      <c r="O46">
        <v>0.893268036850834</v>
      </c>
    </row>
    <row r="47" spans="4:15" x14ac:dyDescent="0.3">
      <c r="D47">
        <v>6.340810209342998E-2</v>
      </c>
      <c r="E47">
        <v>9.6774193548387094E-2</v>
      </c>
      <c r="F47">
        <v>0.84489795918367361</v>
      </c>
      <c r="G47">
        <v>0.14353374555979476</v>
      </c>
      <c r="H47">
        <v>0.81818181818181823</v>
      </c>
      <c r="I47">
        <v>0.29729729729729731</v>
      </c>
      <c r="J47">
        <v>0.17571059431524547</v>
      </c>
      <c r="K47">
        <v>0.93619397033019625</v>
      </c>
      <c r="L47">
        <v>0</v>
      </c>
      <c r="M47">
        <v>9.994239631336406E-2</v>
      </c>
      <c r="N47">
        <v>0.24652055671092629</v>
      </c>
      <c r="O47">
        <v>0.39157918500959477</v>
      </c>
    </row>
    <row r="48" spans="4:15" x14ac:dyDescent="0.3">
      <c r="D48">
        <v>0.68265450542538131</v>
      </c>
      <c r="E48">
        <v>0.19354838709677419</v>
      </c>
      <c r="F48">
        <v>0.3836734693877551</v>
      </c>
      <c r="G48">
        <v>0.23694250756479412</v>
      </c>
      <c r="H48">
        <v>0.81818181818181823</v>
      </c>
      <c r="I48">
        <v>4.0641387656312894E-2</v>
      </c>
      <c r="J48">
        <v>0.24289405684754525</v>
      </c>
      <c r="K48">
        <v>0.99361939703301971</v>
      </c>
      <c r="L48">
        <v>3.4717607973421925E-5</v>
      </c>
      <c r="M48">
        <v>1</v>
      </c>
      <c r="N48">
        <v>0.6192609182530795</v>
      </c>
      <c r="O48">
        <v>0</v>
      </c>
    </row>
    <row r="49" spans="4:15" x14ac:dyDescent="0.3">
      <c r="D49">
        <v>0.30225831200827269</v>
      </c>
      <c r="E49">
        <v>0.12903225806451613</v>
      </c>
      <c r="F49">
        <v>0.92040816326530628</v>
      </c>
      <c r="G49">
        <v>0.94605972898302859</v>
      </c>
      <c r="H49">
        <v>0.27272727272727271</v>
      </c>
      <c r="I49">
        <v>0.85114965711980628</v>
      </c>
      <c r="J49">
        <v>0.49224806201550403</v>
      </c>
      <c r="K49">
        <v>0.14606263625245922</v>
      </c>
      <c r="L49">
        <v>3.4883720930232559E-4</v>
      </c>
      <c r="M49">
        <v>6.5092165898617521E-2</v>
      </c>
      <c r="N49">
        <v>0.92801151815709493</v>
      </c>
      <c r="O49">
        <v>0.43103493188152864</v>
      </c>
    </row>
    <row r="50" spans="4:15" x14ac:dyDescent="0.3">
      <c r="D50">
        <v>4.0472344136442268E-2</v>
      </c>
      <c r="E50">
        <v>3.2258064516129031E-2</v>
      </c>
      <c r="F50">
        <v>0.65102040816326545</v>
      </c>
      <c r="G50">
        <v>0.38297592422049731</v>
      </c>
      <c r="H50">
        <v>0.90909090909090906</v>
      </c>
      <c r="I50">
        <v>0.41962484872932626</v>
      </c>
      <c r="J50">
        <v>6.2015503875968978E-2</v>
      </c>
      <c r="K50">
        <v>0.90322752166746423</v>
      </c>
      <c r="L50">
        <v>3.4219269102990033E-3</v>
      </c>
      <c r="M50">
        <v>0.12154377880184332</v>
      </c>
      <c r="N50">
        <v>0.69284914413693821</v>
      </c>
      <c r="O50">
        <v>9.8066286349388257E-2</v>
      </c>
    </row>
    <row r="51" spans="4:15" x14ac:dyDescent="0.3">
      <c r="D51">
        <v>0.3155203553064852</v>
      </c>
      <c r="E51">
        <v>0.16129032258064516</v>
      </c>
      <c r="F51">
        <v>0.36530612244897959</v>
      </c>
      <c r="G51">
        <v>0.68425207209577688</v>
      </c>
      <c r="H51">
        <v>0.18181818181818182</v>
      </c>
      <c r="I51">
        <v>0.81655909640984259</v>
      </c>
      <c r="J51">
        <v>8.0103359173126623E-2</v>
      </c>
      <c r="K51">
        <v>0.23113734247886425</v>
      </c>
      <c r="L51">
        <v>1.8438538205980066E-5</v>
      </c>
      <c r="M51">
        <v>0.40812211981566815</v>
      </c>
      <c r="N51">
        <v>0.72484402495600719</v>
      </c>
      <c r="O51">
        <v>0.90011895768753214</v>
      </c>
    </row>
    <row r="52" spans="4:15" x14ac:dyDescent="0.3">
      <c r="D52">
        <v>0.32766730046176501</v>
      </c>
      <c r="E52">
        <v>6.4516129032258063E-2</v>
      </c>
      <c r="F52">
        <v>0.67551020408163254</v>
      </c>
      <c r="G52">
        <v>0.77108275226943834</v>
      </c>
      <c r="H52">
        <v>1</v>
      </c>
      <c r="I52">
        <v>0.96036708350141176</v>
      </c>
      <c r="J52">
        <v>0</v>
      </c>
      <c r="K52">
        <v>7.4174509491146928E-2</v>
      </c>
      <c r="L52">
        <v>0</v>
      </c>
      <c r="M52">
        <v>0.19066820276497695</v>
      </c>
      <c r="N52">
        <v>0.79683250679891215</v>
      </c>
      <c r="O52">
        <v>0.24981114381723932</v>
      </c>
    </row>
    <row r="53" spans="4:15" x14ac:dyDescent="0.3">
      <c r="D53">
        <v>0.7953699600184897</v>
      </c>
      <c r="E53">
        <v>0.16129032258064516</v>
      </c>
      <c r="F53">
        <v>0.17142857142857146</v>
      </c>
      <c r="G53">
        <v>0.47243783712669385</v>
      </c>
      <c r="H53">
        <v>0</v>
      </c>
      <c r="I53">
        <v>0.64895118999596602</v>
      </c>
      <c r="J53">
        <v>0.81912144702842382</v>
      </c>
      <c r="K53">
        <v>0.7458393151486149</v>
      </c>
      <c r="L53">
        <v>2.0930232558139536E-4</v>
      </c>
      <c r="M53">
        <v>8.1221198156682037E-2</v>
      </c>
      <c r="N53">
        <v>0.58406654935210378</v>
      </c>
      <c r="O53">
        <v>1</v>
      </c>
    </row>
    <row r="54" spans="4:15" x14ac:dyDescent="0.3">
      <c r="D54">
        <v>0.27257954605021756</v>
      </c>
      <c r="E54">
        <v>9.6774193548387094E-2</v>
      </c>
      <c r="F54">
        <v>0.49591836734693878</v>
      </c>
      <c r="G54">
        <v>0.55663728456782002</v>
      </c>
      <c r="H54">
        <v>0.54545454545454541</v>
      </c>
      <c r="I54">
        <v>0.88987494957644209</v>
      </c>
      <c r="J54">
        <v>0.33979328165374678</v>
      </c>
      <c r="K54">
        <v>0.23539107779018453</v>
      </c>
      <c r="L54">
        <v>0</v>
      </c>
      <c r="M54">
        <v>5.0835253456221197E-2</v>
      </c>
      <c r="N54">
        <v>0.76483762597984317</v>
      </c>
      <c r="O54">
        <v>0.93294954283779219</v>
      </c>
    </row>
    <row r="55" spans="4:15" x14ac:dyDescent="0.3">
      <c r="D55">
        <v>0.96349244926065181</v>
      </c>
      <c r="E55">
        <v>0.12903225806451613</v>
      </c>
      <c r="F55">
        <v>0.31020408163265312</v>
      </c>
      <c r="G55">
        <v>0.65267727930535457</v>
      </c>
      <c r="H55">
        <v>0.45454545454545453</v>
      </c>
      <c r="I55">
        <v>0.67728922952803539</v>
      </c>
      <c r="J55">
        <v>4.7803617571059415E-2</v>
      </c>
      <c r="K55">
        <v>0.28111873238687729</v>
      </c>
      <c r="L55">
        <v>3.7375415282392029E-2</v>
      </c>
      <c r="M55">
        <v>7.3444700460829501E-2</v>
      </c>
      <c r="N55">
        <v>0.18892977123660215</v>
      </c>
      <c r="O55">
        <v>0.15228320612675506</v>
      </c>
    </row>
    <row r="56" spans="4:15" x14ac:dyDescent="0.3">
      <c r="D56">
        <v>7.7832897301367193E-2</v>
      </c>
      <c r="E56">
        <v>0</v>
      </c>
      <c r="F56">
        <v>0.68571428571428561</v>
      </c>
      <c r="G56">
        <v>0.14748059465859756</v>
      </c>
      <c r="H56">
        <v>1</v>
      </c>
      <c r="I56">
        <v>0.34721661960467926</v>
      </c>
      <c r="J56">
        <v>0.16020671834625322</v>
      </c>
      <c r="K56">
        <v>0.99787313234433983</v>
      </c>
      <c r="L56">
        <v>1.0382059800664453E-3</v>
      </c>
      <c r="M56">
        <v>0.25403225806451613</v>
      </c>
      <c r="N56">
        <v>0.61446168613021912</v>
      </c>
      <c r="O56">
        <v>0.61434265023834955</v>
      </c>
    </row>
    <row r="57" spans="4:15" x14ac:dyDescent="0.3">
      <c r="D57">
        <v>0.97002578068783452</v>
      </c>
      <c r="E57">
        <v>0.16129032258064516</v>
      </c>
      <c r="F57">
        <v>0.10612244897959182</v>
      </c>
      <c r="G57">
        <v>0.133008814629654</v>
      </c>
      <c r="H57">
        <v>0.63636363636363635</v>
      </c>
      <c r="I57">
        <v>0.30264219443323914</v>
      </c>
      <c r="J57">
        <v>0.18992248062015507</v>
      </c>
      <c r="K57">
        <v>0.9606529483702877</v>
      </c>
      <c r="L57">
        <v>0</v>
      </c>
      <c r="M57">
        <v>0.16474654377880185</v>
      </c>
      <c r="N57">
        <v>0.16333386658134699</v>
      </c>
      <c r="O57">
        <v>0.16505596221139737</v>
      </c>
    </row>
    <row r="58" spans="4:15" x14ac:dyDescent="0.3">
      <c r="D58">
        <v>0.49699543000376467</v>
      </c>
      <c r="E58">
        <v>6.4516129032258063E-2</v>
      </c>
      <c r="F58">
        <v>0.34693877551020419</v>
      </c>
      <c r="G58">
        <v>0.344823049598737</v>
      </c>
      <c r="H58">
        <v>0.63636363636363635</v>
      </c>
      <c r="I58">
        <v>0.62938684953610324</v>
      </c>
      <c r="J58">
        <v>0.12015503875968991</v>
      </c>
      <c r="K58">
        <v>0.72244377093635359</v>
      </c>
      <c r="L58">
        <v>9.4352159468438553E-3</v>
      </c>
      <c r="M58">
        <v>4.9395161290322578E-2</v>
      </c>
      <c r="N58">
        <v>0.29771236602143658</v>
      </c>
      <c r="O58">
        <v>0.69124836107565535</v>
      </c>
    </row>
    <row r="59" spans="4:15" x14ac:dyDescent="0.3">
      <c r="D59">
        <v>0.30401197062621815</v>
      </c>
      <c r="E59">
        <v>6.4516129032258063E-2</v>
      </c>
      <c r="F59">
        <v>0.91428571428571448</v>
      </c>
      <c r="G59">
        <v>0.60136824102091835</v>
      </c>
      <c r="H59">
        <v>0.45454545454545453</v>
      </c>
      <c r="I59">
        <v>0.64068172650262201</v>
      </c>
      <c r="J59">
        <v>0.18863049095607234</v>
      </c>
      <c r="K59">
        <v>0</v>
      </c>
      <c r="L59">
        <v>1</v>
      </c>
      <c r="M59">
        <v>8.8421658986175114E-2</v>
      </c>
      <c r="N59">
        <v>0.49448088305871057</v>
      </c>
      <c r="O59">
        <v>0.33808295779172853</v>
      </c>
    </row>
    <row r="60" spans="4:15" x14ac:dyDescent="0.3">
      <c r="D60">
        <v>0.63525330359738286</v>
      </c>
      <c r="E60">
        <v>0</v>
      </c>
      <c r="F60">
        <v>0.46326530612244904</v>
      </c>
      <c r="G60">
        <v>0.22247072753585054</v>
      </c>
      <c r="H60">
        <v>0.90909090909090906</v>
      </c>
      <c r="I60">
        <v>0.37736990722065339</v>
      </c>
      <c r="J60">
        <v>0.24806201550387597</v>
      </c>
      <c r="K60">
        <v>0.92449619822406559</v>
      </c>
      <c r="L60">
        <v>4.7009966777408643E-4</v>
      </c>
      <c r="M60">
        <v>8.4101382488479245E-2</v>
      </c>
      <c r="N60">
        <v>0.12973924172132459</v>
      </c>
      <c r="O60">
        <v>0.61011400835308738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Clustering</vt:lpstr>
      <vt:lpstr>Medoides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Ranfery</dc:creator>
  <cp:lastModifiedBy>RANFERY JOSUA PEREGRINA MORALES</cp:lastModifiedBy>
  <dcterms:created xsi:type="dcterms:W3CDTF">2026-03-25T23:09:52Z</dcterms:created>
  <dcterms:modified xsi:type="dcterms:W3CDTF">2026-05-05T02:40:29Z</dcterms:modified>
</cp:coreProperties>
</file>
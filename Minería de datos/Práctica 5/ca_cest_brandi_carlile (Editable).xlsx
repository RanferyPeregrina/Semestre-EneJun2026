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epositories\Semestre-EneJun2026\Minería de datos\Práctica 5\"/>
    </mc:Choice>
  </mc:AlternateContent>
  <xr:revisionPtr revIDLastSave="0" documentId="13_ncr:1_{053122D4-BDC5-444D-8F05-F4D0B8FD24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_cest_brandi_carlile - copi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1" l="1"/>
  <c r="AK6" i="1" s="1"/>
  <c r="AJ56" i="1"/>
  <c r="AI56" i="1"/>
  <c r="AK56" i="1" s="1"/>
  <c r="AK55" i="1"/>
  <c r="AM55" i="1" s="1"/>
  <c r="AJ55" i="1"/>
  <c r="AI55" i="1"/>
  <c r="AJ54" i="1"/>
  <c r="AI54" i="1"/>
  <c r="AK54" i="1" s="1"/>
  <c r="AJ53" i="1"/>
  <c r="AI53" i="1"/>
  <c r="AK53" i="1" s="1"/>
  <c r="AJ52" i="1"/>
  <c r="AK52" i="1" s="1"/>
  <c r="AI52" i="1"/>
  <c r="AJ51" i="1"/>
  <c r="AI51" i="1"/>
  <c r="AK51" i="1" s="1"/>
  <c r="AJ50" i="1"/>
  <c r="AI50" i="1"/>
  <c r="AK50" i="1" s="1"/>
  <c r="AJ49" i="1"/>
  <c r="AI49" i="1"/>
  <c r="AK49" i="1" s="1"/>
  <c r="AJ48" i="1"/>
  <c r="AI48" i="1"/>
  <c r="AK48" i="1" s="1"/>
  <c r="AK47" i="1"/>
  <c r="AM47" i="1" s="1"/>
  <c r="AJ47" i="1"/>
  <c r="AI47" i="1"/>
  <c r="AJ46" i="1"/>
  <c r="AI46" i="1"/>
  <c r="AK46" i="1" s="1"/>
  <c r="AJ45" i="1"/>
  <c r="AI45" i="1"/>
  <c r="AK45" i="1" s="1"/>
  <c r="AJ44" i="1"/>
  <c r="AK44" i="1" s="1"/>
  <c r="AI44" i="1"/>
  <c r="AJ43" i="1"/>
  <c r="AI43" i="1"/>
  <c r="AK43" i="1" s="1"/>
  <c r="AJ42" i="1"/>
  <c r="AI42" i="1"/>
  <c r="AK42" i="1" s="1"/>
  <c r="AJ41" i="1"/>
  <c r="AI41" i="1"/>
  <c r="AK41" i="1" s="1"/>
  <c r="AJ40" i="1"/>
  <c r="AI40" i="1"/>
  <c r="AK40" i="1" s="1"/>
  <c r="AK39" i="1"/>
  <c r="AM39" i="1" s="1"/>
  <c r="AJ39" i="1"/>
  <c r="AI39" i="1"/>
  <c r="AJ38" i="1"/>
  <c r="AI38" i="1"/>
  <c r="AK38" i="1" s="1"/>
  <c r="AJ37" i="1"/>
  <c r="AI37" i="1"/>
  <c r="AK37" i="1" s="1"/>
  <c r="AJ36" i="1"/>
  <c r="AK36" i="1" s="1"/>
  <c r="AI36" i="1"/>
  <c r="AJ35" i="1"/>
  <c r="AI35" i="1"/>
  <c r="AK35" i="1" s="1"/>
  <c r="AJ34" i="1"/>
  <c r="AI34" i="1"/>
  <c r="AK34" i="1" s="1"/>
  <c r="AJ33" i="1"/>
  <c r="AI33" i="1"/>
  <c r="AK33" i="1" s="1"/>
  <c r="AJ32" i="1"/>
  <c r="AI32" i="1"/>
  <c r="AK32" i="1" s="1"/>
  <c r="AK31" i="1"/>
  <c r="AM31" i="1" s="1"/>
  <c r="AJ31" i="1"/>
  <c r="AI31" i="1"/>
  <c r="AJ30" i="1"/>
  <c r="AI30" i="1"/>
  <c r="AK30" i="1" s="1"/>
  <c r="AJ29" i="1"/>
  <c r="AI29" i="1"/>
  <c r="AK29" i="1" s="1"/>
  <c r="AJ28" i="1"/>
  <c r="AK28" i="1" s="1"/>
  <c r="AI28" i="1"/>
  <c r="AJ27" i="1"/>
  <c r="AI27" i="1"/>
  <c r="AK27" i="1" s="1"/>
  <c r="AJ26" i="1"/>
  <c r="AI26" i="1"/>
  <c r="AK26" i="1" s="1"/>
  <c r="AJ25" i="1"/>
  <c r="AI25" i="1"/>
  <c r="AK25" i="1" s="1"/>
  <c r="AJ24" i="1"/>
  <c r="AI24" i="1"/>
  <c r="AK24" i="1" s="1"/>
  <c r="AK23" i="1"/>
  <c r="AM23" i="1" s="1"/>
  <c r="AJ23" i="1"/>
  <c r="AI23" i="1"/>
  <c r="AJ22" i="1"/>
  <c r="AI22" i="1"/>
  <c r="AK22" i="1" s="1"/>
  <c r="AJ21" i="1"/>
  <c r="AI21" i="1"/>
  <c r="AK21" i="1" s="1"/>
  <c r="AJ20" i="1"/>
  <c r="AK20" i="1" s="1"/>
  <c r="AI20" i="1"/>
  <c r="AJ19" i="1"/>
  <c r="AI19" i="1"/>
  <c r="AK19" i="1" s="1"/>
  <c r="AJ18" i="1"/>
  <c r="AI18" i="1"/>
  <c r="AK18" i="1" s="1"/>
  <c r="AJ17" i="1"/>
  <c r="AI17" i="1"/>
  <c r="AK17" i="1" s="1"/>
  <c r="AJ16" i="1"/>
  <c r="AI16" i="1"/>
  <c r="AK16" i="1" s="1"/>
  <c r="AK15" i="1"/>
  <c r="AL15" i="1" s="1"/>
  <c r="AJ15" i="1"/>
  <c r="AI15" i="1"/>
  <c r="AJ14" i="1"/>
  <c r="AI14" i="1"/>
  <c r="AK14" i="1" s="1"/>
  <c r="AJ13" i="1"/>
  <c r="AI13" i="1"/>
  <c r="AK13" i="1" s="1"/>
  <c r="AJ12" i="1"/>
  <c r="AK12" i="1" s="1"/>
  <c r="AI12" i="1"/>
  <c r="AJ11" i="1"/>
  <c r="AI11" i="1"/>
  <c r="AK11" i="1" s="1"/>
  <c r="AJ10" i="1"/>
  <c r="AI10" i="1"/>
  <c r="AK10" i="1" s="1"/>
  <c r="AJ9" i="1"/>
  <c r="AI9" i="1"/>
  <c r="AK9" i="1" s="1"/>
  <c r="AJ8" i="1"/>
  <c r="AI8" i="1"/>
  <c r="AK8" i="1" s="1"/>
  <c r="AK7" i="1"/>
  <c r="AL7" i="1" s="1"/>
  <c r="AJ7" i="1"/>
  <c r="AI7" i="1"/>
  <c r="AJ6" i="1"/>
  <c r="AL2" i="1"/>
  <c r="AM2" i="1"/>
  <c r="AN2" i="1"/>
  <c r="AO2" i="1"/>
  <c r="AP2" i="1"/>
  <c r="AQ2" i="1"/>
  <c r="AR2" i="1"/>
  <c r="AS2" i="1"/>
  <c r="AT2" i="1"/>
  <c r="AU2" i="1"/>
  <c r="AV2" i="1"/>
  <c r="AL3" i="1"/>
  <c r="AM3" i="1"/>
  <c r="AN3" i="1"/>
  <c r="AO3" i="1"/>
  <c r="AP3" i="1"/>
  <c r="AQ3" i="1"/>
  <c r="AR3" i="1"/>
  <c r="AS3" i="1"/>
  <c r="AT3" i="1"/>
  <c r="AU3" i="1"/>
  <c r="AV3" i="1"/>
  <c r="AK3" i="1"/>
  <c r="AM42" i="1" l="1"/>
  <c r="AL42" i="1"/>
  <c r="AL12" i="1"/>
  <c r="AM12" i="1"/>
  <c r="AM54" i="1"/>
  <c r="AL54" i="1"/>
  <c r="AL13" i="1"/>
  <c r="AM13" i="1"/>
  <c r="AM24" i="1"/>
  <c r="AL24" i="1"/>
  <c r="AM6" i="1"/>
  <c r="AL6" i="1"/>
  <c r="AL21" i="1"/>
  <c r="AM21" i="1"/>
  <c r="AM32" i="1"/>
  <c r="AL32" i="1"/>
  <c r="AL51" i="1"/>
  <c r="AM51" i="1"/>
  <c r="AM14" i="1"/>
  <c r="AL14" i="1"/>
  <c r="AL29" i="1"/>
  <c r="AM29" i="1"/>
  <c r="AM40" i="1"/>
  <c r="AL40" i="1"/>
  <c r="AM18" i="1"/>
  <c r="AL18" i="1"/>
  <c r="AL33" i="1"/>
  <c r="AM33" i="1"/>
  <c r="AL37" i="1"/>
  <c r="AM37" i="1"/>
  <c r="AM48" i="1"/>
  <c r="AL48" i="1"/>
  <c r="AM11" i="1"/>
  <c r="AL11" i="1"/>
  <c r="AM26" i="1"/>
  <c r="AL26" i="1"/>
  <c r="AM30" i="1"/>
  <c r="AL30" i="1"/>
  <c r="AL41" i="1"/>
  <c r="AM41" i="1"/>
  <c r="AL45" i="1"/>
  <c r="AM45" i="1"/>
  <c r="AL52" i="1"/>
  <c r="AM52" i="1"/>
  <c r="AM56" i="1"/>
  <c r="AL56" i="1"/>
  <c r="AM8" i="1"/>
  <c r="AL8" i="1"/>
  <c r="AM27" i="1"/>
  <c r="AL27" i="1"/>
  <c r="AM46" i="1"/>
  <c r="AL46" i="1"/>
  <c r="AM16" i="1"/>
  <c r="AL16" i="1"/>
  <c r="AM35" i="1"/>
  <c r="AL35" i="1"/>
  <c r="AM50" i="1"/>
  <c r="AL50" i="1"/>
  <c r="AM9" i="1"/>
  <c r="AL9" i="1"/>
  <c r="AM20" i="1"/>
  <c r="AL20" i="1"/>
  <c r="AL43" i="1"/>
  <c r="AM43" i="1"/>
  <c r="AL17" i="1"/>
  <c r="AM17" i="1"/>
  <c r="AM28" i="1"/>
  <c r="AL28" i="1"/>
  <c r="AL10" i="1"/>
  <c r="AM10" i="1"/>
  <c r="AL25" i="1"/>
  <c r="AM25" i="1"/>
  <c r="AL36" i="1"/>
  <c r="AM36" i="1"/>
  <c r="AM22" i="1"/>
  <c r="AL22" i="1"/>
  <c r="AM44" i="1"/>
  <c r="AL44" i="1"/>
  <c r="AL19" i="1"/>
  <c r="AM19" i="1"/>
  <c r="AL34" i="1"/>
  <c r="AM34" i="1"/>
  <c r="AM38" i="1"/>
  <c r="AL38" i="1"/>
  <c r="AM49" i="1"/>
  <c r="AL49" i="1"/>
  <c r="AL53" i="1"/>
  <c r="AM53" i="1"/>
  <c r="AL23" i="1"/>
  <c r="AL47" i="1"/>
  <c r="AL55" i="1"/>
  <c r="AM7" i="1"/>
  <c r="AL31" i="1"/>
  <c r="AM15" i="1"/>
  <c r="AL39" i="1"/>
  <c r="L3" i="1"/>
  <c r="M3" i="1"/>
  <c r="C3" i="1"/>
  <c r="D3" i="1"/>
  <c r="E3" i="1"/>
  <c r="F3" i="1"/>
  <c r="G3" i="1"/>
  <c r="H3" i="1"/>
  <c r="I3" i="1"/>
  <c r="J3" i="1"/>
  <c r="K3" i="1"/>
  <c r="C2" i="1"/>
  <c r="Q39" i="1" s="1"/>
  <c r="D2" i="1"/>
  <c r="E2" i="1"/>
  <c r="S8" i="1" s="1"/>
  <c r="F2" i="1"/>
  <c r="G2" i="1"/>
  <c r="U7" i="1" s="1"/>
  <c r="H2" i="1"/>
  <c r="I2" i="1"/>
  <c r="W8" i="1" s="1"/>
  <c r="J2" i="1"/>
  <c r="K2" i="1"/>
  <c r="Y21" i="1" s="1"/>
  <c r="L2" i="1"/>
  <c r="M2" i="1"/>
  <c r="B2" i="1"/>
  <c r="B3" i="1"/>
  <c r="R54" i="1" l="1"/>
  <c r="X32" i="1"/>
  <c r="V12" i="1"/>
  <c r="Z36" i="1"/>
  <c r="Q17" i="1"/>
  <c r="P7" i="1"/>
  <c r="R42" i="1"/>
  <c r="Q55" i="1"/>
  <c r="R30" i="1"/>
  <c r="Q53" i="1"/>
  <c r="Y47" i="1"/>
  <c r="W9" i="1"/>
  <c r="Q43" i="1"/>
  <c r="Y45" i="1"/>
  <c r="Z9" i="1"/>
  <c r="S18" i="1"/>
  <c r="Q29" i="1"/>
  <c r="Y19" i="1"/>
  <c r="Q28" i="1"/>
  <c r="Y7" i="1"/>
  <c r="X17" i="1"/>
  <c r="Q27" i="1"/>
  <c r="S51" i="1"/>
  <c r="Z49" i="1"/>
  <c r="X41" i="1"/>
  <c r="X16" i="1"/>
  <c r="W43" i="1"/>
  <c r="W27" i="1"/>
  <c r="W11" i="1"/>
  <c r="V43" i="1"/>
  <c r="V27" i="1"/>
  <c r="V11" i="1"/>
  <c r="P54" i="1"/>
  <c r="P46" i="1"/>
  <c r="P38" i="1"/>
  <c r="P30" i="1"/>
  <c r="P22" i="1"/>
  <c r="P14" i="1"/>
  <c r="R40" i="1"/>
  <c r="Z47" i="1"/>
  <c r="Y46" i="1"/>
  <c r="Y9" i="1"/>
  <c r="X33" i="1"/>
  <c r="X8" i="1"/>
  <c r="W42" i="1"/>
  <c r="W26" i="1"/>
  <c r="W7" i="1"/>
  <c r="V41" i="1"/>
  <c r="V25" i="1"/>
  <c r="S55" i="1"/>
  <c r="P53" i="1"/>
  <c r="P45" i="1"/>
  <c r="P37" i="1"/>
  <c r="P29" i="1"/>
  <c r="P21" i="1"/>
  <c r="P13" i="1"/>
  <c r="X7" i="1"/>
  <c r="W25" i="1"/>
  <c r="V23" i="1"/>
  <c r="P52" i="1"/>
  <c r="P28" i="1"/>
  <c r="R28" i="1"/>
  <c r="Z35" i="1"/>
  <c r="Y35" i="1"/>
  <c r="X56" i="1"/>
  <c r="X31" i="1"/>
  <c r="W55" i="1"/>
  <c r="W39" i="1"/>
  <c r="W19" i="1"/>
  <c r="V53" i="1"/>
  <c r="V37" i="1"/>
  <c r="V19" i="1"/>
  <c r="S34" i="1"/>
  <c r="P51" i="1"/>
  <c r="P43" i="1"/>
  <c r="P35" i="1"/>
  <c r="P27" i="1"/>
  <c r="P19" i="1"/>
  <c r="P11" i="1"/>
  <c r="V55" i="1"/>
  <c r="P20" i="1"/>
  <c r="Q52" i="1"/>
  <c r="Q15" i="1"/>
  <c r="R16" i="1"/>
  <c r="Z23" i="1"/>
  <c r="Y33" i="1"/>
  <c r="X55" i="1"/>
  <c r="X29" i="1"/>
  <c r="W53" i="1"/>
  <c r="W37" i="1"/>
  <c r="W18" i="1"/>
  <c r="V52" i="1"/>
  <c r="V36" i="1"/>
  <c r="V17" i="1"/>
  <c r="S31" i="1"/>
  <c r="P50" i="1"/>
  <c r="P42" i="1"/>
  <c r="P34" i="1"/>
  <c r="P26" i="1"/>
  <c r="P18" i="1"/>
  <c r="P10" i="1"/>
  <c r="W41" i="1"/>
  <c r="Q13" i="1"/>
  <c r="R15" i="1"/>
  <c r="Z21" i="1"/>
  <c r="Y31" i="1"/>
  <c r="X47" i="1"/>
  <c r="X21" i="1"/>
  <c r="W51" i="1"/>
  <c r="W33" i="1"/>
  <c r="W17" i="1"/>
  <c r="V51" i="1"/>
  <c r="V31" i="1"/>
  <c r="V15" i="1"/>
  <c r="P6" i="1"/>
  <c r="P49" i="1"/>
  <c r="P41" i="1"/>
  <c r="P33" i="1"/>
  <c r="P25" i="1"/>
  <c r="P17" i="1"/>
  <c r="P9" i="1"/>
  <c r="P44" i="1"/>
  <c r="P36" i="1"/>
  <c r="U15" i="1"/>
  <c r="AA8" i="1"/>
  <c r="Q41" i="1"/>
  <c r="R55" i="1"/>
  <c r="W6" i="1"/>
  <c r="Z11" i="1"/>
  <c r="Y22" i="1"/>
  <c r="X45" i="1"/>
  <c r="X19" i="1"/>
  <c r="W50" i="1"/>
  <c r="W31" i="1"/>
  <c r="W15" i="1"/>
  <c r="V49" i="1"/>
  <c r="V29" i="1"/>
  <c r="V13" i="1"/>
  <c r="P56" i="1"/>
  <c r="P48" i="1"/>
  <c r="P40" i="1"/>
  <c r="P32" i="1"/>
  <c r="P24" i="1"/>
  <c r="P16" i="1"/>
  <c r="P8" i="1"/>
  <c r="V39" i="1"/>
  <c r="P12" i="1"/>
  <c r="Y6" i="1"/>
  <c r="X43" i="1"/>
  <c r="W45" i="1"/>
  <c r="W29" i="1"/>
  <c r="W13" i="1"/>
  <c r="V44" i="1"/>
  <c r="V28" i="1"/>
  <c r="P55" i="1"/>
  <c r="P47" i="1"/>
  <c r="P39" i="1"/>
  <c r="P31" i="1"/>
  <c r="P23" i="1"/>
  <c r="P15" i="1"/>
  <c r="AA50" i="1"/>
  <c r="AA11" i="1"/>
  <c r="AA47" i="1"/>
  <c r="AA34" i="1"/>
  <c r="AA21" i="1"/>
  <c r="AA9" i="1"/>
  <c r="AA45" i="1"/>
  <c r="AA33" i="1"/>
  <c r="AA19" i="1"/>
  <c r="AA7" i="1"/>
  <c r="AA25" i="1"/>
  <c r="AA49" i="1"/>
  <c r="AA35" i="1"/>
  <c r="AA23" i="1"/>
  <c r="AA10" i="1"/>
  <c r="AA6" i="1"/>
  <c r="AA43" i="1"/>
  <c r="AA31" i="1"/>
  <c r="AA18" i="1"/>
  <c r="AA37" i="1"/>
  <c r="AA55" i="1"/>
  <c r="AA42" i="1"/>
  <c r="AA29" i="1"/>
  <c r="AA17" i="1"/>
  <c r="AA53" i="1"/>
  <c r="AA41" i="1"/>
  <c r="AA27" i="1"/>
  <c r="AA15" i="1"/>
  <c r="AA51" i="1"/>
  <c r="AA39" i="1"/>
  <c r="AA26" i="1"/>
  <c r="AA13" i="1"/>
  <c r="T14" i="1"/>
  <c r="T22" i="1"/>
  <c r="T30" i="1"/>
  <c r="T38" i="1"/>
  <c r="T46" i="1"/>
  <c r="T54" i="1"/>
  <c r="T6" i="1"/>
  <c r="T7" i="1"/>
  <c r="T15" i="1"/>
  <c r="T23" i="1"/>
  <c r="T10" i="1"/>
  <c r="T18" i="1"/>
  <c r="T26" i="1"/>
  <c r="T34" i="1"/>
  <c r="T42" i="1"/>
  <c r="T50" i="1"/>
  <c r="T11" i="1"/>
  <c r="T19" i="1"/>
  <c r="T27" i="1"/>
  <c r="T35" i="1"/>
  <c r="T12" i="1"/>
  <c r="T20" i="1"/>
  <c r="T28" i="1"/>
  <c r="T36" i="1"/>
  <c r="T44" i="1"/>
  <c r="T52" i="1"/>
  <c r="U43" i="1"/>
  <c r="U17" i="1"/>
  <c r="T41" i="1"/>
  <c r="U54" i="1"/>
  <c r="U29" i="1"/>
  <c r="T53" i="1"/>
  <c r="T24" i="1"/>
  <c r="Z10" i="1"/>
  <c r="Z18" i="1"/>
  <c r="Z26" i="1"/>
  <c r="Z34" i="1"/>
  <c r="Z42" i="1"/>
  <c r="Z50" i="1"/>
  <c r="Z14" i="1"/>
  <c r="Z22" i="1"/>
  <c r="Z30" i="1"/>
  <c r="Z38" i="1"/>
  <c r="Z46" i="1"/>
  <c r="Z54" i="1"/>
  <c r="Z8" i="1"/>
  <c r="Z16" i="1"/>
  <c r="Z24" i="1"/>
  <c r="Z32" i="1"/>
  <c r="Z40" i="1"/>
  <c r="Z48" i="1"/>
  <c r="Z56" i="1"/>
  <c r="R13" i="1"/>
  <c r="R21" i="1"/>
  <c r="R29" i="1"/>
  <c r="R37" i="1"/>
  <c r="R45" i="1"/>
  <c r="R53" i="1"/>
  <c r="R9" i="1"/>
  <c r="R17" i="1"/>
  <c r="R25" i="1"/>
  <c r="R33" i="1"/>
  <c r="R41" i="1"/>
  <c r="R49" i="1"/>
  <c r="R6" i="1"/>
  <c r="R11" i="1"/>
  <c r="R19" i="1"/>
  <c r="R27" i="1"/>
  <c r="R35" i="1"/>
  <c r="R43" i="1"/>
  <c r="R51" i="1"/>
  <c r="R39" i="1"/>
  <c r="Z45" i="1"/>
  <c r="Z20" i="1"/>
  <c r="Z7" i="1"/>
  <c r="U53" i="1"/>
  <c r="U39" i="1"/>
  <c r="U27" i="1"/>
  <c r="U14" i="1"/>
  <c r="T51" i="1"/>
  <c r="T39" i="1"/>
  <c r="T21" i="1"/>
  <c r="S50" i="1"/>
  <c r="S27" i="1"/>
  <c r="Y12" i="1"/>
  <c r="Y20" i="1"/>
  <c r="Y28" i="1"/>
  <c r="Y36" i="1"/>
  <c r="Y44" i="1"/>
  <c r="Y52" i="1"/>
  <c r="Y8" i="1"/>
  <c r="Y16" i="1"/>
  <c r="Y24" i="1"/>
  <c r="Y32" i="1"/>
  <c r="Y40" i="1"/>
  <c r="Y48" i="1"/>
  <c r="Y56" i="1"/>
  <c r="Y10" i="1"/>
  <c r="Y18" i="1"/>
  <c r="Y26" i="1"/>
  <c r="Y34" i="1"/>
  <c r="Y42" i="1"/>
  <c r="Y50" i="1"/>
  <c r="Q10" i="1"/>
  <c r="Q18" i="1"/>
  <c r="Q26" i="1"/>
  <c r="Q34" i="1"/>
  <c r="Q42" i="1"/>
  <c r="Q50" i="1"/>
  <c r="Q14" i="1"/>
  <c r="Q22" i="1"/>
  <c r="Q30" i="1"/>
  <c r="Q38" i="1"/>
  <c r="Q46" i="1"/>
  <c r="Q54" i="1"/>
  <c r="Q8" i="1"/>
  <c r="Q16" i="1"/>
  <c r="Q24" i="1"/>
  <c r="Q32" i="1"/>
  <c r="Q40" i="1"/>
  <c r="Q48" i="1"/>
  <c r="Q56" i="1"/>
  <c r="Q51" i="1"/>
  <c r="Q37" i="1"/>
  <c r="Q25" i="1"/>
  <c r="Q12" i="1"/>
  <c r="R50" i="1"/>
  <c r="R38" i="1"/>
  <c r="R24" i="1"/>
  <c r="R12" i="1"/>
  <c r="Z6" i="1"/>
  <c r="Z44" i="1"/>
  <c r="Z31" i="1"/>
  <c r="Z19" i="1"/>
  <c r="Y55" i="1"/>
  <c r="Y43" i="1"/>
  <c r="Y30" i="1"/>
  <c r="Y17" i="1"/>
  <c r="U51" i="1"/>
  <c r="U38" i="1"/>
  <c r="U25" i="1"/>
  <c r="U13" i="1"/>
  <c r="T49" i="1"/>
  <c r="T37" i="1"/>
  <c r="T17" i="1"/>
  <c r="S47" i="1"/>
  <c r="S26" i="1"/>
  <c r="X14" i="1"/>
  <c r="X22" i="1"/>
  <c r="X30" i="1"/>
  <c r="X38" i="1"/>
  <c r="X46" i="1"/>
  <c r="X54" i="1"/>
  <c r="X10" i="1"/>
  <c r="X18" i="1"/>
  <c r="X26" i="1"/>
  <c r="X34" i="1"/>
  <c r="X42" i="1"/>
  <c r="X50" i="1"/>
  <c r="X6" i="1"/>
  <c r="X12" i="1"/>
  <c r="X20" i="1"/>
  <c r="X28" i="1"/>
  <c r="X36" i="1"/>
  <c r="X44" i="1"/>
  <c r="X52" i="1"/>
  <c r="Q49" i="1"/>
  <c r="Q36" i="1"/>
  <c r="Q23" i="1"/>
  <c r="Q11" i="1"/>
  <c r="R48" i="1"/>
  <c r="R36" i="1"/>
  <c r="R23" i="1"/>
  <c r="R10" i="1"/>
  <c r="Z55" i="1"/>
  <c r="Z43" i="1"/>
  <c r="Z29" i="1"/>
  <c r="Z17" i="1"/>
  <c r="Y54" i="1"/>
  <c r="Y41" i="1"/>
  <c r="Y29" i="1"/>
  <c r="Y15" i="1"/>
  <c r="X53" i="1"/>
  <c r="X40" i="1"/>
  <c r="X27" i="1"/>
  <c r="X15" i="1"/>
  <c r="U49" i="1"/>
  <c r="U37" i="1"/>
  <c r="U23" i="1"/>
  <c r="U11" i="1"/>
  <c r="T48" i="1"/>
  <c r="T33" i="1"/>
  <c r="T16" i="1"/>
  <c r="S43" i="1"/>
  <c r="S23" i="1"/>
  <c r="Q47" i="1"/>
  <c r="Q35" i="1"/>
  <c r="Q21" i="1"/>
  <c r="Q9" i="1"/>
  <c r="R47" i="1"/>
  <c r="R34" i="1"/>
  <c r="R22" i="1"/>
  <c r="R8" i="1"/>
  <c r="Z53" i="1"/>
  <c r="Z28" i="1"/>
  <c r="Y53" i="1"/>
  <c r="Y27" i="1"/>
  <c r="X51" i="1"/>
  <c r="X39" i="1"/>
  <c r="X13" i="1"/>
  <c r="U47" i="1"/>
  <c r="U35" i="1"/>
  <c r="U22" i="1"/>
  <c r="U9" i="1"/>
  <c r="T47" i="1"/>
  <c r="T32" i="1"/>
  <c r="T13" i="1"/>
  <c r="S19" i="1"/>
  <c r="V10" i="1"/>
  <c r="V18" i="1"/>
  <c r="V26" i="1"/>
  <c r="V34" i="1"/>
  <c r="V42" i="1"/>
  <c r="V50" i="1"/>
  <c r="V14" i="1"/>
  <c r="V22" i="1"/>
  <c r="V30" i="1"/>
  <c r="V38" i="1"/>
  <c r="V46" i="1"/>
  <c r="V54" i="1"/>
  <c r="V8" i="1"/>
  <c r="V16" i="1"/>
  <c r="V24" i="1"/>
  <c r="V32" i="1"/>
  <c r="V40" i="1"/>
  <c r="V48" i="1"/>
  <c r="V56" i="1"/>
  <c r="V6" i="1"/>
  <c r="Q45" i="1"/>
  <c r="Q33" i="1"/>
  <c r="Q20" i="1"/>
  <c r="Q7" i="1"/>
  <c r="R46" i="1"/>
  <c r="R32" i="1"/>
  <c r="R20" i="1"/>
  <c r="R7" i="1"/>
  <c r="Z52" i="1"/>
  <c r="Z39" i="1"/>
  <c r="Z27" i="1"/>
  <c r="Z13" i="1"/>
  <c r="Y51" i="1"/>
  <c r="Y38" i="1"/>
  <c r="Y25" i="1"/>
  <c r="Y13" i="1"/>
  <c r="X49" i="1"/>
  <c r="X37" i="1"/>
  <c r="X24" i="1"/>
  <c r="X11" i="1"/>
  <c r="W49" i="1"/>
  <c r="W35" i="1"/>
  <c r="W23" i="1"/>
  <c r="W10" i="1"/>
  <c r="V47" i="1"/>
  <c r="V35" i="1"/>
  <c r="V21" i="1"/>
  <c r="V9" i="1"/>
  <c r="U46" i="1"/>
  <c r="U33" i="1"/>
  <c r="U21" i="1"/>
  <c r="T45" i="1"/>
  <c r="T31" i="1"/>
  <c r="T9" i="1"/>
  <c r="S39" i="1"/>
  <c r="U6" i="1"/>
  <c r="U55" i="1"/>
  <c r="U30" i="1"/>
  <c r="T55" i="1"/>
  <c r="T25" i="1"/>
  <c r="U41" i="1"/>
  <c r="T40" i="1"/>
  <c r="S7" i="1"/>
  <c r="S17" i="1"/>
  <c r="S25" i="1"/>
  <c r="S33" i="1"/>
  <c r="S41" i="1"/>
  <c r="S49" i="1"/>
  <c r="S9" i="1"/>
  <c r="S10" i="1"/>
  <c r="S11" i="1"/>
  <c r="S21" i="1"/>
  <c r="S29" i="1"/>
  <c r="S37" i="1"/>
  <c r="S45" i="1"/>
  <c r="S53" i="1"/>
  <c r="S13" i="1"/>
  <c r="R52" i="1"/>
  <c r="R26" i="1"/>
  <c r="R14" i="1"/>
  <c r="Z33" i="1"/>
  <c r="Z41" i="1"/>
  <c r="Z15" i="1"/>
  <c r="Y39" i="1"/>
  <c r="Y14" i="1"/>
  <c r="X25" i="1"/>
  <c r="S42" i="1"/>
  <c r="U12" i="1"/>
  <c r="U20" i="1"/>
  <c r="U28" i="1"/>
  <c r="U36" i="1"/>
  <c r="U44" i="1"/>
  <c r="U52" i="1"/>
  <c r="U8" i="1"/>
  <c r="U16" i="1"/>
  <c r="U24" i="1"/>
  <c r="U32" i="1"/>
  <c r="U40" i="1"/>
  <c r="U48" i="1"/>
  <c r="U56" i="1"/>
  <c r="U10" i="1"/>
  <c r="U18" i="1"/>
  <c r="U26" i="1"/>
  <c r="U34" i="1"/>
  <c r="U42" i="1"/>
  <c r="U50" i="1"/>
  <c r="Q6" i="1"/>
  <c r="Q44" i="1"/>
  <c r="Q31" i="1"/>
  <c r="Q19" i="1"/>
  <c r="R56" i="1"/>
  <c r="R44" i="1"/>
  <c r="R31" i="1"/>
  <c r="R18" i="1"/>
  <c r="S6" i="1"/>
  <c r="Z51" i="1"/>
  <c r="Z37" i="1"/>
  <c r="Z25" i="1"/>
  <c r="Z12" i="1"/>
  <c r="Y49" i="1"/>
  <c r="Y37" i="1"/>
  <c r="Y23" i="1"/>
  <c r="Y11" i="1"/>
  <c r="X48" i="1"/>
  <c r="X35" i="1"/>
  <c r="X23" i="1"/>
  <c r="X9" i="1"/>
  <c r="W47" i="1"/>
  <c r="W34" i="1"/>
  <c r="W21" i="1"/>
  <c r="V45" i="1"/>
  <c r="V33" i="1"/>
  <c r="V20" i="1"/>
  <c r="V7" i="1"/>
  <c r="U45" i="1"/>
  <c r="U31" i="1"/>
  <c r="U19" i="1"/>
  <c r="T56" i="1"/>
  <c r="T43" i="1"/>
  <c r="T29" i="1"/>
  <c r="T8" i="1"/>
  <c r="S35" i="1"/>
  <c r="S15" i="1"/>
  <c r="AA54" i="1"/>
  <c r="AA46" i="1"/>
  <c r="AA38" i="1"/>
  <c r="AA30" i="1"/>
  <c r="AA22" i="1"/>
  <c r="AA14" i="1"/>
  <c r="W54" i="1"/>
  <c r="W46" i="1"/>
  <c r="W38" i="1"/>
  <c r="W30" i="1"/>
  <c r="W22" i="1"/>
  <c r="W14" i="1"/>
  <c r="S54" i="1"/>
  <c r="S46" i="1"/>
  <c r="S38" i="1"/>
  <c r="S30" i="1"/>
  <c r="S22" i="1"/>
  <c r="S14" i="1"/>
  <c r="AA52" i="1"/>
  <c r="AA44" i="1"/>
  <c r="AA36" i="1"/>
  <c r="AA28" i="1"/>
  <c r="AA20" i="1"/>
  <c r="AA12" i="1"/>
  <c r="W52" i="1"/>
  <c r="W44" i="1"/>
  <c r="W36" i="1"/>
  <c r="W28" i="1"/>
  <c r="W20" i="1"/>
  <c r="W12" i="1"/>
  <c r="S52" i="1"/>
  <c r="S44" i="1"/>
  <c r="S36" i="1"/>
  <c r="S28" i="1"/>
  <c r="S20" i="1"/>
  <c r="S12" i="1"/>
  <c r="AA56" i="1"/>
  <c r="AA48" i="1"/>
  <c r="AA40" i="1"/>
  <c r="AA32" i="1"/>
  <c r="AA24" i="1"/>
  <c r="AA16" i="1"/>
  <c r="W56" i="1"/>
  <c r="W48" i="1"/>
  <c r="W40" i="1"/>
  <c r="W32" i="1"/>
  <c r="W24" i="1"/>
  <c r="W16" i="1"/>
  <c r="S56" i="1"/>
  <c r="S48" i="1"/>
  <c r="S40" i="1"/>
  <c r="S32" i="1"/>
  <c r="S24" i="1"/>
  <c r="S16" i="1"/>
  <c r="W2" i="1" l="1"/>
  <c r="Y2" i="1"/>
  <c r="P2" i="1"/>
  <c r="P3" i="1"/>
  <c r="R2" i="1"/>
  <c r="R3" i="1"/>
  <c r="X2" i="1"/>
  <c r="X3" i="1"/>
  <c r="W3" i="1"/>
  <c r="T3" i="1"/>
  <c r="T2" i="1"/>
  <c r="Y3" i="1"/>
  <c r="V2" i="1"/>
  <c r="V3" i="1"/>
  <c r="Z2" i="1"/>
  <c r="Z3" i="1"/>
  <c r="U3" i="1"/>
  <c r="U2" i="1"/>
  <c r="S3" i="1"/>
  <c r="S2" i="1"/>
  <c r="Q2" i="1"/>
  <c r="Q3" i="1"/>
  <c r="AA2" i="1"/>
  <c r="AA3" i="1"/>
  <c r="AD35" i="1" l="1"/>
  <c r="AC39" i="1"/>
  <c r="AD15" i="1"/>
  <c r="AC44" i="1"/>
  <c r="AD26" i="1"/>
  <c r="AD25" i="1"/>
  <c r="AD31" i="1"/>
  <c r="AD18" i="1"/>
  <c r="AC48" i="1"/>
  <c r="AD42" i="1"/>
  <c r="AD17" i="1"/>
  <c r="AD16" i="1"/>
  <c r="AD10" i="1"/>
  <c r="AD21" i="1"/>
  <c r="AD7" i="1"/>
  <c r="AD9" i="1"/>
  <c r="AD54" i="1"/>
  <c r="AC23" i="1"/>
  <c r="AD36" i="1"/>
  <c r="AD11" i="1"/>
  <c r="AD56" i="1"/>
  <c r="AD12" i="1"/>
  <c r="AD22" i="1"/>
  <c r="AC11" i="1"/>
  <c r="AC42" i="1"/>
  <c r="AD37" i="1"/>
  <c r="AD52" i="1"/>
  <c r="AC50" i="1"/>
  <c r="AC14" i="1"/>
  <c r="AD13" i="1"/>
  <c r="AD50" i="1"/>
  <c r="AD20" i="1"/>
  <c r="AD48" i="1"/>
  <c r="AD29" i="1"/>
  <c r="AD14" i="1"/>
  <c r="AD53" i="1"/>
  <c r="AC6" i="1"/>
  <c r="AC13" i="1"/>
  <c r="AE13" i="1" s="1"/>
  <c r="AD6" i="1"/>
  <c r="AD40" i="1"/>
  <c r="AD43" i="1"/>
  <c r="AC51" i="1"/>
  <c r="AC35" i="1"/>
  <c r="AE35" i="1" s="1"/>
  <c r="AD44" i="1"/>
  <c r="AE44" i="1" s="1"/>
  <c r="AC41" i="1"/>
  <c r="AD49" i="1"/>
  <c r="AD32" i="1"/>
  <c r="AD41" i="1"/>
  <c r="AD27" i="1"/>
  <c r="AD19" i="1"/>
  <c r="AC38" i="1"/>
  <c r="AC56" i="1"/>
  <c r="AD28" i="1"/>
  <c r="AD34" i="1"/>
  <c r="AC55" i="1"/>
  <c r="AD51" i="1"/>
  <c r="AD33" i="1"/>
  <c r="AD24" i="1"/>
  <c r="AC18" i="1"/>
  <c r="AC47" i="1"/>
  <c r="AC54" i="1"/>
  <c r="AE54" i="1" s="1"/>
  <c r="AC9" i="1"/>
  <c r="AC20" i="1"/>
  <c r="AC25" i="1"/>
  <c r="AC31" i="1"/>
  <c r="AC22" i="1"/>
  <c r="AC8" i="1"/>
  <c r="AC43" i="1"/>
  <c r="AE43" i="1" s="1"/>
  <c r="AC15" i="1"/>
  <c r="AE15" i="1" s="1"/>
  <c r="AC53" i="1"/>
  <c r="AE53" i="1" s="1"/>
  <c r="AC32" i="1"/>
  <c r="AE32" i="1" s="1"/>
  <c r="AC27" i="1"/>
  <c r="AE27" i="1" s="1"/>
  <c r="AC24" i="1"/>
  <c r="AC12" i="1"/>
  <c r="AC45" i="1"/>
  <c r="AC30" i="1"/>
  <c r="AC40" i="1"/>
  <c r="AC7" i="1"/>
  <c r="AC33" i="1"/>
  <c r="AE33" i="1" s="1"/>
  <c r="AC21" i="1"/>
  <c r="AC52" i="1"/>
  <c r="AC49" i="1"/>
  <c r="AC37" i="1"/>
  <c r="AE37" i="1" s="1"/>
  <c r="AC34" i="1"/>
  <c r="AC36" i="1"/>
  <c r="AE36" i="1" s="1"/>
  <c r="AC19" i="1"/>
  <c r="AE19" i="1" s="1"/>
  <c r="AD8" i="1"/>
  <c r="AD55" i="1"/>
  <c r="AD46" i="1"/>
  <c r="AC16" i="1"/>
  <c r="AC29" i="1"/>
  <c r="AE29" i="1" s="1"/>
  <c r="AC17" i="1"/>
  <c r="AE17" i="1" s="1"/>
  <c r="AC28" i="1"/>
  <c r="AC10" i="1"/>
  <c r="AE10" i="1" s="1"/>
  <c r="AD45" i="1"/>
  <c r="AD47" i="1"/>
  <c r="AD38" i="1"/>
  <c r="AD39" i="1"/>
  <c r="AE39" i="1" s="1"/>
  <c r="AD30" i="1"/>
  <c r="AC26" i="1"/>
  <c r="AC46" i="1"/>
  <c r="AD23" i="1"/>
  <c r="AE23" i="1" s="1"/>
  <c r="AE48" i="1"/>
  <c r="AE24" i="1" l="1"/>
  <c r="AE42" i="1"/>
  <c r="AE16" i="1"/>
  <c r="AF16" i="1" s="1"/>
  <c r="AE7" i="1"/>
  <c r="AE34" i="1"/>
  <c r="AF34" i="1" s="1"/>
  <c r="AE20" i="1"/>
  <c r="AF20" i="1" s="1"/>
  <c r="AE18" i="1"/>
  <c r="AF18" i="1" s="1"/>
  <c r="AE26" i="1"/>
  <c r="AG26" i="1" s="1"/>
  <c r="AE51" i="1"/>
  <c r="AG51" i="1" s="1"/>
  <c r="AE30" i="1"/>
  <c r="AG30" i="1" s="1"/>
  <c r="AE49" i="1"/>
  <c r="AG49" i="1" s="1"/>
  <c r="AE12" i="1"/>
  <c r="AF12" i="1" s="1"/>
  <c r="AE22" i="1"/>
  <c r="AG22" i="1" s="1"/>
  <c r="AE14" i="1"/>
  <c r="AF14" i="1" s="1"/>
  <c r="AE9" i="1"/>
  <c r="AG9" i="1" s="1"/>
  <c r="AE40" i="1"/>
  <c r="AG40" i="1" s="1"/>
  <c r="AE41" i="1"/>
  <c r="AG41" i="1" s="1"/>
  <c r="AE55" i="1"/>
  <c r="AF55" i="1" s="1"/>
  <c r="AE31" i="1"/>
  <c r="AG31" i="1" s="1"/>
  <c r="AE6" i="1"/>
  <c r="AG6" i="1" s="1"/>
  <c r="AE45" i="1"/>
  <c r="AF45" i="1" s="1"/>
  <c r="AE8" i="1"/>
  <c r="AG8" i="1" s="1"/>
  <c r="AE21" i="1"/>
  <c r="AF21" i="1" s="1"/>
  <c r="AE25" i="1"/>
  <c r="AF25" i="1" s="1"/>
  <c r="AF29" i="1"/>
  <c r="AG29" i="1"/>
  <c r="AF37" i="1"/>
  <c r="AG37" i="1"/>
  <c r="AF6" i="1"/>
  <c r="AG39" i="1"/>
  <c r="AF39" i="1"/>
  <c r="AG16" i="1"/>
  <c r="AE56" i="1"/>
  <c r="AG44" i="1"/>
  <c r="AF44" i="1"/>
  <c r="AG24" i="1"/>
  <c r="AF24" i="1"/>
  <c r="AF31" i="1"/>
  <c r="AG43" i="1"/>
  <c r="AF43" i="1"/>
  <c r="AG27" i="1"/>
  <c r="AF27" i="1"/>
  <c r="AF42" i="1"/>
  <c r="AG42" i="1"/>
  <c r="AE47" i="1"/>
  <c r="AF10" i="1"/>
  <c r="AG10" i="1"/>
  <c r="AG19" i="1"/>
  <c r="AF19" i="1"/>
  <c r="AG33" i="1"/>
  <c r="AF33" i="1"/>
  <c r="AG32" i="1"/>
  <c r="AF32" i="1"/>
  <c r="AG35" i="1"/>
  <c r="AF35" i="1"/>
  <c r="AG23" i="1"/>
  <c r="AF23" i="1"/>
  <c r="AG20" i="1"/>
  <c r="AE28" i="1"/>
  <c r="AF36" i="1"/>
  <c r="AG36" i="1"/>
  <c r="AG7" i="1"/>
  <c r="AF7" i="1"/>
  <c r="AF53" i="1"/>
  <c r="AG53" i="1"/>
  <c r="AE38" i="1"/>
  <c r="AE46" i="1"/>
  <c r="AG48" i="1"/>
  <c r="AF48" i="1"/>
  <c r="AG17" i="1"/>
  <c r="AF17" i="1"/>
  <c r="AG34" i="1"/>
  <c r="AG15" i="1"/>
  <c r="AF15" i="1"/>
  <c r="AF54" i="1"/>
  <c r="AG54" i="1"/>
  <c r="AF13" i="1"/>
  <c r="AG13" i="1"/>
  <c r="AE52" i="1"/>
  <c r="AE11" i="1"/>
  <c r="AE50" i="1"/>
  <c r="AF26" i="1" l="1"/>
  <c r="AG25" i="1"/>
  <c r="AG18" i="1"/>
  <c r="AG12" i="1"/>
  <c r="AF22" i="1"/>
  <c r="AF8" i="1"/>
  <c r="AF40" i="1"/>
  <c r="AF30" i="1"/>
  <c r="AG55" i="1"/>
  <c r="AF49" i="1"/>
  <c r="AF51" i="1"/>
  <c r="AF41" i="1"/>
  <c r="AF9" i="1"/>
  <c r="AG45" i="1"/>
  <c r="AG14" i="1"/>
  <c r="AG21" i="1"/>
  <c r="AG47" i="1"/>
  <c r="AF47" i="1"/>
  <c r="AG56" i="1"/>
  <c r="AF56" i="1"/>
  <c r="AG50" i="1"/>
  <c r="AF50" i="1"/>
  <c r="AF38" i="1"/>
  <c r="AG38" i="1"/>
  <c r="AG28" i="1"/>
  <c r="AF28" i="1"/>
  <c r="AG52" i="1"/>
  <c r="AF52" i="1"/>
  <c r="AF46" i="1"/>
  <c r="AG46" i="1"/>
  <c r="AG11" i="1"/>
  <c r="AF11" i="1"/>
  <c r="AE57" i="1"/>
  <c r="AK2" i="1" l="1"/>
  <c r="AG57" i="1"/>
  <c r="AF57" i="1"/>
</calcChain>
</file>

<file path=xl/sharedStrings.xml><?xml version="1.0" encoding="utf-8"?>
<sst xmlns="http://schemas.openxmlformats.org/spreadsheetml/2006/main" count="54" uniqueCount="23">
  <si>
    <t>MIN:</t>
  </si>
  <si>
    <t>MAX:</t>
  </si>
  <si>
    <t>Duration (ms)</t>
  </si>
  <si>
    <t>Popularity</t>
  </si>
  <si>
    <t>Danceability</t>
  </si>
  <si>
    <t>Energy</t>
  </si>
  <si>
    <t>Key</t>
  </si>
  <si>
    <t>Loudness</t>
  </si>
  <si>
    <t>Speechiness</t>
  </si>
  <si>
    <t>Acousticness</t>
  </si>
  <si>
    <t>Instrumentalness</t>
  </si>
  <si>
    <t>Liveness</t>
  </si>
  <si>
    <t>Valence</t>
  </si>
  <si>
    <t>Tempo</t>
  </si>
  <si>
    <t>DC0</t>
  </si>
  <si>
    <t>DC1</t>
  </si>
  <si>
    <t>Distancia a grupo más cercano</t>
  </si>
  <si>
    <t>Nuevos centroides</t>
  </si>
  <si>
    <t>Dato</t>
  </si>
  <si>
    <t>Min</t>
  </si>
  <si>
    <t>Max</t>
  </si>
  <si>
    <t>C0</t>
  </si>
  <si>
    <t>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</si>
</sst>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B3B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14" fillId="0" borderId="0" xfId="0" applyFont="1"/>
    <xf numFmtId="164" fontId="0" fillId="0" borderId="0" xfId="0" applyNumberFormat="1"/>
    <xf numFmtId="0" fontId="0" fillId="0" borderId="10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64" fontId="0" fillId="0" borderId="14" xfId="0" applyNumberFormat="1" applyBorder="1"/>
    <xf numFmtId="164" fontId="0" fillId="0" borderId="16" xfId="0" applyNumberFormat="1" applyBorder="1"/>
    <xf numFmtId="164" fontId="0" fillId="0" borderId="17" xfId="0" applyNumberFormat="1" applyBorder="1"/>
    <xf numFmtId="0" fontId="18" fillId="33" borderId="11" xfId="0" applyFont="1" applyFill="1" applyBorder="1"/>
    <xf numFmtId="0" fontId="18" fillId="33" borderId="12" xfId="0" applyFont="1" applyFill="1" applyBorder="1"/>
    <xf numFmtId="0" fontId="0" fillId="35" borderId="0" xfId="0" applyFill="1"/>
    <xf numFmtId="0" fontId="0" fillId="35" borderId="14" xfId="0" applyFill="1" applyBorder="1"/>
    <xf numFmtId="164" fontId="0" fillId="33" borderId="0" xfId="0" applyNumberFormat="1" applyFill="1"/>
    <xf numFmtId="164" fontId="0" fillId="35" borderId="0" xfId="0" applyNumberFormat="1" applyFill="1"/>
    <xf numFmtId="0" fontId="0" fillId="36" borderId="0" xfId="0" applyFill="1"/>
    <xf numFmtId="0" fontId="17" fillId="34" borderId="0" xfId="0" applyFont="1" applyFill="1"/>
    <xf numFmtId="0" fontId="0" fillId="0" borderId="0" xfId="0" applyAlignment="1">
      <alignment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9" xfId="0" applyBorder="1"/>
    <xf numFmtId="0" fontId="0" fillId="0" borderId="20" xfId="0" applyBorder="1"/>
    <xf numFmtId="0" fontId="0" fillId="0" borderId="21" xfId="0" applyBorder="1" applyAlignment="1">
      <alignment horizontal="center" vertical="center" wrapText="1"/>
    </xf>
    <xf numFmtId="0" fontId="0" fillId="37" borderId="0" xfId="0" applyFill="1" applyBorder="1" applyAlignment="1">
      <alignment horizontal="center" vertical="center" wrapText="1"/>
    </xf>
    <xf numFmtId="0" fontId="0" fillId="33" borderId="0" xfId="0" applyFill="1" applyBorder="1"/>
    <xf numFmtId="0" fontId="0" fillId="33" borderId="22" xfId="0" applyFill="1" applyBorder="1"/>
    <xf numFmtId="0" fontId="0" fillId="0" borderId="23" xfId="0" applyBorder="1" applyAlignment="1">
      <alignment horizontal="center" vertical="center" wrapText="1"/>
    </xf>
    <xf numFmtId="0" fontId="17" fillId="34" borderId="24" xfId="0" applyFont="1" applyFill="1" applyBorder="1" applyAlignment="1">
      <alignment horizontal="center"/>
    </xf>
    <xf numFmtId="0" fontId="0" fillId="35" borderId="24" xfId="0" applyFill="1" applyBorder="1"/>
    <xf numFmtId="0" fontId="0" fillId="35" borderId="25" xfId="0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"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</dxfs>
  <tableStyles count="0" defaultTableStyle="TableStyleMedium2" defaultPivotStyle="PivotStyleLight16"/>
  <colors>
    <mruColors>
      <color rgb="FFFF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7"/>
  <sheetViews>
    <sheetView tabSelected="1" topLeftCell="M1" zoomScale="71" zoomScaleNormal="70" workbookViewId="0">
      <selection activeCell="AI6" sqref="AI6"/>
    </sheetView>
  </sheetViews>
  <sheetFormatPr baseColWidth="10" defaultRowHeight="14.4" x14ac:dyDescent="0.3"/>
  <cols>
    <col min="2" max="9" width="11.6640625" bestFit="1" customWidth="1"/>
    <col min="10" max="10" width="15" bestFit="1" customWidth="1"/>
    <col min="11" max="12" width="11.77734375" bestFit="1" customWidth="1"/>
    <col min="13" max="13" width="11.88671875" bestFit="1" customWidth="1"/>
    <col min="15" max="15" width="11.6640625" bestFit="1" customWidth="1"/>
    <col min="16" max="23" width="12.44140625" bestFit="1" customWidth="1"/>
    <col min="24" max="24" width="15.109375" bestFit="1" customWidth="1"/>
    <col min="25" max="27" width="12.44140625" bestFit="1" customWidth="1"/>
    <col min="29" max="29" width="12.33203125" bestFit="1" customWidth="1"/>
    <col min="30" max="30" width="12.44140625" bestFit="1" customWidth="1"/>
    <col min="31" max="31" width="31" bestFit="1" customWidth="1"/>
    <col min="32" max="32" width="11.6640625" bestFit="1" customWidth="1"/>
    <col min="33" max="33" width="16.21875" bestFit="1" customWidth="1"/>
    <col min="34" max="34" width="16.21875" customWidth="1"/>
    <col min="35" max="35" width="11.6640625" bestFit="1" customWidth="1"/>
    <col min="36" max="36" width="11.6640625" customWidth="1"/>
    <col min="37" max="39" width="11.6640625" bestFit="1" customWidth="1"/>
    <col min="40" max="40" width="14.77734375" bestFit="1" customWidth="1"/>
  </cols>
  <sheetData>
    <row r="1" spans="1:48" ht="29.4" customHeight="1" thickBot="1" x14ac:dyDescent="0.35">
      <c r="AI1" s="21" t="s">
        <v>17</v>
      </c>
      <c r="AJ1" s="22" t="s">
        <v>18</v>
      </c>
      <c r="AK1" s="23" t="s">
        <v>2</v>
      </c>
      <c r="AL1" s="23" t="s">
        <v>3</v>
      </c>
      <c r="AM1" s="23" t="s">
        <v>4</v>
      </c>
      <c r="AN1" s="23" t="s">
        <v>5</v>
      </c>
      <c r="AO1" s="23" t="s">
        <v>6</v>
      </c>
      <c r="AP1" s="23" t="s">
        <v>7</v>
      </c>
      <c r="AQ1" s="23" t="s">
        <v>8</v>
      </c>
      <c r="AR1" s="23" t="s">
        <v>9</v>
      </c>
      <c r="AS1" s="23" t="s">
        <v>10</v>
      </c>
      <c r="AT1" s="23" t="s">
        <v>11</v>
      </c>
      <c r="AU1" s="23" t="s">
        <v>12</v>
      </c>
      <c r="AV1" s="24" t="s">
        <v>13</v>
      </c>
    </row>
    <row r="2" spans="1:48" ht="14.4" customHeight="1" x14ac:dyDescent="0.3">
      <c r="A2" s="3" t="s">
        <v>0</v>
      </c>
      <c r="B2" s="12">
        <f>MIN(B6:B56)</f>
        <v>142840</v>
      </c>
      <c r="C2" s="12">
        <f t="shared" ref="C2:M2" si="0">MIN(C6:C56)</f>
        <v>40</v>
      </c>
      <c r="D2" s="12">
        <f t="shared" si="0"/>
        <v>0.23599999999999999</v>
      </c>
      <c r="E2" s="12">
        <f t="shared" si="0"/>
        <v>7.8899999999999998E-2</v>
      </c>
      <c r="F2" s="12">
        <f t="shared" si="0"/>
        <v>0</v>
      </c>
      <c r="G2" s="12">
        <f t="shared" si="0"/>
        <v>-13.988</v>
      </c>
      <c r="H2" s="12">
        <f t="shared" si="0"/>
        <v>2.5600000000000001E-2</v>
      </c>
      <c r="I2" s="12">
        <f t="shared" si="0"/>
        <v>1.65E-3</v>
      </c>
      <c r="J2" s="12">
        <f t="shared" si="0"/>
        <v>0</v>
      </c>
      <c r="K2" s="12">
        <f t="shared" si="0"/>
        <v>4.4600000000000001E-2</v>
      </c>
      <c r="L2" s="12">
        <f t="shared" si="0"/>
        <v>9.9900000000000003E-2</v>
      </c>
      <c r="M2" s="12">
        <f t="shared" si="0"/>
        <v>69.045000000000002</v>
      </c>
      <c r="O2" s="3" t="s">
        <v>0</v>
      </c>
      <c r="P2" s="12">
        <f>MIN(P6:P56)</f>
        <v>0</v>
      </c>
      <c r="Q2" s="12">
        <f t="shared" ref="Q2:AA2" si="1">MIN(Q6:Q56)</f>
        <v>0</v>
      </c>
      <c r="R2" s="12">
        <f t="shared" si="1"/>
        <v>0</v>
      </c>
      <c r="S2" s="12">
        <f t="shared" si="1"/>
        <v>0</v>
      </c>
      <c r="T2" s="12">
        <f t="shared" si="1"/>
        <v>0</v>
      </c>
      <c r="U2" s="12">
        <f t="shared" si="1"/>
        <v>0</v>
      </c>
      <c r="V2" s="12">
        <f t="shared" si="1"/>
        <v>0</v>
      </c>
      <c r="W2" s="12">
        <f t="shared" si="1"/>
        <v>0</v>
      </c>
      <c r="X2" s="12">
        <f t="shared" si="1"/>
        <v>0</v>
      </c>
      <c r="Y2" s="12">
        <f t="shared" si="1"/>
        <v>0</v>
      </c>
      <c r="Z2" s="12">
        <f t="shared" si="1"/>
        <v>0</v>
      </c>
      <c r="AA2" s="13">
        <f t="shared" si="1"/>
        <v>0</v>
      </c>
      <c r="AI2" s="25"/>
      <c r="AJ2" s="26" t="s">
        <v>19</v>
      </c>
      <c r="AK2" s="27">
        <f>(SUMPRODUCT(P6:P56,$AF$6:$AF$56)+P2)/($AF$57+1)</f>
        <v>0.39292103294304903</v>
      </c>
      <c r="AL2" s="27">
        <f t="shared" ref="AL2:AV2" si="2">(SUMPRODUCT(Q6:Q56,$AF$6:$AF$56)+Q2)/($AF$57+1)</f>
        <v>0.30580645161290343</v>
      </c>
      <c r="AM2" s="27">
        <f t="shared" si="2"/>
        <v>0.52718367346938766</v>
      </c>
      <c r="AN2" s="27">
        <f t="shared" si="2"/>
        <v>0.46672279963162727</v>
      </c>
      <c r="AO2" s="27">
        <f t="shared" si="2"/>
        <v>0.59636363636363632</v>
      </c>
      <c r="AP2" s="27">
        <f t="shared" si="2"/>
        <v>0.56480233965308602</v>
      </c>
      <c r="AQ2" s="27">
        <f t="shared" si="2"/>
        <v>0.19294573643410845</v>
      </c>
      <c r="AR2" s="27">
        <f t="shared" si="2"/>
        <v>0.55670867230286591</v>
      </c>
      <c r="AS2" s="27">
        <f t="shared" si="2"/>
        <v>4.9150797342192687E-2</v>
      </c>
      <c r="AT2" s="27">
        <f t="shared" si="2"/>
        <v>0.13084101382488478</v>
      </c>
      <c r="AU2" s="27">
        <f t="shared" si="2"/>
        <v>0.39033114701647748</v>
      </c>
      <c r="AV2" s="28">
        <f t="shared" si="2"/>
        <v>0.43308656125452605</v>
      </c>
    </row>
    <row r="3" spans="1:48" x14ac:dyDescent="0.3">
      <c r="A3" s="4" t="s">
        <v>1</v>
      </c>
      <c r="B3" s="14">
        <f>MAX(B6:B56)</f>
        <v>352687</v>
      </c>
      <c r="C3" s="14">
        <f t="shared" ref="C3:M3" si="3">MAX(C6:C56)</f>
        <v>71</v>
      </c>
      <c r="D3" s="14">
        <f t="shared" si="3"/>
        <v>0.72599999999999998</v>
      </c>
      <c r="E3" s="14">
        <f t="shared" si="3"/>
        <v>0.83899999999999997</v>
      </c>
      <c r="F3" s="14">
        <f t="shared" si="3"/>
        <v>11</v>
      </c>
      <c r="G3" s="14">
        <f t="shared" si="3"/>
        <v>-4.0720000000000001</v>
      </c>
      <c r="H3" s="14">
        <f t="shared" si="3"/>
        <v>0.10299999999999999</v>
      </c>
      <c r="I3" s="14">
        <f t="shared" si="3"/>
        <v>0.94199999999999995</v>
      </c>
      <c r="J3" s="14">
        <f t="shared" si="3"/>
        <v>6.0199999999999997E-2</v>
      </c>
      <c r="K3" s="14">
        <f t="shared" si="3"/>
        <v>0.73899999999999999</v>
      </c>
      <c r="L3" s="14">
        <f>MAX(L6:L56)</f>
        <v>0.72499999999999998</v>
      </c>
      <c r="M3" s="15">
        <f t="shared" si="3"/>
        <v>184.21199999999999</v>
      </c>
      <c r="O3" s="4" t="s">
        <v>1</v>
      </c>
      <c r="P3" s="14">
        <f>MAX(P6:P56)</f>
        <v>1</v>
      </c>
      <c r="Q3" s="14">
        <f t="shared" ref="Q3:AA3" si="4">MAX(Q6:Q56)</f>
        <v>1</v>
      </c>
      <c r="R3" s="14">
        <f t="shared" si="4"/>
        <v>1</v>
      </c>
      <c r="S3" s="14">
        <f t="shared" si="4"/>
        <v>1</v>
      </c>
      <c r="T3" s="14">
        <f t="shared" si="4"/>
        <v>1</v>
      </c>
      <c r="U3" s="14">
        <f t="shared" si="4"/>
        <v>1</v>
      </c>
      <c r="V3" s="14">
        <f t="shared" si="4"/>
        <v>1</v>
      </c>
      <c r="W3" s="14">
        <f t="shared" si="4"/>
        <v>1</v>
      </c>
      <c r="X3" s="14">
        <f t="shared" si="4"/>
        <v>1</v>
      </c>
      <c r="Y3" s="14">
        <f t="shared" si="4"/>
        <v>1</v>
      </c>
      <c r="Z3" s="14">
        <f t="shared" si="4"/>
        <v>1</v>
      </c>
      <c r="AA3" s="15">
        <f t="shared" si="4"/>
        <v>1</v>
      </c>
      <c r="AC3" s="1"/>
      <c r="AI3" s="29"/>
      <c r="AJ3" s="30" t="s">
        <v>20</v>
      </c>
      <c r="AK3" s="31">
        <f>(SUMPRODUCT(P6:P56,$AG$6:$AG$56)+P3)/($AG$57+1)</f>
        <v>0.67322064805945914</v>
      </c>
      <c r="AL3" s="31">
        <f t="shared" ref="AL3:AV3" si="5">(SUMPRODUCT(Q6:Q56,$AG$6:$AG$56)+Q3)/($AG$57+1)</f>
        <v>0.967741935483871</v>
      </c>
      <c r="AM3" s="31">
        <f t="shared" si="5"/>
        <v>0.55646258503401358</v>
      </c>
      <c r="AN3" s="31">
        <f t="shared" si="5"/>
        <v>0.94869096171556377</v>
      </c>
      <c r="AO3" s="31">
        <f t="shared" si="5"/>
        <v>0.81818181818181823</v>
      </c>
      <c r="AP3" s="31">
        <f t="shared" si="5"/>
        <v>0.86893236520102179</v>
      </c>
      <c r="AQ3" s="31">
        <f t="shared" si="5"/>
        <v>0.92161929371231699</v>
      </c>
      <c r="AR3" s="31">
        <f t="shared" si="5"/>
        <v>0.54626823345917297</v>
      </c>
      <c r="AS3" s="31">
        <f t="shared" si="5"/>
        <v>0.33352823920265778</v>
      </c>
      <c r="AT3" s="31">
        <f t="shared" si="5"/>
        <v>0.37740015360983103</v>
      </c>
      <c r="AU3" s="31">
        <f t="shared" si="5"/>
        <v>0.5771343251746387</v>
      </c>
      <c r="AV3" s="32">
        <f t="shared" si="5"/>
        <v>0.87432453162219514</v>
      </c>
    </row>
    <row r="4" spans="1:48" x14ac:dyDescent="0.3">
      <c r="A4" s="4"/>
      <c r="M4" s="5"/>
      <c r="O4" s="4"/>
      <c r="AA4" s="5"/>
      <c r="AI4" s="20"/>
    </row>
    <row r="5" spans="1:48" x14ac:dyDescent="0.3">
      <c r="A5" s="4"/>
      <c r="B5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s="5" t="s">
        <v>13</v>
      </c>
      <c r="O5" s="4"/>
      <c r="P5" t="s">
        <v>2</v>
      </c>
      <c r="Q5" t="s">
        <v>3</v>
      </c>
      <c r="R5" t="s">
        <v>4</v>
      </c>
      <c r="S5" t="s">
        <v>5</v>
      </c>
      <c r="T5" t="s">
        <v>6</v>
      </c>
      <c r="U5" t="s">
        <v>7</v>
      </c>
      <c r="V5" t="s">
        <v>8</v>
      </c>
      <c r="W5" t="s">
        <v>9</v>
      </c>
      <c r="X5" t="s">
        <v>10</v>
      </c>
      <c r="Y5" t="s">
        <v>11</v>
      </c>
      <c r="Z5" t="s">
        <v>12</v>
      </c>
      <c r="AA5" s="5" t="s">
        <v>13</v>
      </c>
      <c r="AC5" s="18" t="s">
        <v>14</v>
      </c>
      <c r="AD5" s="19" t="s">
        <v>15</v>
      </c>
      <c r="AE5" t="s">
        <v>16</v>
      </c>
      <c r="AF5" s="18" t="s">
        <v>21</v>
      </c>
      <c r="AG5" s="19" t="s">
        <v>22</v>
      </c>
      <c r="AI5" s="18" t="s">
        <v>14</v>
      </c>
      <c r="AJ5" s="19" t="s">
        <v>15</v>
      </c>
      <c r="AK5" t="s">
        <v>16</v>
      </c>
      <c r="AL5" s="18" t="s">
        <v>21</v>
      </c>
      <c r="AM5" s="19" t="s">
        <v>22</v>
      </c>
    </row>
    <row r="6" spans="1:48" x14ac:dyDescent="0.3">
      <c r="A6" s="4"/>
      <c r="B6">
        <v>265306</v>
      </c>
      <c r="C6">
        <v>60</v>
      </c>
      <c r="D6">
        <v>0.45200000000000001</v>
      </c>
      <c r="E6">
        <v>0.32900000000000001</v>
      </c>
      <c r="F6">
        <v>8</v>
      </c>
      <c r="G6">
        <v>-12.382</v>
      </c>
      <c r="H6">
        <v>4.2500000000000003E-2</v>
      </c>
      <c r="I6">
        <v>0.94199999999999995</v>
      </c>
      <c r="J6">
        <v>1.2800000000000001E-3</v>
      </c>
      <c r="K6">
        <v>9.7900000000000001E-2</v>
      </c>
      <c r="L6">
        <v>0.19800000000000001</v>
      </c>
      <c r="M6" s="5">
        <v>82.766999999999996</v>
      </c>
      <c r="O6" s="4"/>
      <c r="P6" s="2">
        <f>(B6 - $B$2)/($B$3 - $B$2)</f>
        <v>0.58359662039485916</v>
      </c>
      <c r="Q6" s="2">
        <f t="shared" ref="Q6:Q37" si="6">(C6 - $C$2)/($C$3 - $C$2)</f>
        <v>0.64516129032258063</v>
      </c>
      <c r="R6" s="2">
        <f t="shared" ref="R6:R37" si="7">(D6 - $D$2)/($D$3 - $D$2)</f>
        <v>0.44081632653061231</v>
      </c>
      <c r="S6" s="2">
        <f t="shared" ref="S6:S37" si="8">(E6 - $E$2)/($E$3- $E$2)</f>
        <v>0.32903565320352585</v>
      </c>
      <c r="T6" s="2">
        <f t="shared" ref="T6:T37" si="9">(F6 - $F$2)/($F$3- $F$2)</f>
        <v>0.72727272727272729</v>
      </c>
      <c r="U6" s="2">
        <f t="shared" ref="U6:U37" si="10">(G6 - $G$2)/($G$3- $G$2)</f>
        <v>0.16196046793061716</v>
      </c>
      <c r="V6" s="2">
        <f t="shared" ref="V6:V37" si="11">(H6 - $H$2)/($H$3- $H$2)</f>
        <v>0.2183462532299742</v>
      </c>
      <c r="W6" s="2">
        <f t="shared" ref="W6:W37" si="12">(I6 - $I$2)/($I$3- $I$2)</f>
        <v>1</v>
      </c>
      <c r="X6" s="2">
        <f t="shared" ref="X6:X37" si="13">(J6 - $J$2)/($J$3- $J$2)</f>
        <v>2.1262458471760802E-2</v>
      </c>
      <c r="Y6" s="2">
        <f t="shared" ref="Y6:Y37" si="14">(K6 - $K$2)/($K$3- $K$2)</f>
        <v>7.6756912442396311E-2</v>
      </c>
      <c r="Z6" s="2">
        <f t="shared" ref="Z6:Z37" si="15">(L6 - $L$2)/($L$3- $L$2)</f>
        <v>0.1569348904175332</v>
      </c>
      <c r="AA6" s="9">
        <f t="shared" ref="AA6:AA37" si="16">(M6 - $M$2)/($M$3- $M$2)</f>
        <v>0.11914871447550075</v>
      </c>
      <c r="AB6" s="2"/>
      <c r="AC6" s="16">
        <f>SQRT(
($P$2 - P6)^2 +
($Q$2 -Q6)^2 +
($R$2 - R6)^2 +
($S$2 - S6)^2 +
($T$2 - T6)^2 +
($U$2 - U6)^2 +
($V$2 - V6)^2 +
($W$2 - W6)^2 +
($X$2 - X6)^2 +
($Y$2 - Y6)^2 +
($Z$2 - Z6)^2 +
($AA$2 - AA6)^2)</f>
        <v>1.645418546063</v>
      </c>
      <c r="AD6" s="17">
        <f>SQRT(
($P$3 - P6)^2 +
($Q$3 -Q6)^2 +
($R$3 - R6)^2 +
($S$3 - S6)^2 +
($T$3 - T6)^2 +
($U$3 - U6)^2 +
($V$3 - V6)^2 +
($W$3 - W6)^2 +
($X$3 - X6)^2 +
($Y$3 - Y6)^2 +
($Z$3 - Z6)^2 +
($AA$3 - AA6)^2)</f>
        <v>2.3972520856897592</v>
      </c>
      <c r="AE6" s="2">
        <f>MIN(AC6:AD6)</f>
        <v>1.645418546063</v>
      </c>
      <c r="AF6">
        <f>IF(AE6=AC6,1,0)</f>
        <v>1</v>
      </c>
      <c r="AG6">
        <f>IF(AE6=AD6,1,0)</f>
        <v>0</v>
      </c>
      <c r="AI6" s="16">
        <f>SQRT(
($P$2 - P6)^2 +
($Q$2 -Q6)^2 +
($R$2 - R6)^2 +
($S$2 - S6)^2 +
($T$2 - T6)^2 +
($U$2 - U6)^2 +
($V$2 - V6)^2 +
($W$2 - W6)^2 +
($X$2 - X6)^2 +
($Y$2 - Y6)^2 +
($Z$2 - Z6)^2 +
($AA$2 - AA6)^2)</f>
        <v>1.645418546063</v>
      </c>
      <c r="AJ6" s="17">
        <f>SQRT(
($P$3 - V6)^2 +
($Q$3 -W6)^2 +
($R$3 - X6)^2 +
($S$3 - Y6)^2 +
($T$3 - Z6)^2 +
($U$3 - AA6)^2 +
($V$3 - AB6)^2 +
($W$3 - AC6)^2 +
($X$3 - AD6)^2 +
($Y$3 - AE6)^2 +
($Z$3 - AF6)^2 +
($AA$3 - AG6)^2)</f>
        <v>2.948455343079365</v>
      </c>
      <c r="AK6" s="2">
        <f>MIN(AI6:AJ6)</f>
        <v>1.645418546063</v>
      </c>
      <c r="AL6">
        <f>IF(AK6=AI6,1,0)</f>
        <v>1</v>
      </c>
      <c r="AM6">
        <f>IF(AK6=AJ6,1,0)</f>
        <v>0</v>
      </c>
    </row>
    <row r="7" spans="1:48" x14ac:dyDescent="0.3">
      <c r="A7" s="4"/>
      <c r="B7">
        <v>268653</v>
      </c>
      <c r="C7">
        <v>71</v>
      </c>
      <c r="D7">
        <v>0.29699999999999999</v>
      </c>
      <c r="E7">
        <v>0.83899999999999997</v>
      </c>
      <c r="F7">
        <v>7</v>
      </c>
      <c r="G7">
        <v>-4.4480000000000004</v>
      </c>
      <c r="H7">
        <v>8.48E-2</v>
      </c>
      <c r="I7">
        <v>0.39900000000000002</v>
      </c>
      <c r="J7">
        <v>0</v>
      </c>
      <c r="K7">
        <v>9.6500000000000002E-2</v>
      </c>
      <c r="L7">
        <v>0.30299999999999999</v>
      </c>
      <c r="M7" s="5">
        <v>152.99700000000001</v>
      </c>
      <c r="O7" s="4"/>
      <c r="P7" s="2">
        <f t="shared" ref="P7:P56" si="17">(B7 - $B$2)/($B$3 - $B$2)</f>
        <v>0.59954633614014019</v>
      </c>
      <c r="Q7" s="2">
        <f t="shared" si="6"/>
        <v>1</v>
      </c>
      <c r="R7" s="2">
        <f t="shared" si="7"/>
        <v>0.12448979591836734</v>
      </c>
      <c r="S7" s="2">
        <f t="shared" si="8"/>
        <v>1</v>
      </c>
      <c r="T7" s="2">
        <f t="shared" si="9"/>
        <v>0.63636363636363635</v>
      </c>
      <c r="U7" s="2">
        <f t="shared" si="10"/>
        <v>0.962081484469544</v>
      </c>
      <c r="V7" s="2">
        <f t="shared" si="11"/>
        <v>0.76485788113695097</v>
      </c>
      <c r="W7" s="2">
        <f t="shared" si="12"/>
        <v>0.42255543148827573</v>
      </c>
      <c r="X7" s="2">
        <f t="shared" si="13"/>
        <v>0</v>
      </c>
      <c r="Y7" s="2">
        <f t="shared" si="14"/>
        <v>7.4740783410138248E-2</v>
      </c>
      <c r="Z7" s="2">
        <f t="shared" si="15"/>
        <v>0.32490801471764519</v>
      </c>
      <c r="AA7" s="9">
        <f t="shared" si="16"/>
        <v>0.72895881632759407</v>
      </c>
      <c r="AB7" s="2"/>
      <c r="AC7" s="16">
        <f t="shared" ref="AC7:AC56" si="18">SQRT(
($P$2 - P7)^2 +
($Q$2 -Q7)^2 +
($R$2 - R7)^2 +
($S$2 - S7)^2 +
($T$2 - T7)^2 +
($U$2 - U7)^2 +
($V$2 - V7)^2 +
($W$2 - W7)^2 +
($X$2 - X7)^2 +
($Y$2 - Y7)^2 +
($Z$2 - Z7)^2 +
($AA$2 - AA7)^2)</f>
        <v>2.2608861113651288</v>
      </c>
      <c r="AD7" s="17">
        <f t="shared" ref="AD7:AD56" si="19">SQRT(
($P$3 - P7)^2 +
($Q$3 -Q7)^2 +
($R$3 - R7)^2 +
($S$3 - S7)^2 +
($T$3 - T7)^2 +
($U$3 - U7)^2 +
($V$3 - V7)^2 +
($W$3 - W7)^2 +
($X$3 - X7)^2 +
($Y$3 - Y7)^2 +
($Z$3 - Z7)^2 +
($AA$3 - AA7)^2)</f>
        <v>1.9582138924589287</v>
      </c>
      <c r="AE7" s="2">
        <f t="shared" ref="AE7:AE56" si="20">MIN(AC7:AD7)</f>
        <v>1.9582138924589287</v>
      </c>
      <c r="AF7">
        <f t="shared" ref="AF7:AF56" si="21">IF(AE7=AC7,1,0)</f>
        <v>0</v>
      </c>
      <c r="AG7">
        <f t="shared" ref="AG7:AG56" si="22">IF(AE7=AD7,1,0)</f>
        <v>1</v>
      </c>
      <c r="AI7" s="16">
        <f t="shared" ref="AI7:AI56" si="23">SQRT(
($P$2 - V7)^2 +
($Q$2 -W7)^2 +
($R$2 - X7)^2 +
($S$2 - Y7)^2 +
($T$2 - Z7)^2 +
($U$2 - AA7)^2 +
($V$2 - AB7)^2 +
($W$2 - AC7)^2 +
($X$2 - AD7)^2 +
($Y$2 - AE7)^2 +
($Z$2 - AF7)^2 +
($AA$2 - AG7)^2)</f>
        <v>3.8970376358785437</v>
      </c>
      <c r="AJ7" s="17">
        <f t="shared" ref="AJ7:AJ56" si="24">SQRT(
($P$3 - V7)^2 +
($Q$3 -W7)^2 +
($R$3 - X7)^2 +
($S$3 - Y7)^2 +
($T$3 - Z7)^2 +
($U$3 - AA7)^2 +
($V$3 - AB7)^2 +
($W$3 - AC7)^2 +
($X$3 - AD7)^2 +
($Y$3 - AE7)^2 +
($Z$3 - AF7)^2 +
($AA$3 - AG7)^2)</f>
        <v>2.863604841581088</v>
      </c>
      <c r="AK7" s="2">
        <f t="shared" ref="AK7:AK56" si="25">MIN(AI7:AJ7)</f>
        <v>2.863604841581088</v>
      </c>
      <c r="AL7">
        <f t="shared" ref="AL7:AL56" si="26">IF(AK7=AI7,1,0)</f>
        <v>0</v>
      </c>
      <c r="AM7">
        <f t="shared" ref="AM7:AM56" si="27">IF(AK7=AJ7,1,0)</f>
        <v>1</v>
      </c>
    </row>
    <row r="8" spans="1:48" x14ac:dyDescent="0.3">
      <c r="A8" s="4"/>
      <c r="B8">
        <v>231000</v>
      </c>
      <c r="C8">
        <v>68</v>
      </c>
      <c r="D8">
        <v>0.503</v>
      </c>
      <c r="E8">
        <v>0.72199999999999998</v>
      </c>
      <c r="F8">
        <v>9</v>
      </c>
      <c r="G8">
        <v>-7.5949999999999998</v>
      </c>
      <c r="H8">
        <v>0.10299999999999999</v>
      </c>
      <c r="I8">
        <v>0.20499999999999999</v>
      </c>
      <c r="J8">
        <v>3.5200000000000002E-5</v>
      </c>
      <c r="K8">
        <v>8.4500000000000006E-2</v>
      </c>
      <c r="L8">
        <v>0.35399999999999998</v>
      </c>
      <c r="M8" s="5">
        <v>172.006</v>
      </c>
      <c r="O8" s="4"/>
      <c r="P8" s="2">
        <f t="shared" si="17"/>
        <v>0.42011560803823739</v>
      </c>
      <c r="Q8" s="2">
        <f t="shared" si="6"/>
        <v>0.90322580645161288</v>
      </c>
      <c r="R8" s="2">
        <f t="shared" si="7"/>
        <v>0.54489795918367356</v>
      </c>
      <c r="S8" s="2">
        <f t="shared" si="8"/>
        <v>0.84607288514669121</v>
      </c>
      <c r="T8" s="2">
        <f t="shared" si="9"/>
        <v>0.81818181818181823</v>
      </c>
      <c r="U8" s="2">
        <f t="shared" si="10"/>
        <v>0.64471561113352149</v>
      </c>
      <c r="V8" s="2">
        <f t="shared" si="11"/>
        <v>1</v>
      </c>
      <c r="W8" s="2">
        <f t="shared" si="12"/>
        <v>0.21624926888924337</v>
      </c>
      <c r="X8" s="2">
        <f t="shared" si="13"/>
        <v>5.8471760797342194E-4</v>
      </c>
      <c r="Y8" s="2">
        <f t="shared" si="14"/>
        <v>5.7459677419354843E-2</v>
      </c>
      <c r="Z8" s="2">
        <f t="shared" si="15"/>
        <v>0.40649496080627101</v>
      </c>
      <c r="AA8" s="9">
        <f t="shared" si="16"/>
        <v>0.89401477853899125</v>
      </c>
      <c r="AB8" s="2"/>
      <c r="AC8" s="16">
        <f t="shared" si="18"/>
        <v>2.2593612109242343</v>
      </c>
      <c r="AD8" s="17">
        <f t="shared" si="19"/>
        <v>1.897547601151087</v>
      </c>
      <c r="AE8" s="2">
        <f t="shared" si="20"/>
        <v>1.897547601151087</v>
      </c>
      <c r="AF8">
        <f t="shared" si="21"/>
        <v>0</v>
      </c>
      <c r="AG8">
        <f t="shared" si="22"/>
        <v>1</v>
      </c>
      <c r="AI8" s="16">
        <f t="shared" si="23"/>
        <v>3.9141605944089055</v>
      </c>
      <c r="AJ8" s="17">
        <f t="shared" si="24"/>
        <v>2.8393896396667704</v>
      </c>
      <c r="AK8" s="2">
        <f t="shared" si="25"/>
        <v>2.8393896396667704</v>
      </c>
      <c r="AL8">
        <f t="shared" si="26"/>
        <v>0</v>
      </c>
      <c r="AM8">
        <f t="shared" si="27"/>
        <v>1</v>
      </c>
    </row>
    <row r="9" spans="1:48" x14ac:dyDescent="0.3">
      <c r="A9" s="4"/>
      <c r="B9">
        <v>238493</v>
      </c>
      <c r="C9">
        <v>66</v>
      </c>
      <c r="D9">
        <v>0.54400000000000004</v>
      </c>
      <c r="E9">
        <v>0.5</v>
      </c>
      <c r="F9">
        <v>11</v>
      </c>
      <c r="G9">
        <v>-8.2530000000000001</v>
      </c>
      <c r="H9">
        <v>2.5999999999999999E-2</v>
      </c>
      <c r="I9">
        <v>3.2500000000000001E-2</v>
      </c>
      <c r="J9">
        <v>3.7799999999999998E-6</v>
      </c>
      <c r="K9">
        <v>0.109</v>
      </c>
      <c r="L9">
        <v>0.17699999999999999</v>
      </c>
      <c r="M9" s="5">
        <v>93.620999999999995</v>
      </c>
      <c r="O9" s="4"/>
      <c r="P9" s="2">
        <f t="shared" si="17"/>
        <v>0.45582257549548005</v>
      </c>
      <c r="Q9" s="2">
        <f t="shared" si="6"/>
        <v>0.83870967741935487</v>
      </c>
      <c r="R9" s="2">
        <f t="shared" si="7"/>
        <v>0.62857142857142867</v>
      </c>
      <c r="S9" s="2">
        <f t="shared" si="8"/>
        <v>0.55400605183528484</v>
      </c>
      <c r="T9" s="2">
        <f t="shared" si="9"/>
        <v>1</v>
      </c>
      <c r="U9" s="2">
        <f t="shared" si="10"/>
        <v>0.57835820895522383</v>
      </c>
      <c r="V9" s="2">
        <f t="shared" si="11"/>
        <v>5.1679586563307183E-3</v>
      </c>
      <c r="W9" s="2">
        <f t="shared" si="12"/>
        <v>3.2806933588557456E-2</v>
      </c>
      <c r="X9" s="2">
        <f t="shared" si="13"/>
        <v>6.2790697674418604E-5</v>
      </c>
      <c r="Y9" s="2">
        <f t="shared" si="14"/>
        <v>9.2741935483870969E-2</v>
      </c>
      <c r="Z9" s="2">
        <f t="shared" si="15"/>
        <v>0.12334026555751078</v>
      </c>
      <c r="AA9" s="9">
        <f t="shared" si="16"/>
        <v>0.21339446195524756</v>
      </c>
      <c r="AB9" s="2"/>
      <c r="AC9" s="16">
        <f t="shared" si="18"/>
        <v>1.7372924906905118</v>
      </c>
      <c r="AD9" s="17">
        <f t="shared" si="19"/>
        <v>2.4438127223209465</v>
      </c>
      <c r="AE9" s="2">
        <f t="shared" si="20"/>
        <v>1.7372924906905118</v>
      </c>
      <c r="AF9">
        <f t="shared" si="21"/>
        <v>1</v>
      </c>
      <c r="AG9">
        <f t="shared" si="22"/>
        <v>0</v>
      </c>
      <c r="AI9" s="16">
        <f t="shared" si="23"/>
        <v>3.6164962476029325</v>
      </c>
      <c r="AJ9" s="17">
        <f t="shared" si="24"/>
        <v>3.210486101767732</v>
      </c>
      <c r="AK9" s="2">
        <f t="shared" si="25"/>
        <v>3.210486101767732</v>
      </c>
      <c r="AL9">
        <f t="shared" si="26"/>
        <v>0</v>
      </c>
      <c r="AM9">
        <f t="shared" si="27"/>
        <v>1</v>
      </c>
    </row>
    <row r="10" spans="1:48" x14ac:dyDescent="0.3">
      <c r="A10" s="4"/>
      <c r="B10">
        <v>230098</v>
      </c>
      <c r="C10">
        <v>62</v>
      </c>
      <c r="D10">
        <v>0.56799999999999995</v>
      </c>
      <c r="E10">
        <v>0.68600000000000005</v>
      </c>
      <c r="F10">
        <v>1</v>
      </c>
      <c r="G10">
        <v>-6.6349999999999998</v>
      </c>
      <c r="H10">
        <v>3.3000000000000002E-2</v>
      </c>
      <c r="I10">
        <v>0.15</v>
      </c>
      <c r="J10">
        <v>1.81E-6</v>
      </c>
      <c r="K10">
        <v>8.8099999999999998E-2</v>
      </c>
      <c r="L10">
        <v>0.72499999999999998</v>
      </c>
      <c r="M10" s="5">
        <v>172.07499999999999</v>
      </c>
      <c r="O10" s="4"/>
      <c r="P10" s="2">
        <f t="shared" si="17"/>
        <v>0.41581723827359934</v>
      </c>
      <c r="Q10" s="2">
        <f t="shared" si="6"/>
        <v>0.70967741935483875</v>
      </c>
      <c r="R10" s="2">
        <f t="shared" si="7"/>
        <v>0.67755102040816317</v>
      </c>
      <c r="S10" s="2">
        <f t="shared" si="8"/>
        <v>0.79871069596105781</v>
      </c>
      <c r="T10" s="2">
        <f t="shared" si="9"/>
        <v>9.0909090909090912E-2</v>
      </c>
      <c r="U10" s="2">
        <f t="shared" si="10"/>
        <v>0.74152884227511084</v>
      </c>
      <c r="V10" s="2">
        <f t="shared" si="11"/>
        <v>9.5607235142118871E-2</v>
      </c>
      <c r="W10" s="2">
        <f t="shared" si="12"/>
        <v>0.15776040835858987</v>
      </c>
      <c r="X10" s="2">
        <f t="shared" si="13"/>
        <v>3.0066445182724255E-5</v>
      </c>
      <c r="Y10" s="2">
        <f t="shared" si="14"/>
        <v>6.2644009216589858E-2</v>
      </c>
      <c r="Z10" s="2">
        <f t="shared" si="15"/>
        <v>1</v>
      </c>
      <c r="AA10" s="9">
        <f t="shared" si="16"/>
        <v>0.89461390849809408</v>
      </c>
      <c r="AB10" s="2"/>
      <c r="AC10" s="16">
        <f t="shared" si="18"/>
        <v>2.0420521714569624</v>
      </c>
      <c r="AD10" s="17">
        <f t="shared" si="19"/>
        <v>2.2091349441053221</v>
      </c>
      <c r="AE10" s="2">
        <f t="shared" si="20"/>
        <v>2.0420521714569624</v>
      </c>
      <c r="AF10">
        <f t="shared" si="21"/>
        <v>1</v>
      </c>
      <c r="AG10">
        <f t="shared" si="22"/>
        <v>0</v>
      </c>
      <c r="AI10" s="16">
        <f t="shared" si="23"/>
        <v>4.0073081677232363</v>
      </c>
      <c r="AJ10" s="17">
        <f t="shared" si="24"/>
        <v>3.0084429397516774</v>
      </c>
      <c r="AK10" s="2">
        <f t="shared" si="25"/>
        <v>3.0084429397516774</v>
      </c>
      <c r="AL10">
        <f t="shared" si="26"/>
        <v>0</v>
      </c>
      <c r="AM10">
        <f t="shared" si="27"/>
        <v>1</v>
      </c>
    </row>
    <row r="11" spans="1:48" x14ac:dyDescent="0.3">
      <c r="A11" s="4"/>
      <c r="B11">
        <v>214666</v>
      </c>
      <c r="C11">
        <v>61</v>
      </c>
      <c r="D11">
        <v>0.56399999999999995</v>
      </c>
      <c r="E11">
        <v>0.20899999999999999</v>
      </c>
      <c r="F11">
        <v>3</v>
      </c>
      <c r="G11">
        <v>-8.9220000000000006</v>
      </c>
      <c r="H11">
        <v>3.1699999999999999E-2</v>
      </c>
      <c r="I11">
        <v>0.72399999999999998</v>
      </c>
      <c r="J11">
        <v>3.9900000000000001E-5</v>
      </c>
      <c r="K11">
        <v>0.107</v>
      </c>
      <c r="L11">
        <v>0.40200000000000002</v>
      </c>
      <c r="M11" s="5">
        <v>109.024</v>
      </c>
      <c r="O11" s="4"/>
      <c r="P11" s="2">
        <f t="shared" si="17"/>
        <v>0.34227794536019102</v>
      </c>
      <c r="Q11" s="2">
        <f t="shared" si="6"/>
        <v>0.67741935483870963</v>
      </c>
      <c r="R11" s="2">
        <f t="shared" si="7"/>
        <v>0.66938775510204074</v>
      </c>
      <c r="S11" s="2">
        <f t="shared" si="8"/>
        <v>0.17116168925141428</v>
      </c>
      <c r="T11" s="2">
        <f t="shared" si="9"/>
        <v>0.27272727272727271</v>
      </c>
      <c r="U11" s="2">
        <f t="shared" si="10"/>
        <v>0.51089148850342869</v>
      </c>
      <c r="V11" s="2">
        <f t="shared" si="11"/>
        <v>7.8811369509043896E-2</v>
      </c>
      <c r="W11" s="2">
        <f t="shared" si="12"/>
        <v>0.76817142553304618</v>
      </c>
      <c r="X11" s="2">
        <f t="shared" si="13"/>
        <v>6.6279069767441869E-4</v>
      </c>
      <c r="Y11" s="2">
        <f t="shared" si="14"/>
        <v>8.9861751152073732E-2</v>
      </c>
      <c r="Z11" s="2">
        <f t="shared" si="15"/>
        <v>0.48328267477203651</v>
      </c>
      <c r="AA11" s="9">
        <f t="shared" si="16"/>
        <v>0.34713937152135599</v>
      </c>
      <c r="AB11" s="2"/>
      <c r="AC11" s="16">
        <f t="shared" si="18"/>
        <v>1.5320769480116152</v>
      </c>
      <c r="AD11" s="17">
        <f t="shared" si="19"/>
        <v>2.3502489222829164</v>
      </c>
      <c r="AE11" s="2">
        <f t="shared" si="20"/>
        <v>1.5320769480116152</v>
      </c>
      <c r="AF11">
        <f t="shared" si="21"/>
        <v>1</v>
      </c>
      <c r="AG11">
        <f t="shared" si="22"/>
        <v>0</v>
      </c>
      <c r="AI11" s="16">
        <f t="shared" si="23"/>
        <v>3.4895030559558515</v>
      </c>
      <c r="AJ11" s="17">
        <f t="shared" si="24"/>
        <v>2.7949896555340721</v>
      </c>
      <c r="AK11" s="2">
        <f t="shared" si="25"/>
        <v>2.7949896555340721</v>
      </c>
      <c r="AL11">
        <f t="shared" si="26"/>
        <v>0</v>
      </c>
      <c r="AM11">
        <f t="shared" si="27"/>
        <v>1</v>
      </c>
    </row>
    <row r="12" spans="1:48" x14ac:dyDescent="0.3">
      <c r="A12" s="4"/>
      <c r="B12">
        <v>209906</v>
      </c>
      <c r="C12">
        <v>58</v>
      </c>
      <c r="D12">
        <v>0.55900000000000005</v>
      </c>
      <c r="E12">
        <v>0.56200000000000006</v>
      </c>
      <c r="F12">
        <v>11</v>
      </c>
      <c r="G12">
        <v>-5.6740000000000004</v>
      </c>
      <c r="H12">
        <v>3.2500000000000001E-2</v>
      </c>
      <c r="I12">
        <v>0.20300000000000001</v>
      </c>
      <c r="J12">
        <v>9.4800000000000007E-6</v>
      </c>
      <c r="K12">
        <v>0.17</v>
      </c>
      <c r="L12">
        <v>0.42799999999999999</v>
      </c>
      <c r="M12" s="5">
        <v>132.06200000000001</v>
      </c>
      <c r="O12" s="4"/>
      <c r="P12" s="2">
        <f t="shared" si="17"/>
        <v>0.31959475236720086</v>
      </c>
      <c r="Q12" s="2">
        <f t="shared" si="6"/>
        <v>0.58064516129032262</v>
      </c>
      <c r="R12" s="2">
        <f t="shared" si="7"/>
        <v>0.65918367346938789</v>
      </c>
      <c r="S12" s="2">
        <f t="shared" si="8"/>
        <v>0.63557426654387594</v>
      </c>
      <c r="T12" s="2">
        <f t="shared" si="9"/>
        <v>1</v>
      </c>
      <c r="U12" s="2">
        <f t="shared" si="10"/>
        <v>0.83844292053247271</v>
      </c>
      <c r="V12" s="2">
        <f t="shared" si="11"/>
        <v>8.9147286821705432E-2</v>
      </c>
      <c r="W12" s="2">
        <f t="shared" si="12"/>
        <v>0.21412240123358325</v>
      </c>
      <c r="X12" s="2">
        <f t="shared" si="13"/>
        <v>1.5747508305647844E-4</v>
      </c>
      <c r="Y12" s="2">
        <f t="shared" si="14"/>
        <v>0.18058755760368664</v>
      </c>
      <c r="Z12" s="2">
        <f t="shared" si="15"/>
        <v>0.52487601983682608</v>
      </c>
      <c r="AA12" s="9">
        <f t="shared" si="16"/>
        <v>0.54717931351862958</v>
      </c>
      <c r="AB12" s="2"/>
      <c r="AC12" s="16">
        <f>SQRT(
($P$2 - P12)^2 +
($Q$2 -Q12)^2 +
($R$2 - R12)^2 +
($S$2 - S12)^2 +
($T$2 - T12)^2 +
($U$2 - U12)^2 +
($V$2 - V12)^2 +
($W$2 - W12)^2 +
($X$2 - X12)^2 +
($Y$2 - Y12)^2 +
($Z$2 - Z12)^2 +
($AA$2 - AA12)^2)</f>
        <v>1.9084185791599186</v>
      </c>
      <c r="AD12" s="17">
        <f t="shared" si="19"/>
        <v>2.1125907830626516</v>
      </c>
      <c r="AE12" s="2">
        <f t="shared" si="20"/>
        <v>1.9084185791599186</v>
      </c>
      <c r="AF12">
        <f t="shared" si="21"/>
        <v>1</v>
      </c>
      <c r="AG12">
        <f t="shared" si="22"/>
        <v>0</v>
      </c>
      <c r="AI12" s="16">
        <f>SQRT(
($P$2 - V12)^2 +
($Q$2 -W12)^2 +
($R$2 - X12)^2 +
($S$2 - Y12)^2 +
($T$2 - Z12)^2 +
($U$2 - AA12)^2 +
($V$2 - AB12)^2 +
($W$2 - AC12)^2 +
($X$2 - AD12)^2 +
($Y$2 - AE12)^2 +
($Z$2 - AF12)^2 +
($AA$2 - AG12)^2)</f>
        <v>3.661757820064925</v>
      </c>
      <c r="AJ12" s="17">
        <f t="shared" si="24"/>
        <v>2.9047330930477382</v>
      </c>
      <c r="AK12" s="2">
        <f t="shared" si="25"/>
        <v>2.9047330930477382</v>
      </c>
      <c r="AL12">
        <f t="shared" si="26"/>
        <v>0</v>
      </c>
      <c r="AM12">
        <f t="shared" si="27"/>
        <v>1</v>
      </c>
    </row>
    <row r="13" spans="1:48" x14ac:dyDescent="0.3">
      <c r="A13" s="4"/>
      <c r="B13">
        <v>279373</v>
      </c>
      <c r="C13">
        <v>58</v>
      </c>
      <c r="D13">
        <v>0.23599999999999999</v>
      </c>
      <c r="E13">
        <v>0.57799999999999996</v>
      </c>
      <c r="F13">
        <v>7</v>
      </c>
      <c r="G13">
        <v>-5.4770000000000003</v>
      </c>
      <c r="H13">
        <v>4.0399999999999998E-2</v>
      </c>
      <c r="I13">
        <v>0.32700000000000001</v>
      </c>
      <c r="J13">
        <v>1.4999999999999999E-4</v>
      </c>
      <c r="K13">
        <v>0.20599999999999999</v>
      </c>
      <c r="L13">
        <v>0.22700000000000001</v>
      </c>
      <c r="M13" s="5">
        <v>75.367000000000004</v>
      </c>
      <c r="O13" s="4"/>
      <c r="P13" s="2">
        <f t="shared" si="17"/>
        <v>0.65063117414116001</v>
      </c>
      <c r="Q13" s="2">
        <f t="shared" si="6"/>
        <v>0.58064516129032262</v>
      </c>
      <c r="R13" s="2">
        <f t="shared" si="7"/>
        <v>0</v>
      </c>
      <c r="S13" s="2">
        <f t="shared" si="8"/>
        <v>0.65662412840415729</v>
      </c>
      <c r="T13" s="2">
        <f t="shared" si="9"/>
        <v>0.63636363636363635</v>
      </c>
      <c r="U13" s="2">
        <f t="shared" si="10"/>
        <v>0.85830980233965293</v>
      </c>
      <c r="V13" s="2">
        <f t="shared" si="11"/>
        <v>0.19121447028423769</v>
      </c>
      <c r="W13" s="2">
        <f t="shared" si="12"/>
        <v>0.34598819588451113</v>
      </c>
      <c r="X13" s="2">
        <f t="shared" si="13"/>
        <v>2.4916943521594683E-3</v>
      </c>
      <c r="Y13" s="2">
        <f t="shared" si="14"/>
        <v>0.23243087557603684</v>
      </c>
      <c r="Z13" s="2">
        <f t="shared" si="15"/>
        <v>0.20332746760518317</v>
      </c>
      <c r="AA13" s="9">
        <f t="shared" si="16"/>
        <v>5.489419712243962E-2</v>
      </c>
      <c r="AB13" s="2"/>
      <c r="AC13" s="16">
        <f t="shared" si="18"/>
        <v>1.6087062896423061</v>
      </c>
      <c r="AD13" s="17">
        <f t="shared" si="19"/>
        <v>2.4004362769312833</v>
      </c>
      <c r="AE13" s="2">
        <f t="shared" si="20"/>
        <v>1.6087062896423061</v>
      </c>
      <c r="AF13">
        <f t="shared" si="21"/>
        <v>1</v>
      </c>
      <c r="AG13">
        <f t="shared" si="22"/>
        <v>0</v>
      </c>
      <c r="AI13" s="16">
        <f t="shared" ref="AI13:AI56" si="28">SQRT(
($P$2 - V13)^2 +
($Q$2 -W13)^2 +
($R$2 - X13)^2 +
($S$2 - Y13)^2 +
($T$2 - Z13)^2 +
($U$2 - AA13)^2 +
($V$2 - AB13)^2 +
($W$2 - AC13)^2 +
($X$2 - AD13)^2 +
($Y$2 - AE13)^2 +
($Z$2 - AF13)^2 +
($AA$2 - AG13)^2)</f>
        <v>3.4917936264958289</v>
      </c>
      <c r="AJ13" s="17">
        <f t="shared" si="24"/>
        <v>2.982655061510795</v>
      </c>
      <c r="AK13" s="2">
        <f t="shared" si="25"/>
        <v>2.982655061510795</v>
      </c>
      <c r="AL13">
        <f t="shared" si="26"/>
        <v>0</v>
      </c>
      <c r="AM13">
        <f t="shared" si="27"/>
        <v>1</v>
      </c>
    </row>
    <row r="14" spans="1:48" x14ac:dyDescent="0.3">
      <c r="A14" s="4"/>
      <c r="B14">
        <v>206267</v>
      </c>
      <c r="C14">
        <v>58</v>
      </c>
      <c r="D14">
        <v>0.60599999999999998</v>
      </c>
      <c r="E14">
        <v>0.32600000000000001</v>
      </c>
      <c r="F14">
        <v>10</v>
      </c>
      <c r="G14">
        <v>-10.031000000000001</v>
      </c>
      <c r="H14">
        <v>2.9399999999999999E-2</v>
      </c>
      <c r="I14">
        <v>0.84099999999999997</v>
      </c>
      <c r="J14">
        <v>0</v>
      </c>
      <c r="K14">
        <v>0.13900000000000001</v>
      </c>
      <c r="L14">
        <v>0.41399999999999998</v>
      </c>
      <c r="M14" s="5">
        <v>91.626000000000005</v>
      </c>
      <c r="O14" s="4"/>
      <c r="P14" s="2">
        <f t="shared" si="17"/>
        <v>0.30225354663159348</v>
      </c>
      <c r="Q14" s="2">
        <f t="shared" si="6"/>
        <v>0.58064516129032262</v>
      </c>
      <c r="R14" s="2">
        <f t="shared" si="7"/>
        <v>0.75510204081632648</v>
      </c>
      <c r="S14" s="2">
        <f t="shared" si="8"/>
        <v>0.32508880410472307</v>
      </c>
      <c r="T14" s="2">
        <f t="shared" si="9"/>
        <v>0.90909090909090906</v>
      </c>
      <c r="U14" s="2">
        <f t="shared" si="10"/>
        <v>0.39905203711173848</v>
      </c>
      <c r="V14" s="2">
        <f t="shared" si="11"/>
        <v>4.9095607235142093E-2</v>
      </c>
      <c r="W14" s="2">
        <f t="shared" si="12"/>
        <v>0.8925931833891636</v>
      </c>
      <c r="X14" s="2">
        <f t="shared" si="13"/>
        <v>0</v>
      </c>
      <c r="Y14" s="2">
        <f t="shared" si="14"/>
        <v>0.13594470046082952</v>
      </c>
      <c r="Z14" s="2">
        <f t="shared" si="15"/>
        <v>0.50247960326347785</v>
      </c>
      <c r="AA14" s="9">
        <f t="shared" si="16"/>
        <v>0.19607179139857778</v>
      </c>
      <c r="AB14" s="2"/>
      <c r="AC14" s="16">
        <f t="shared" si="18"/>
        <v>1.7884631592625184</v>
      </c>
      <c r="AD14" s="17">
        <f t="shared" si="19"/>
        <v>2.2591515448180228</v>
      </c>
      <c r="AE14" s="2">
        <f t="shared" si="20"/>
        <v>1.7884631592625184</v>
      </c>
      <c r="AF14">
        <f t="shared" si="21"/>
        <v>1</v>
      </c>
      <c r="AG14">
        <f t="shared" si="22"/>
        <v>0</v>
      </c>
      <c r="AI14" s="16">
        <f t="shared" si="28"/>
        <v>3.6891070026330541</v>
      </c>
      <c r="AJ14" s="17">
        <f t="shared" si="24"/>
        <v>2.8956838533748357</v>
      </c>
      <c r="AK14" s="2">
        <f t="shared" si="25"/>
        <v>2.8956838533748357</v>
      </c>
      <c r="AL14">
        <f t="shared" si="26"/>
        <v>0</v>
      </c>
      <c r="AM14">
        <f t="shared" si="27"/>
        <v>1</v>
      </c>
    </row>
    <row r="15" spans="1:48" x14ac:dyDescent="0.3">
      <c r="A15" s="4"/>
      <c r="B15">
        <v>152946</v>
      </c>
      <c r="C15">
        <v>53</v>
      </c>
      <c r="D15">
        <v>0.63800000000000001</v>
      </c>
      <c r="E15">
        <v>0.45200000000000001</v>
      </c>
      <c r="F15">
        <v>9</v>
      </c>
      <c r="G15">
        <v>-9.6159999999999997</v>
      </c>
      <c r="H15">
        <v>2.9700000000000001E-2</v>
      </c>
      <c r="I15">
        <v>0.60799999999999998</v>
      </c>
      <c r="J15">
        <v>5.7700000000000001E-2</v>
      </c>
      <c r="K15">
        <v>0.112</v>
      </c>
      <c r="L15">
        <v>0.34100000000000003</v>
      </c>
      <c r="M15" s="5">
        <v>100.105</v>
      </c>
      <c r="O15" s="4"/>
      <c r="P15" s="2">
        <f t="shared" si="17"/>
        <v>4.8158896719991233E-2</v>
      </c>
      <c r="Q15" s="2">
        <f t="shared" si="6"/>
        <v>0.41935483870967744</v>
      </c>
      <c r="R15" s="2">
        <f t="shared" si="7"/>
        <v>0.82040816326530619</v>
      </c>
      <c r="S15" s="2">
        <f t="shared" si="8"/>
        <v>0.49085646625444018</v>
      </c>
      <c r="T15" s="2">
        <f t="shared" si="9"/>
        <v>0.81818181818181823</v>
      </c>
      <c r="U15" s="2">
        <f t="shared" si="10"/>
        <v>0.44090359015732145</v>
      </c>
      <c r="V15" s="2">
        <f t="shared" si="11"/>
        <v>5.2971576227390176E-2</v>
      </c>
      <c r="W15" s="2">
        <f t="shared" si="12"/>
        <v>0.6448131015047589</v>
      </c>
      <c r="X15" s="2">
        <f t="shared" si="13"/>
        <v>0.95847176079734231</v>
      </c>
      <c r="Y15" s="2">
        <f t="shared" si="14"/>
        <v>9.7062211981566823E-2</v>
      </c>
      <c r="Z15" s="2">
        <f t="shared" si="15"/>
        <v>0.38569828827387626</v>
      </c>
      <c r="AA15" s="9">
        <f t="shared" si="16"/>
        <v>0.26969531202514613</v>
      </c>
      <c r="AB15" s="2"/>
      <c r="AC15" s="16">
        <f t="shared" si="18"/>
        <v>1.8772806642114623</v>
      </c>
      <c r="AD15" s="17">
        <f t="shared" si="19"/>
        <v>2.1519829562580086</v>
      </c>
      <c r="AE15" s="2">
        <f t="shared" si="20"/>
        <v>1.8772806642114623</v>
      </c>
      <c r="AF15">
        <f t="shared" si="21"/>
        <v>1</v>
      </c>
      <c r="AG15">
        <f t="shared" si="22"/>
        <v>0</v>
      </c>
      <c r="AI15" s="16">
        <f t="shared" si="28"/>
        <v>3.7745958555024233</v>
      </c>
      <c r="AJ15" s="17">
        <f t="shared" si="24"/>
        <v>2.759902317364519</v>
      </c>
      <c r="AK15" s="2">
        <f t="shared" si="25"/>
        <v>2.759902317364519</v>
      </c>
      <c r="AL15">
        <f t="shared" si="26"/>
        <v>0</v>
      </c>
      <c r="AM15">
        <f t="shared" si="27"/>
        <v>1</v>
      </c>
    </row>
    <row r="16" spans="1:48" x14ac:dyDescent="0.3">
      <c r="A16" s="4"/>
      <c r="B16">
        <v>212480</v>
      </c>
      <c r="C16">
        <v>57</v>
      </c>
      <c r="D16">
        <v>0.55400000000000005</v>
      </c>
      <c r="E16">
        <v>0.47</v>
      </c>
      <c r="F16">
        <v>8</v>
      </c>
      <c r="G16">
        <v>-6.6040000000000001</v>
      </c>
      <c r="H16">
        <v>5.4800000000000001E-2</v>
      </c>
      <c r="I16">
        <v>0.77</v>
      </c>
      <c r="J16">
        <v>2.6000000000000001E-6</v>
      </c>
      <c r="K16">
        <v>0.106</v>
      </c>
      <c r="L16">
        <v>0.34599999999999997</v>
      </c>
      <c r="M16" s="5">
        <v>95.597999999999999</v>
      </c>
      <c r="O16" s="4"/>
      <c r="P16" s="2">
        <f t="shared" si="17"/>
        <v>0.33186083193946064</v>
      </c>
      <c r="Q16" s="2">
        <f t="shared" si="6"/>
        <v>0.54838709677419351</v>
      </c>
      <c r="R16" s="2">
        <f t="shared" si="7"/>
        <v>0.64897959183673481</v>
      </c>
      <c r="S16" s="2">
        <f t="shared" si="8"/>
        <v>0.51453756084725699</v>
      </c>
      <c r="T16" s="2">
        <f t="shared" si="9"/>
        <v>0.72727272727272729</v>
      </c>
      <c r="U16" s="2">
        <f t="shared" si="10"/>
        <v>0.744655102864058</v>
      </c>
      <c r="V16" s="2">
        <f t="shared" si="11"/>
        <v>0.37726098191214474</v>
      </c>
      <c r="W16" s="2">
        <f t="shared" si="12"/>
        <v>0.81708938161322919</v>
      </c>
      <c r="X16" s="2">
        <f t="shared" si="13"/>
        <v>4.3189368770764125E-5</v>
      </c>
      <c r="Y16" s="2">
        <f t="shared" si="14"/>
        <v>8.8421658986175114E-2</v>
      </c>
      <c r="Z16" s="2">
        <f t="shared" si="15"/>
        <v>0.39369700847864342</v>
      </c>
      <c r="AA16" s="9">
        <f t="shared" si="16"/>
        <v>0.2305608377399776</v>
      </c>
      <c r="AB16" s="2"/>
      <c r="AC16" s="16">
        <f t="shared" si="18"/>
        <v>1.7905739878400384</v>
      </c>
      <c r="AD16" s="17">
        <f t="shared" si="19"/>
        <v>2.0882105417468408</v>
      </c>
      <c r="AE16" s="2">
        <f t="shared" si="20"/>
        <v>1.7905739878400384</v>
      </c>
      <c r="AF16">
        <f t="shared" si="21"/>
        <v>1</v>
      </c>
      <c r="AG16">
        <f t="shared" si="22"/>
        <v>0</v>
      </c>
      <c r="AI16" s="16">
        <f t="shared" si="28"/>
        <v>3.5775506440255151</v>
      </c>
      <c r="AJ16" s="17">
        <f t="shared" si="24"/>
        <v>2.7651411283179854</v>
      </c>
      <c r="AK16" s="2">
        <f t="shared" si="25"/>
        <v>2.7651411283179854</v>
      </c>
      <c r="AL16">
        <f t="shared" si="26"/>
        <v>0</v>
      </c>
      <c r="AM16">
        <f t="shared" si="27"/>
        <v>1</v>
      </c>
    </row>
    <row r="17" spans="1:39" x14ac:dyDescent="0.3">
      <c r="A17" s="4"/>
      <c r="B17">
        <v>241146</v>
      </c>
      <c r="C17">
        <v>54</v>
      </c>
      <c r="D17">
        <v>0.57699999999999996</v>
      </c>
      <c r="E17">
        <v>0.53</v>
      </c>
      <c r="F17">
        <v>7</v>
      </c>
      <c r="G17">
        <v>-6.7489999999999997</v>
      </c>
      <c r="H17">
        <v>3.1199999999999999E-2</v>
      </c>
      <c r="I17">
        <v>0.54400000000000004</v>
      </c>
      <c r="J17">
        <v>3.2899999999999998E-6</v>
      </c>
      <c r="K17">
        <v>0.10299999999999999</v>
      </c>
      <c r="L17">
        <v>0.22</v>
      </c>
      <c r="M17" s="5">
        <v>85.471000000000004</v>
      </c>
      <c r="O17" s="4"/>
      <c r="P17" s="2">
        <f t="shared" si="17"/>
        <v>0.46846511982539663</v>
      </c>
      <c r="Q17" s="2">
        <f t="shared" si="6"/>
        <v>0.45161290322580644</v>
      </c>
      <c r="R17" s="2">
        <f t="shared" si="7"/>
        <v>0.69591836734693868</v>
      </c>
      <c r="S17" s="2">
        <f t="shared" si="8"/>
        <v>0.5934745428233128</v>
      </c>
      <c r="T17" s="2">
        <f t="shared" si="9"/>
        <v>0.63636363636363635</v>
      </c>
      <c r="U17" s="2">
        <f t="shared" si="10"/>
        <v>0.73003227107704716</v>
      </c>
      <c r="V17" s="2">
        <f t="shared" si="11"/>
        <v>7.2351421188630458E-2</v>
      </c>
      <c r="W17" s="2">
        <f t="shared" si="12"/>
        <v>0.57675333652363492</v>
      </c>
      <c r="X17" s="2">
        <f t="shared" si="13"/>
        <v>5.4651162790697672E-5</v>
      </c>
      <c r="Y17" s="2">
        <f t="shared" si="14"/>
        <v>8.4101382488479245E-2</v>
      </c>
      <c r="Z17" s="2">
        <f t="shared" si="15"/>
        <v>0.19212925931850905</v>
      </c>
      <c r="AA17" s="9">
        <f t="shared" si="16"/>
        <v>0.14262766243802483</v>
      </c>
      <c r="AB17" s="2"/>
      <c r="AC17" s="16">
        <f t="shared" si="18"/>
        <v>1.6124647194851403</v>
      </c>
      <c r="AD17" s="17">
        <f t="shared" si="19"/>
        <v>2.304836949551937</v>
      </c>
      <c r="AE17" s="2">
        <f t="shared" si="20"/>
        <v>1.6124647194851403</v>
      </c>
      <c r="AF17">
        <f t="shared" si="21"/>
        <v>1</v>
      </c>
      <c r="AG17">
        <f t="shared" si="22"/>
        <v>0</v>
      </c>
      <c r="AI17" s="16">
        <f t="shared" si="28"/>
        <v>3.4517483677738818</v>
      </c>
      <c r="AJ17" s="17">
        <f t="shared" si="24"/>
        <v>2.9527950472637086</v>
      </c>
      <c r="AK17" s="2">
        <f t="shared" si="25"/>
        <v>2.9527950472637086</v>
      </c>
      <c r="AL17">
        <f t="shared" si="26"/>
        <v>0</v>
      </c>
      <c r="AM17">
        <f t="shared" si="27"/>
        <v>1</v>
      </c>
    </row>
    <row r="18" spans="1:39" x14ac:dyDescent="0.3">
      <c r="A18" s="4"/>
      <c r="B18">
        <v>185228</v>
      </c>
      <c r="C18">
        <v>53</v>
      </c>
      <c r="D18">
        <v>0.41899999999999998</v>
      </c>
      <c r="E18">
        <v>0.26900000000000002</v>
      </c>
      <c r="F18">
        <v>7</v>
      </c>
      <c r="G18">
        <v>-9.3879999999999999</v>
      </c>
      <c r="H18">
        <v>3.56E-2</v>
      </c>
      <c r="I18">
        <v>0.626</v>
      </c>
      <c r="J18">
        <v>1.8300000000000001E-5</v>
      </c>
      <c r="K18">
        <v>0.11600000000000001</v>
      </c>
      <c r="L18">
        <v>0.152</v>
      </c>
      <c r="M18" s="5">
        <v>121.69499999999999</v>
      </c>
      <c r="O18" s="4"/>
      <c r="P18" s="2">
        <f t="shared" si="17"/>
        <v>0.20199478667791296</v>
      </c>
      <c r="Q18" s="2">
        <f t="shared" si="6"/>
        <v>0.41935483870967744</v>
      </c>
      <c r="R18" s="2">
        <f t="shared" si="7"/>
        <v>0.37346938775510202</v>
      </c>
      <c r="S18" s="2">
        <f t="shared" si="8"/>
        <v>0.25009867122747009</v>
      </c>
      <c r="T18" s="2">
        <f t="shared" si="9"/>
        <v>0.63636363636363635</v>
      </c>
      <c r="U18" s="2">
        <f t="shared" si="10"/>
        <v>0.46389673255344893</v>
      </c>
      <c r="V18" s="2">
        <f t="shared" si="11"/>
        <v>0.12919896640826872</v>
      </c>
      <c r="W18" s="2">
        <f t="shared" si="12"/>
        <v>0.66395491040569998</v>
      </c>
      <c r="X18" s="2">
        <f t="shared" si="13"/>
        <v>3.0398671096345517E-4</v>
      </c>
      <c r="Y18" s="2">
        <f t="shared" si="14"/>
        <v>0.1028225806451613</v>
      </c>
      <c r="Z18" s="2">
        <f t="shared" si="15"/>
        <v>8.3346664533674605E-2</v>
      </c>
      <c r="AA18" s="9">
        <f t="shared" si="16"/>
        <v>0.45716220792414491</v>
      </c>
      <c r="AB18" s="2"/>
      <c r="AC18" s="16">
        <f t="shared" si="18"/>
        <v>1.3125901805240408</v>
      </c>
      <c r="AD18" s="17">
        <f t="shared" si="19"/>
        <v>2.4817248522303617</v>
      </c>
      <c r="AE18" s="2">
        <f t="shared" si="20"/>
        <v>1.3125901805240408</v>
      </c>
      <c r="AF18">
        <f t="shared" si="21"/>
        <v>1</v>
      </c>
      <c r="AG18">
        <f t="shared" si="22"/>
        <v>0</v>
      </c>
      <c r="AI18" s="16">
        <f t="shared" si="28"/>
        <v>3.3598793473141715</v>
      </c>
      <c r="AJ18" s="17">
        <f t="shared" si="24"/>
        <v>2.8638086822788269</v>
      </c>
      <c r="AK18" s="2">
        <f t="shared" si="25"/>
        <v>2.8638086822788269</v>
      </c>
      <c r="AL18">
        <f t="shared" si="26"/>
        <v>0</v>
      </c>
      <c r="AM18">
        <f t="shared" si="27"/>
        <v>1</v>
      </c>
    </row>
    <row r="19" spans="1:39" x14ac:dyDescent="0.3">
      <c r="A19" s="4"/>
      <c r="B19">
        <v>259558</v>
      </c>
      <c r="C19">
        <v>55</v>
      </c>
      <c r="D19">
        <v>0.35399999999999998</v>
      </c>
      <c r="E19">
        <v>0.20599999999999999</v>
      </c>
      <c r="F19">
        <v>0</v>
      </c>
      <c r="G19">
        <v>-11.798999999999999</v>
      </c>
      <c r="H19">
        <v>3.6499999999999998E-2</v>
      </c>
      <c r="I19">
        <v>0.77900000000000003</v>
      </c>
      <c r="J19">
        <v>2.1000000000000001E-4</v>
      </c>
      <c r="K19">
        <v>9.5899999999999999E-2</v>
      </c>
      <c r="L19">
        <v>0.20200000000000001</v>
      </c>
      <c r="M19" s="5">
        <v>139.05600000000001</v>
      </c>
      <c r="O19" s="4"/>
      <c r="P19" s="2">
        <f t="shared" si="17"/>
        <v>0.55620523524281973</v>
      </c>
      <c r="Q19" s="2">
        <f t="shared" si="6"/>
        <v>0.4838709677419355</v>
      </c>
      <c r="R19" s="2">
        <f t="shared" si="7"/>
        <v>0.24081632653061225</v>
      </c>
      <c r="S19" s="2">
        <f t="shared" si="8"/>
        <v>0.16721484015261148</v>
      </c>
      <c r="T19" s="2">
        <f t="shared" si="9"/>
        <v>0</v>
      </c>
      <c r="U19" s="2">
        <f t="shared" si="10"/>
        <v>0.22075433642597822</v>
      </c>
      <c r="V19" s="2">
        <f t="shared" si="11"/>
        <v>0.14082687338501287</v>
      </c>
      <c r="W19" s="2">
        <f t="shared" si="12"/>
        <v>0.82666028606369979</v>
      </c>
      <c r="X19" s="2">
        <f t="shared" si="13"/>
        <v>3.4883720930232562E-3</v>
      </c>
      <c r="Y19" s="2">
        <f t="shared" si="14"/>
        <v>7.3876728110599074E-2</v>
      </c>
      <c r="Z19" s="2">
        <f t="shared" si="15"/>
        <v>0.16333386658134699</v>
      </c>
      <c r="AA19" s="9">
        <f t="shared" si="16"/>
        <v>0.60790851546015801</v>
      </c>
      <c r="AB19" s="2"/>
      <c r="AC19" s="16">
        <f t="shared" si="18"/>
        <v>1.3353206550251377</v>
      </c>
      <c r="AD19" s="17">
        <f t="shared" si="19"/>
        <v>2.6102046962185113</v>
      </c>
      <c r="AE19" s="2">
        <f t="shared" si="20"/>
        <v>1.3353206550251377</v>
      </c>
      <c r="AF19">
        <f t="shared" si="21"/>
        <v>1</v>
      </c>
      <c r="AG19">
        <f t="shared" si="22"/>
        <v>0</v>
      </c>
      <c r="AI19" s="16">
        <f t="shared" si="28"/>
        <v>3.5333031502115109</v>
      </c>
      <c r="AJ19" s="17">
        <f t="shared" si="24"/>
        <v>2.8792967640327269</v>
      </c>
      <c r="AK19" s="2">
        <f t="shared" si="25"/>
        <v>2.8792967640327269</v>
      </c>
      <c r="AL19">
        <f t="shared" si="26"/>
        <v>0</v>
      </c>
      <c r="AM19">
        <f t="shared" si="27"/>
        <v>1</v>
      </c>
    </row>
    <row r="20" spans="1:39" x14ac:dyDescent="0.3">
      <c r="A20" s="4"/>
      <c r="B20">
        <v>185421</v>
      </c>
      <c r="C20">
        <v>52</v>
      </c>
      <c r="D20">
        <v>0.32700000000000001</v>
      </c>
      <c r="E20">
        <v>0.16800000000000001</v>
      </c>
      <c r="F20">
        <v>9</v>
      </c>
      <c r="G20">
        <v>-13.988</v>
      </c>
      <c r="H20">
        <v>4.99E-2</v>
      </c>
      <c r="I20">
        <v>0.91200000000000003</v>
      </c>
      <c r="J20">
        <v>2.4500000000000001E-2</v>
      </c>
      <c r="K20">
        <v>9.7299999999999998E-2</v>
      </c>
      <c r="L20">
        <v>9.9900000000000003E-2</v>
      </c>
      <c r="M20" s="5">
        <v>76.778999999999996</v>
      </c>
      <c r="O20" s="4"/>
      <c r="P20" s="2">
        <f t="shared" si="17"/>
        <v>0.20291450437699848</v>
      </c>
      <c r="Q20" s="2">
        <f t="shared" si="6"/>
        <v>0.38709677419354838</v>
      </c>
      <c r="R20" s="2">
        <f t="shared" si="7"/>
        <v>0.18571428571428578</v>
      </c>
      <c r="S20" s="2">
        <f t="shared" si="8"/>
        <v>0.11722141823444285</v>
      </c>
      <c r="T20" s="2">
        <f t="shared" si="9"/>
        <v>0.81818181818181823</v>
      </c>
      <c r="U20" s="2">
        <f t="shared" si="10"/>
        <v>0</v>
      </c>
      <c r="V20" s="2">
        <f t="shared" si="11"/>
        <v>0.31395348837209303</v>
      </c>
      <c r="W20" s="2">
        <f t="shared" si="12"/>
        <v>0.96809698516509823</v>
      </c>
      <c r="X20" s="2">
        <f t="shared" si="13"/>
        <v>0.40697674418604657</v>
      </c>
      <c r="Y20" s="2">
        <f t="shared" si="14"/>
        <v>7.5892857142857137E-2</v>
      </c>
      <c r="Z20" s="2">
        <f t="shared" si="15"/>
        <v>0</v>
      </c>
      <c r="AA20" s="9">
        <f t="shared" si="16"/>
        <v>6.7154653676834472E-2</v>
      </c>
      <c r="AB20" s="2"/>
      <c r="AC20" s="16">
        <f t="shared" si="18"/>
        <v>1.4561416353579675</v>
      </c>
      <c r="AD20" s="17">
        <f t="shared" si="19"/>
        <v>2.6521578768495151</v>
      </c>
      <c r="AE20" s="2">
        <f t="shared" si="20"/>
        <v>1.4561416353579675</v>
      </c>
      <c r="AF20">
        <f t="shared" si="21"/>
        <v>1</v>
      </c>
      <c r="AG20">
        <f t="shared" si="22"/>
        <v>0</v>
      </c>
      <c r="AI20" s="16">
        <f t="shared" si="28"/>
        <v>3.672372045056393</v>
      </c>
      <c r="AJ20" s="17">
        <f t="shared" si="24"/>
        <v>2.9484376685110569</v>
      </c>
      <c r="AK20" s="2">
        <f t="shared" si="25"/>
        <v>2.9484376685110569</v>
      </c>
      <c r="AL20">
        <f t="shared" si="26"/>
        <v>0</v>
      </c>
      <c r="AM20">
        <f t="shared" si="27"/>
        <v>1</v>
      </c>
    </row>
    <row r="21" spans="1:39" x14ac:dyDescent="0.3">
      <c r="A21" s="4"/>
      <c r="B21">
        <v>211674</v>
      </c>
      <c r="C21">
        <v>51</v>
      </c>
      <c r="D21">
        <v>0.42499999999999999</v>
      </c>
      <c r="E21">
        <v>0.25800000000000001</v>
      </c>
      <c r="F21">
        <v>6</v>
      </c>
      <c r="G21">
        <v>-9.3239999999999998</v>
      </c>
      <c r="H21">
        <v>3.5999999999999997E-2</v>
      </c>
      <c r="I21">
        <v>0.73599999999999999</v>
      </c>
      <c r="J21">
        <v>0</v>
      </c>
      <c r="K21">
        <v>7.3400000000000007E-2</v>
      </c>
      <c r="L21">
        <v>0.311</v>
      </c>
      <c r="M21" s="5">
        <v>162.761</v>
      </c>
      <c r="O21" s="4"/>
      <c r="P21" s="2">
        <f t="shared" si="17"/>
        <v>0.32801993833602577</v>
      </c>
      <c r="Q21" s="2">
        <f t="shared" si="6"/>
        <v>0.35483870967741937</v>
      </c>
      <c r="R21" s="2">
        <f t="shared" si="7"/>
        <v>0.38571428571428573</v>
      </c>
      <c r="S21" s="2">
        <f t="shared" si="8"/>
        <v>0.23562689119852653</v>
      </c>
      <c r="T21" s="2">
        <f t="shared" si="9"/>
        <v>0.54545454545454541</v>
      </c>
      <c r="U21" s="2">
        <f t="shared" si="10"/>
        <v>0.47035094796288823</v>
      </c>
      <c r="V21" s="2">
        <f t="shared" si="11"/>
        <v>0.13436692506459944</v>
      </c>
      <c r="W21" s="2">
        <f t="shared" si="12"/>
        <v>0.78093263146700698</v>
      </c>
      <c r="X21" s="2">
        <f t="shared" si="13"/>
        <v>0</v>
      </c>
      <c r="Y21" s="2">
        <f t="shared" si="14"/>
        <v>4.1474654377880192E-2</v>
      </c>
      <c r="Z21" s="2">
        <f t="shared" si="15"/>
        <v>0.33770596704527278</v>
      </c>
      <c r="AA21" s="9">
        <f t="shared" si="16"/>
        <v>0.81374004706209246</v>
      </c>
      <c r="AB21" s="2"/>
      <c r="AC21" s="16">
        <f t="shared" si="18"/>
        <v>1.5370108601001315</v>
      </c>
      <c r="AD21" s="17">
        <f t="shared" si="19"/>
        <v>2.3464763577212238</v>
      </c>
      <c r="AE21" s="2">
        <f t="shared" si="20"/>
        <v>1.5370108601001315</v>
      </c>
      <c r="AF21">
        <f t="shared" si="21"/>
        <v>1</v>
      </c>
      <c r="AG21">
        <f t="shared" si="22"/>
        <v>0</v>
      </c>
      <c r="AI21" s="16">
        <f t="shared" si="28"/>
        <v>3.5548002253634192</v>
      </c>
      <c r="AJ21" s="17">
        <f t="shared" si="24"/>
        <v>2.7530288840415635</v>
      </c>
      <c r="AK21" s="2">
        <f t="shared" si="25"/>
        <v>2.7530288840415635</v>
      </c>
      <c r="AL21">
        <f t="shared" si="26"/>
        <v>0</v>
      </c>
      <c r="AM21">
        <f t="shared" si="27"/>
        <v>1</v>
      </c>
    </row>
    <row r="22" spans="1:39" x14ac:dyDescent="0.3">
      <c r="A22" s="4"/>
      <c r="B22">
        <v>196973</v>
      </c>
      <c r="C22">
        <v>52</v>
      </c>
      <c r="D22">
        <v>0.56299999999999994</v>
      </c>
      <c r="E22">
        <v>0.46300000000000002</v>
      </c>
      <c r="F22">
        <v>8</v>
      </c>
      <c r="G22">
        <v>-7.3659999999999997</v>
      </c>
      <c r="H22">
        <v>5.5100000000000003E-2</v>
      </c>
      <c r="I22">
        <v>0.80400000000000005</v>
      </c>
      <c r="J22">
        <v>2.2699999999999999E-6</v>
      </c>
      <c r="K22">
        <v>9.1999999999999998E-2</v>
      </c>
      <c r="L22">
        <v>0.39400000000000002</v>
      </c>
      <c r="M22" s="5">
        <v>98.039000000000001</v>
      </c>
      <c r="O22" s="4"/>
      <c r="P22" s="2">
        <f t="shared" si="17"/>
        <v>0.25796413577511235</v>
      </c>
      <c r="Q22" s="2">
        <f t="shared" si="6"/>
        <v>0.38709677419354838</v>
      </c>
      <c r="R22" s="2">
        <f t="shared" si="7"/>
        <v>0.6673469387755101</v>
      </c>
      <c r="S22" s="2">
        <f t="shared" si="8"/>
        <v>0.5053282462833838</v>
      </c>
      <c r="T22" s="2">
        <f t="shared" si="9"/>
        <v>0.72727272727272729</v>
      </c>
      <c r="U22" s="2">
        <f t="shared" si="10"/>
        <v>0.6678096006454215</v>
      </c>
      <c r="V22" s="2">
        <f t="shared" si="11"/>
        <v>0.38113695090439281</v>
      </c>
      <c r="W22" s="2">
        <f t="shared" si="12"/>
        <v>0.85324613175945141</v>
      </c>
      <c r="X22" s="2">
        <f t="shared" si="13"/>
        <v>3.7707641196013287E-5</v>
      </c>
      <c r="Y22" s="2">
        <f t="shared" si="14"/>
        <v>6.8260368663594459E-2</v>
      </c>
      <c r="Z22" s="2">
        <f t="shared" si="15"/>
        <v>0.47048472244440892</v>
      </c>
      <c r="AA22" s="9">
        <f t="shared" si="16"/>
        <v>0.25175614542360225</v>
      </c>
      <c r="AB22" s="2"/>
      <c r="AC22" s="16">
        <f t="shared" si="18"/>
        <v>1.7477654621093495</v>
      </c>
      <c r="AD22" s="17">
        <f t="shared" si="19"/>
        <v>2.1399072902762888</v>
      </c>
      <c r="AE22" s="2">
        <f t="shared" si="20"/>
        <v>1.7477654621093495</v>
      </c>
      <c r="AF22">
        <f t="shared" si="21"/>
        <v>1</v>
      </c>
      <c r="AG22">
        <f t="shared" si="22"/>
        <v>0</v>
      </c>
      <c r="AI22" s="16">
        <f t="shared" si="28"/>
        <v>3.5848657267648796</v>
      </c>
      <c r="AJ22" s="17">
        <f t="shared" si="24"/>
        <v>2.7441832657951655</v>
      </c>
      <c r="AK22" s="2">
        <f t="shared" si="25"/>
        <v>2.7441832657951655</v>
      </c>
      <c r="AL22">
        <f t="shared" si="26"/>
        <v>0</v>
      </c>
      <c r="AM22">
        <f t="shared" si="27"/>
        <v>1</v>
      </c>
    </row>
    <row r="23" spans="1:39" x14ac:dyDescent="0.3">
      <c r="A23" s="4"/>
      <c r="B23">
        <v>352687</v>
      </c>
      <c r="C23">
        <v>60</v>
      </c>
      <c r="D23">
        <v>0.38700000000000001</v>
      </c>
      <c r="E23">
        <v>0.41599999999999998</v>
      </c>
      <c r="F23">
        <v>9</v>
      </c>
      <c r="G23">
        <v>-10.1</v>
      </c>
      <c r="H23">
        <v>3.2099999999999997E-2</v>
      </c>
      <c r="I23">
        <v>0.86199999999999999</v>
      </c>
      <c r="J23">
        <v>8.8799999999999997E-6</v>
      </c>
      <c r="K23">
        <v>0.11799999999999999</v>
      </c>
      <c r="L23">
        <v>0.25600000000000001</v>
      </c>
      <c r="M23" s="5">
        <v>156.17500000000001</v>
      </c>
      <c r="O23" s="4"/>
      <c r="P23" s="2">
        <f t="shared" si="17"/>
        <v>1</v>
      </c>
      <c r="Q23" s="2">
        <f t="shared" si="6"/>
        <v>0.64516129032258063</v>
      </c>
      <c r="R23" s="2">
        <f t="shared" si="7"/>
        <v>0.30816326530612248</v>
      </c>
      <c r="S23" s="2">
        <f t="shared" si="8"/>
        <v>0.44349427706880667</v>
      </c>
      <c r="T23" s="2">
        <f t="shared" si="9"/>
        <v>0.81818181818181823</v>
      </c>
      <c r="U23" s="2">
        <f t="shared" si="10"/>
        <v>0.39209358612343687</v>
      </c>
      <c r="V23" s="2">
        <f t="shared" si="11"/>
        <v>8.3979328165374623E-2</v>
      </c>
      <c r="W23" s="2">
        <f t="shared" si="12"/>
        <v>0.91492529377359499</v>
      </c>
      <c r="X23" s="2">
        <f t="shared" si="13"/>
        <v>1.4750830564784053E-4</v>
      </c>
      <c r="Y23" s="2">
        <f t="shared" si="14"/>
        <v>0.10570276497695852</v>
      </c>
      <c r="Z23" s="2">
        <f t="shared" si="15"/>
        <v>0.24972004479283319</v>
      </c>
      <c r="AA23" s="9">
        <f t="shared" si="16"/>
        <v>0.75655352661786812</v>
      </c>
      <c r="AB23" s="2"/>
      <c r="AC23" s="16">
        <f t="shared" si="18"/>
        <v>2.0052658144813633</v>
      </c>
      <c r="AD23" s="17">
        <f t="shared" si="19"/>
        <v>2.1412252519194519</v>
      </c>
      <c r="AE23" s="2">
        <f t="shared" si="20"/>
        <v>2.0052658144813633</v>
      </c>
      <c r="AF23">
        <f t="shared" si="21"/>
        <v>1</v>
      </c>
      <c r="AG23">
        <f t="shared" si="22"/>
        <v>0</v>
      </c>
      <c r="AI23" s="16">
        <f t="shared" si="28"/>
        <v>3.8880682619200861</v>
      </c>
      <c r="AJ23" s="17">
        <f t="shared" si="24"/>
        <v>2.9311267653108031</v>
      </c>
      <c r="AK23" s="2">
        <f t="shared" si="25"/>
        <v>2.9311267653108031</v>
      </c>
      <c r="AL23">
        <f t="shared" si="26"/>
        <v>0</v>
      </c>
      <c r="AM23">
        <f t="shared" si="27"/>
        <v>1</v>
      </c>
    </row>
    <row r="24" spans="1:39" x14ac:dyDescent="0.3">
      <c r="A24" s="4"/>
      <c r="B24">
        <v>213732</v>
      </c>
      <c r="C24">
        <v>59</v>
      </c>
      <c r="D24">
        <v>0.63900000000000001</v>
      </c>
      <c r="E24">
        <v>0.66600000000000004</v>
      </c>
      <c r="F24">
        <v>0</v>
      </c>
      <c r="G24">
        <v>-7.7750000000000004</v>
      </c>
      <c r="H24">
        <v>6.3600000000000004E-2</v>
      </c>
      <c r="I24">
        <v>0.27100000000000002</v>
      </c>
      <c r="J24">
        <v>0</v>
      </c>
      <c r="K24">
        <v>0.111</v>
      </c>
      <c r="L24">
        <v>0.372</v>
      </c>
      <c r="M24" s="5">
        <v>98.384</v>
      </c>
      <c r="O24" s="4"/>
      <c r="P24" s="2">
        <f t="shared" si="17"/>
        <v>0.33782708354181856</v>
      </c>
      <c r="Q24" s="2">
        <f t="shared" si="6"/>
        <v>0.61290322580645162</v>
      </c>
      <c r="R24" s="2">
        <f t="shared" si="7"/>
        <v>0.82244897959183683</v>
      </c>
      <c r="S24" s="2">
        <f t="shared" si="8"/>
        <v>0.77239836863570588</v>
      </c>
      <c r="T24" s="2">
        <f t="shared" si="9"/>
        <v>0</v>
      </c>
      <c r="U24" s="2">
        <f t="shared" si="10"/>
        <v>0.62656313029447352</v>
      </c>
      <c r="V24" s="2">
        <f t="shared" si="11"/>
        <v>0.4909560723514213</v>
      </c>
      <c r="W24" s="2">
        <f t="shared" si="12"/>
        <v>0.2864359015260276</v>
      </c>
      <c r="X24" s="2">
        <f t="shared" si="13"/>
        <v>0</v>
      </c>
      <c r="Y24" s="2">
        <f t="shared" si="14"/>
        <v>9.5622119815668205E-2</v>
      </c>
      <c r="Z24" s="2">
        <f t="shared" si="15"/>
        <v>0.4352903535434331</v>
      </c>
      <c r="AA24" s="9">
        <f t="shared" si="16"/>
        <v>0.25475179521911662</v>
      </c>
      <c r="AB24" s="2"/>
      <c r="AC24" s="16">
        <f t="shared" si="18"/>
        <v>1.6558935872333771</v>
      </c>
      <c r="AD24" s="17">
        <f t="shared" si="19"/>
        <v>2.2959942316105058</v>
      </c>
      <c r="AE24" s="2">
        <f t="shared" si="20"/>
        <v>1.6558935872333771</v>
      </c>
      <c r="AF24">
        <f t="shared" si="21"/>
        <v>1</v>
      </c>
      <c r="AG24">
        <f t="shared" si="22"/>
        <v>0</v>
      </c>
      <c r="AI24" s="16">
        <f t="shared" si="28"/>
        <v>3.5131410170366197</v>
      </c>
      <c r="AJ24" s="17">
        <f t="shared" si="24"/>
        <v>2.828512773264289</v>
      </c>
      <c r="AK24" s="2">
        <f t="shared" si="25"/>
        <v>2.828512773264289</v>
      </c>
      <c r="AL24">
        <f t="shared" si="26"/>
        <v>0</v>
      </c>
      <c r="AM24">
        <f t="shared" si="27"/>
        <v>1</v>
      </c>
    </row>
    <row r="25" spans="1:39" x14ac:dyDescent="0.3">
      <c r="A25" s="4"/>
      <c r="B25">
        <v>178320</v>
      </c>
      <c r="C25">
        <v>49</v>
      </c>
      <c r="D25">
        <v>0.54500000000000004</v>
      </c>
      <c r="E25">
        <v>0.34899999999999998</v>
      </c>
      <c r="F25">
        <v>2</v>
      </c>
      <c r="G25">
        <v>-9.9309999999999992</v>
      </c>
      <c r="H25">
        <v>4.7800000000000002E-2</v>
      </c>
      <c r="I25">
        <v>0.48099999999999998</v>
      </c>
      <c r="J25">
        <v>6.02E-5</v>
      </c>
      <c r="K25">
        <v>9.8500000000000004E-2</v>
      </c>
      <c r="L25">
        <v>0.34699999999999998</v>
      </c>
      <c r="M25" s="5">
        <v>79.168000000000006</v>
      </c>
      <c r="O25" s="4"/>
      <c r="P25" s="2">
        <f t="shared" si="17"/>
        <v>0.16907556457800207</v>
      </c>
      <c r="Q25" s="2">
        <f t="shared" si="6"/>
        <v>0.29032258064516131</v>
      </c>
      <c r="R25" s="2">
        <f t="shared" si="7"/>
        <v>0.63061224489795931</v>
      </c>
      <c r="S25" s="2">
        <f t="shared" si="8"/>
        <v>0.35534798052887778</v>
      </c>
      <c r="T25" s="2">
        <f t="shared" si="9"/>
        <v>0.18181818181818182</v>
      </c>
      <c r="U25" s="2">
        <f t="shared" si="10"/>
        <v>0.40913674868898753</v>
      </c>
      <c r="V25" s="2">
        <f t="shared" si="11"/>
        <v>0.2868217054263566</v>
      </c>
      <c r="W25" s="2">
        <f t="shared" si="12"/>
        <v>0.50975700537034085</v>
      </c>
      <c r="X25" s="2">
        <f t="shared" si="13"/>
        <v>1E-3</v>
      </c>
      <c r="Y25" s="2">
        <f t="shared" si="14"/>
        <v>7.7620967741935484E-2</v>
      </c>
      <c r="Z25" s="2">
        <f t="shared" si="15"/>
        <v>0.39529675251959684</v>
      </c>
      <c r="AA25" s="9">
        <f t="shared" si="16"/>
        <v>8.7898443130410675E-2</v>
      </c>
      <c r="AB25" s="2"/>
      <c r="AC25" s="16">
        <f t="shared" si="18"/>
        <v>1.1616363618348051</v>
      </c>
      <c r="AD25" s="17">
        <f t="shared" si="19"/>
        <v>2.5612463150671747</v>
      </c>
      <c r="AE25" s="2">
        <f t="shared" si="20"/>
        <v>1.1616363618348051</v>
      </c>
      <c r="AF25">
        <f t="shared" si="21"/>
        <v>1</v>
      </c>
      <c r="AG25">
        <f t="shared" si="22"/>
        <v>0</v>
      </c>
      <c r="AI25" s="16">
        <f t="shared" si="28"/>
        <v>3.2819066606832514</v>
      </c>
      <c r="AJ25" s="17">
        <f t="shared" si="24"/>
        <v>2.878382098260452</v>
      </c>
      <c r="AK25" s="2">
        <f t="shared" si="25"/>
        <v>2.878382098260452</v>
      </c>
      <c r="AL25">
        <f t="shared" si="26"/>
        <v>0</v>
      </c>
      <c r="AM25">
        <f t="shared" si="27"/>
        <v>1</v>
      </c>
    </row>
    <row r="26" spans="1:39" x14ac:dyDescent="0.3">
      <c r="A26" s="4"/>
      <c r="B26">
        <v>201493</v>
      </c>
      <c r="C26">
        <v>49</v>
      </c>
      <c r="D26">
        <v>0.72599999999999998</v>
      </c>
      <c r="E26">
        <v>0.66700000000000004</v>
      </c>
      <c r="F26">
        <v>10</v>
      </c>
      <c r="G26">
        <v>-4.0720000000000001</v>
      </c>
      <c r="H26">
        <v>4.9099999999999998E-2</v>
      </c>
      <c r="I26">
        <v>0.48199999999999998</v>
      </c>
      <c r="J26">
        <v>0</v>
      </c>
      <c r="K26">
        <v>4.4600000000000001E-2</v>
      </c>
      <c r="L26">
        <v>0.20499999999999999</v>
      </c>
      <c r="M26" s="5">
        <v>87.085999999999999</v>
      </c>
      <c r="O26" s="4"/>
      <c r="P26" s="2">
        <f t="shared" si="17"/>
        <v>0.27950363836509456</v>
      </c>
      <c r="Q26" s="2">
        <f t="shared" si="6"/>
        <v>0.29032258064516131</v>
      </c>
      <c r="R26" s="2">
        <f t="shared" si="7"/>
        <v>1</v>
      </c>
      <c r="S26" s="2">
        <f t="shared" si="8"/>
        <v>0.77371398500197353</v>
      </c>
      <c r="T26" s="2">
        <f t="shared" si="9"/>
        <v>0.90909090909090906</v>
      </c>
      <c r="U26" s="2">
        <f t="shared" si="10"/>
        <v>1</v>
      </c>
      <c r="V26" s="2">
        <f t="shared" si="11"/>
        <v>0.30361757105943149</v>
      </c>
      <c r="W26" s="2">
        <f t="shared" si="12"/>
        <v>0.51082043919817099</v>
      </c>
      <c r="X26" s="2">
        <f t="shared" si="13"/>
        <v>0</v>
      </c>
      <c r="Y26" s="2">
        <f t="shared" si="14"/>
        <v>0</v>
      </c>
      <c r="Z26" s="2">
        <f t="shared" si="15"/>
        <v>0.16813309870420731</v>
      </c>
      <c r="AA26" s="9">
        <f t="shared" si="16"/>
        <v>0.15665077669818611</v>
      </c>
      <c r="AB26" s="2"/>
      <c r="AC26" s="16">
        <f t="shared" si="18"/>
        <v>1.9983539355053765</v>
      </c>
      <c r="AD26" s="17">
        <f t="shared" si="19"/>
        <v>2.282479453143786</v>
      </c>
      <c r="AE26" s="2">
        <f t="shared" si="20"/>
        <v>1.9983539355053765</v>
      </c>
      <c r="AF26">
        <f t="shared" si="21"/>
        <v>1</v>
      </c>
      <c r="AG26">
        <f t="shared" si="22"/>
        <v>0</v>
      </c>
      <c r="AI26" s="16">
        <f t="shared" si="28"/>
        <v>3.8213189754850188</v>
      </c>
      <c r="AJ26" s="17">
        <f t="shared" si="24"/>
        <v>3.125005646838547</v>
      </c>
      <c r="AK26" s="2">
        <f t="shared" si="25"/>
        <v>3.125005646838547</v>
      </c>
      <c r="AL26">
        <f t="shared" si="26"/>
        <v>0</v>
      </c>
      <c r="AM26">
        <f t="shared" si="27"/>
        <v>1</v>
      </c>
    </row>
    <row r="27" spans="1:39" x14ac:dyDescent="0.3">
      <c r="A27" s="4"/>
      <c r="B27">
        <v>224893</v>
      </c>
      <c r="C27">
        <v>50</v>
      </c>
      <c r="D27">
        <v>0.44400000000000001</v>
      </c>
      <c r="E27">
        <v>7.8899999999999998E-2</v>
      </c>
      <c r="F27">
        <v>11</v>
      </c>
      <c r="G27">
        <v>-13.848000000000001</v>
      </c>
      <c r="H27">
        <v>4.6399999999999997E-2</v>
      </c>
      <c r="I27">
        <v>0.84</v>
      </c>
      <c r="J27">
        <v>1.64E-4</v>
      </c>
      <c r="K27">
        <v>0.106</v>
      </c>
      <c r="L27">
        <v>0.154</v>
      </c>
      <c r="M27" s="5">
        <v>87.347999999999999</v>
      </c>
      <c r="O27" s="4"/>
      <c r="P27" s="2">
        <f t="shared" si="17"/>
        <v>0.3910134526583654</v>
      </c>
      <c r="Q27" s="2">
        <f t="shared" si="6"/>
        <v>0.32258064516129031</v>
      </c>
      <c r="R27" s="2">
        <f t="shared" si="7"/>
        <v>0.42448979591836739</v>
      </c>
      <c r="S27" s="2">
        <f t="shared" si="8"/>
        <v>0</v>
      </c>
      <c r="T27" s="2">
        <f t="shared" si="9"/>
        <v>1</v>
      </c>
      <c r="U27" s="2">
        <f t="shared" si="10"/>
        <v>1.4118596208148324E-2</v>
      </c>
      <c r="V27" s="2">
        <f t="shared" si="11"/>
        <v>0.26873385012919893</v>
      </c>
      <c r="W27" s="2">
        <f t="shared" si="12"/>
        <v>0.89152974956133357</v>
      </c>
      <c r="X27" s="2">
        <f t="shared" si="13"/>
        <v>2.7242524916943523E-3</v>
      </c>
      <c r="Y27" s="2">
        <f t="shared" si="14"/>
        <v>8.8421658986175114E-2</v>
      </c>
      <c r="Z27" s="2">
        <f t="shared" si="15"/>
        <v>8.6546152615581504E-2</v>
      </c>
      <c r="AA27" s="9">
        <f t="shared" si="16"/>
        <v>0.1589257339341999</v>
      </c>
      <c r="AB27" s="2"/>
      <c r="AC27" s="16">
        <f t="shared" si="18"/>
        <v>1.531325350053653</v>
      </c>
      <c r="AD27" s="17">
        <f t="shared" si="19"/>
        <v>2.6545789783670464</v>
      </c>
      <c r="AE27" s="2">
        <f t="shared" si="20"/>
        <v>1.531325350053653</v>
      </c>
      <c r="AF27">
        <f t="shared" si="21"/>
        <v>1</v>
      </c>
      <c r="AG27">
        <f t="shared" si="22"/>
        <v>0</v>
      </c>
      <c r="AI27" s="16">
        <f t="shared" si="28"/>
        <v>3.6938219801648349</v>
      </c>
      <c r="AJ27" s="17">
        <f t="shared" si="24"/>
        <v>3.03580280465708</v>
      </c>
      <c r="AK27" s="2">
        <f t="shared" si="25"/>
        <v>3.03580280465708</v>
      </c>
      <c r="AL27">
        <f t="shared" si="26"/>
        <v>0</v>
      </c>
      <c r="AM27">
        <f t="shared" si="27"/>
        <v>1</v>
      </c>
    </row>
    <row r="28" spans="1:39" x14ac:dyDescent="0.3">
      <c r="A28" s="4"/>
      <c r="B28">
        <v>221813</v>
      </c>
      <c r="C28">
        <v>49</v>
      </c>
      <c r="D28">
        <v>0.60199999999999998</v>
      </c>
      <c r="E28">
        <v>0.61899999999999999</v>
      </c>
      <c r="F28">
        <v>5</v>
      </c>
      <c r="G28">
        <v>-8.1940000000000008</v>
      </c>
      <c r="H28">
        <v>3.56E-2</v>
      </c>
      <c r="I28">
        <v>7.7100000000000002E-2</v>
      </c>
      <c r="J28">
        <v>0</v>
      </c>
      <c r="K28">
        <v>8.8700000000000001E-2</v>
      </c>
      <c r="L28">
        <v>0.22800000000000001</v>
      </c>
      <c r="M28" s="5">
        <v>107.428</v>
      </c>
      <c r="O28" s="4"/>
      <c r="P28" s="2">
        <f t="shared" si="17"/>
        <v>0.37633609248643057</v>
      </c>
      <c r="Q28" s="2">
        <f t="shared" si="6"/>
        <v>0.29032258064516131</v>
      </c>
      <c r="R28" s="2">
        <f t="shared" si="7"/>
        <v>0.74693877551020404</v>
      </c>
      <c r="S28" s="2">
        <f t="shared" si="8"/>
        <v>0.71056439942112881</v>
      </c>
      <c r="T28" s="2">
        <f t="shared" si="9"/>
        <v>0.45454545454545453</v>
      </c>
      <c r="U28" s="2">
        <f t="shared" si="10"/>
        <v>0.5843081887858006</v>
      </c>
      <c r="V28" s="2">
        <f t="shared" si="11"/>
        <v>0.12919896640826872</v>
      </c>
      <c r="W28" s="2">
        <f t="shared" si="12"/>
        <v>8.0236082309778287E-2</v>
      </c>
      <c r="X28" s="2">
        <f t="shared" si="13"/>
        <v>0</v>
      </c>
      <c r="Y28" s="2">
        <f t="shared" si="14"/>
        <v>6.3508064516129031E-2</v>
      </c>
      <c r="Z28" s="2">
        <f t="shared" si="15"/>
        <v>0.20492721164613661</v>
      </c>
      <c r="AA28" s="9">
        <f t="shared" si="16"/>
        <v>0.33328123507602003</v>
      </c>
      <c r="AB28" s="2"/>
      <c r="AC28" s="16">
        <f t="shared" si="18"/>
        <v>1.4202105495195843</v>
      </c>
      <c r="AD28" s="17">
        <f t="shared" si="19"/>
        <v>2.4634658313574587</v>
      </c>
      <c r="AE28" s="2">
        <f t="shared" si="20"/>
        <v>1.4202105495195843</v>
      </c>
      <c r="AF28">
        <f t="shared" si="21"/>
        <v>1</v>
      </c>
      <c r="AG28">
        <f t="shared" si="22"/>
        <v>0</v>
      </c>
      <c r="AI28" s="16">
        <f t="shared" si="28"/>
        <v>3.3590020738323405</v>
      </c>
      <c r="AJ28" s="17">
        <f t="shared" si="24"/>
        <v>3.0087901141994009</v>
      </c>
      <c r="AK28" s="2">
        <f t="shared" si="25"/>
        <v>3.0087901141994009</v>
      </c>
      <c r="AL28">
        <f t="shared" si="26"/>
        <v>0</v>
      </c>
      <c r="AM28">
        <f t="shared" si="27"/>
        <v>1</v>
      </c>
    </row>
    <row r="29" spans="1:39" x14ac:dyDescent="0.3">
      <c r="A29" s="4"/>
      <c r="B29">
        <v>207600</v>
      </c>
      <c r="C29">
        <v>52</v>
      </c>
      <c r="D29">
        <v>0.36199999999999999</v>
      </c>
      <c r="E29">
        <v>0.54300000000000004</v>
      </c>
      <c r="F29">
        <v>5</v>
      </c>
      <c r="G29">
        <v>-7.069</v>
      </c>
      <c r="H29">
        <v>3.8600000000000002E-2</v>
      </c>
      <c r="I29">
        <v>0.6</v>
      </c>
      <c r="J29">
        <v>3.2899999999999997E-4</v>
      </c>
      <c r="K29">
        <v>0.10100000000000001</v>
      </c>
      <c r="L29">
        <v>0.35399999999999998</v>
      </c>
      <c r="M29" s="5">
        <v>179.44300000000001</v>
      </c>
      <c r="O29" s="4"/>
      <c r="P29" s="2">
        <f t="shared" si="17"/>
        <v>0.30860579374496655</v>
      </c>
      <c r="Q29" s="2">
        <f t="shared" si="6"/>
        <v>0.38709677419354838</v>
      </c>
      <c r="R29" s="2">
        <f t="shared" si="7"/>
        <v>0.25714285714285717</v>
      </c>
      <c r="S29" s="2">
        <f t="shared" si="8"/>
        <v>0.61057755558479154</v>
      </c>
      <c r="T29" s="2">
        <f t="shared" si="9"/>
        <v>0.45454545454545453</v>
      </c>
      <c r="U29" s="2">
        <f t="shared" si="10"/>
        <v>0.69776119402985071</v>
      </c>
      <c r="V29" s="2">
        <f t="shared" si="11"/>
        <v>0.16795865633074938</v>
      </c>
      <c r="W29" s="2">
        <f t="shared" si="12"/>
        <v>0.63630563088211833</v>
      </c>
      <c r="X29" s="2">
        <f t="shared" si="13"/>
        <v>5.4651162790697672E-3</v>
      </c>
      <c r="Y29" s="2">
        <f t="shared" si="14"/>
        <v>8.1221198156682037E-2</v>
      </c>
      <c r="Z29" s="2">
        <f t="shared" si="15"/>
        <v>0.40649496080627101</v>
      </c>
      <c r="AA29" s="9">
        <f t="shared" si="16"/>
        <v>0.95859056847881796</v>
      </c>
      <c r="AB29" s="2"/>
      <c r="AC29" s="16">
        <f t="shared" si="18"/>
        <v>1.7033340397061014</v>
      </c>
      <c r="AD29" s="17">
        <f t="shared" si="19"/>
        <v>2.2266152183238019</v>
      </c>
      <c r="AE29" s="2">
        <f t="shared" si="20"/>
        <v>1.7033340397061014</v>
      </c>
      <c r="AF29">
        <f t="shared" si="21"/>
        <v>1</v>
      </c>
      <c r="AG29">
        <f t="shared" si="22"/>
        <v>0</v>
      </c>
      <c r="AI29" s="16">
        <f t="shared" si="28"/>
        <v>3.6447722535031284</v>
      </c>
      <c r="AJ29" s="17">
        <f t="shared" si="24"/>
        <v>2.7396579937223633</v>
      </c>
      <c r="AK29" s="2">
        <f t="shared" si="25"/>
        <v>2.7396579937223633</v>
      </c>
      <c r="AL29">
        <f t="shared" si="26"/>
        <v>0</v>
      </c>
      <c r="AM29">
        <f t="shared" si="27"/>
        <v>1</v>
      </c>
    </row>
    <row r="30" spans="1:39" x14ac:dyDescent="0.3">
      <c r="A30" s="4"/>
      <c r="B30">
        <v>142840</v>
      </c>
      <c r="C30">
        <v>49</v>
      </c>
      <c r="D30">
        <v>0.58599999999999997</v>
      </c>
      <c r="E30">
        <v>0.70899999999999996</v>
      </c>
      <c r="F30">
        <v>11</v>
      </c>
      <c r="G30">
        <v>-5.24</v>
      </c>
      <c r="H30">
        <v>5.4699999999999999E-2</v>
      </c>
      <c r="I30">
        <v>0.28199999999999997</v>
      </c>
      <c r="J30">
        <v>0</v>
      </c>
      <c r="K30">
        <v>0.16500000000000001</v>
      </c>
      <c r="L30">
        <v>0.45100000000000001</v>
      </c>
      <c r="M30" s="5">
        <v>93.296999999999997</v>
      </c>
      <c r="O30" s="4"/>
      <c r="P30" s="2">
        <f t="shared" si="17"/>
        <v>0</v>
      </c>
      <c r="Q30" s="2">
        <f t="shared" si="6"/>
        <v>0.29032258064516131</v>
      </c>
      <c r="R30" s="2">
        <f t="shared" si="7"/>
        <v>0.7142857142857143</v>
      </c>
      <c r="S30" s="2">
        <f t="shared" si="8"/>
        <v>0.82896987238521247</v>
      </c>
      <c r="T30" s="2">
        <f t="shared" si="9"/>
        <v>1</v>
      </c>
      <c r="U30" s="2">
        <f t="shared" si="10"/>
        <v>0.88221056877773285</v>
      </c>
      <c r="V30" s="2">
        <f t="shared" si="11"/>
        <v>0.37596899224806202</v>
      </c>
      <c r="W30" s="2">
        <f t="shared" si="12"/>
        <v>0.29813367363215826</v>
      </c>
      <c r="X30" s="2">
        <f t="shared" si="13"/>
        <v>0</v>
      </c>
      <c r="Y30" s="2">
        <f t="shared" si="14"/>
        <v>0.17338709677419356</v>
      </c>
      <c r="Z30" s="2">
        <f t="shared" si="15"/>
        <v>0.56167013277875544</v>
      </c>
      <c r="AA30" s="9">
        <f t="shared" si="16"/>
        <v>0.21058115606032976</v>
      </c>
      <c r="AB30" s="2"/>
      <c r="AC30" s="16">
        <f t="shared" si="18"/>
        <v>1.9183573797932514</v>
      </c>
      <c r="AD30" s="17">
        <f t="shared" si="19"/>
        <v>2.2380874561626469</v>
      </c>
      <c r="AE30" s="2">
        <f t="shared" si="20"/>
        <v>1.9183573797932514</v>
      </c>
      <c r="AF30">
        <f t="shared" si="21"/>
        <v>1</v>
      </c>
      <c r="AG30">
        <f t="shared" si="22"/>
        <v>0</v>
      </c>
      <c r="AI30" s="16">
        <f t="shared" si="28"/>
        <v>3.7402329809523454</v>
      </c>
      <c r="AJ30" s="17">
        <f t="shared" si="24"/>
        <v>2.9326193440878705</v>
      </c>
      <c r="AK30" s="2">
        <f t="shared" si="25"/>
        <v>2.9326193440878705</v>
      </c>
      <c r="AL30">
        <f t="shared" si="26"/>
        <v>0</v>
      </c>
      <c r="AM30">
        <f t="shared" si="27"/>
        <v>1</v>
      </c>
    </row>
    <row r="31" spans="1:39" x14ac:dyDescent="0.3">
      <c r="A31" s="4"/>
      <c r="B31">
        <v>270426</v>
      </c>
      <c r="C31">
        <v>47</v>
      </c>
      <c r="D31">
        <v>0.55800000000000005</v>
      </c>
      <c r="E31">
        <v>0.39800000000000002</v>
      </c>
      <c r="F31">
        <v>5</v>
      </c>
      <c r="G31">
        <v>-7.5990000000000002</v>
      </c>
      <c r="H31">
        <v>2.98E-2</v>
      </c>
      <c r="I31">
        <v>0.68100000000000005</v>
      </c>
      <c r="J31">
        <v>0</v>
      </c>
      <c r="K31">
        <v>8.5900000000000004E-2</v>
      </c>
      <c r="L31">
        <v>0.183</v>
      </c>
      <c r="M31" s="5">
        <v>139.785</v>
      </c>
      <c r="O31" s="4"/>
      <c r="P31" s="2">
        <f t="shared" si="17"/>
        <v>0.60799534899236107</v>
      </c>
      <c r="Q31" s="2">
        <f t="shared" si="6"/>
        <v>0.22580645161290322</v>
      </c>
      <c r="R31" s="2">
        <f t="shared" si="7"/>
        <v>0.65714285714285725</v>
      </c>
      <c r="S31" s="2">
        <f t="shared" si="8"/>
        <v>0.41981318247599009</v>
      </c>
      <c r="T31" s="2">
        <f t="shared" si="9"/>
        <v>0.45454545454545453</v>
      </c>
      <c r="U31" s="2">
        <f t="shared" si="10"/>
        <v>0.64431222267043153</v>
      </c>
      <c r="V31" s="2">
        <f t="shared" si="11"/>
        <v>5.4263565891472854E-2</v>
      </c>
      <c r="W31" s="2">
        <f t="shared" si="12"/>
        <v>0.72244377093635359</v>
      </c>
      <c r="X31" s="2">
        <f t="shared" si="13"/>
        <v>0</v>
      </c>
      <c r="Y31" s="2">
        <f t="shared" si="14"/>
        <v>5.9475806451612906E-2</v>
      </c>
      <c r="Z31" s="2">
        <f t="shared" si="15"/>
        <v>0.13293872980323149</v>
      </c>
      <c r="AA31" s="9">
        <f t="shared" si="16"/>
        <v>0.61423845372372299</v>
      </c>
      <c r="AB31" s="2"/>
      <c r="AC31" s="16">
        <f t="shared" si="18"/>
        <v>1.6043207421232728</v>
      </c>
      <c r="AD31" s="17">
        <f t="shared" si="19"/>
        <v>2.3211836108145745</v>
      </c>
      <c r="AE31" s="2">
        <f t="shared" si="20"/>
        <v>1.6043207421232728</v>
      </c>
      <c r="AF31">
        <f t="shared" si="21"/>
        <v>1</v>
      </c>
      <c r="AG31">
        <f t="shared" si="22"/>
        <v>0</v>
      </c>
      <c r="AI31" s="16">
        <f t="shared" si="28"/>
        <v>3.5297240592635282</v>
      </c>
      <c r="AJ31" s="17">
        <f t="shared" si="24"/>
        <v>2.869247478139306</v>
      </c>
      <c r="AK31" s="2">
        <f t="shared" si="25"/>
        <v>2.869247478139306</v>
      </c>
      <c r="AL31">
        <f t="shared" si="26"/>
        <v>0</v>
      </c>
      <c r="AM31">
        <f t="shared" si="27"/>
        <v>1</v>
      </c>
    </row>
    <row r="32" spans="1:39" x14ac:dyDescent="0.3">
      <c r="A32" s="4"/>
      <c r="B32">
        <v>303593</v>
      </c>
      <c r="C32">
        <v>51</v>
      </c>
      <c r="D32">
        <v>0.44400000000000001</v>
      </c>
      <c r="E32">
        <v>0.72899999999999998</v>
      </c>
      <c r="F32">
        <v>2</v>
      </c>
      <c r="G32">
        <v>-5.4420000000000002</v>
      </c>
      <c r="H32">
        <v>2.81E-2</v>
      </c>
      <c r="I32">
        <v>6.9499999999999996E-3</v>
      </c>
      <c r="J32">
        <v>1.7999999999999999E-6</v>
      </c>
      <c r="K32">
        <v>7.0300000000000001E-2</v>
      </c>
      <c r="L32">
        <v>0.38800000000000001</v>
      </c>
      <c r="M32" s="5">
        <v>95.257999999999996</v>
      </c>
      <c r="O32" s="4"/>
      <c r="P32" s="2">
        <f t="shared" si="17"/>
        <v>0.76604859731137442</v>
      </c>
      <c r="Q32" s="2">
        <f t="shared" si="6"/>
        <v>0.35483870967741937</v>
      </c>
      <c r="R32" s="2">
        <f t="shared" si="7"/>
        <v>0.42448979591836739</v>
      </c>
      <c r="S32" s="2">
        <f t="shared" si="8"/>
        <v>0.85528219971056441</v>
      </c>
      <c r="T32" s="2">
        <f t="shared" si="9"/>
        <v>0.18181818181818182</v>
      </c>
      <c r="U32" s="2">
        <f t="shared" si="10"/>
        <v>0.86183945139169005</v>
      </c>
      <c r="V32" s="2">
        <f t="shared" si="11"/>
        <v>3.2299741602067167E-2</v>
      </c>
      <c r="W32" s="2">
        <f t="shared" si="12"/>
        <v>5.6361992874993348E-3</v>
      </c>
      <c r="X32" s="2">
        <f t="shared" si="13"/>
        <v>2.9900332225913621E-5</v>
      </c>
      <c r="Y32" s="2">
        <f t="shared" si="14"/>
        <v>3.7010368663594473E-2</v>
      </c>
      <c r="Z32" s="2">
        <f t="shared" si="15"/>
        <v>0.46088625819868828</v>
      </c>
      <c r="AA32" s="9">
        <f t="shared" si="16"/>
        <v>0.22760860315889098</v>
      </c>
      <c r="AB32" s="2"/>
      <c r="AC32" s="16">
        <f t="shared" si="18"/>
        <v>1.633074373714976</v>
      </c>
      <c r="AD32" s="17">
        <f t="shared" si="19"/>
        <v>2.5002711644826512</v>
      </c>
      <c r="AE32" s="2">
        <f t="shared" si="20"/>
        <v>1.633074373714976</v>
      </c>
      <c r="AF32">
        <f t="shared" si="21"/>
        <v>1</v>
      </c>
      <c r="AG32">
        <f t="shared" si="22"/>
        <v>0</v>
      </c>
      <c r="AI32" s="16">
        <f t="shared" si="28"/>
        <v>3.5849527672862718</v>
      </c>
      <c r="AJ32" s="17">
        <f t="shared" si="24"/>
        <v>3.1292338323241937</v>
      </c>
      <c r="AK32" s="2">
        <f t="shared" si="25"/>
        <v>3.1292338323241937</v>
      </c>
      <c r="AL32">
        <f t="shared" si="26"/>
        <v>0</v>
      </c>
      <c r="AM32">
        <f t="shared" si="27"/>
        <v>1</v>
      </c>
    </row>
    <row r="33" spans="1:39" x14ac:dyDescent="0.3">
      <c r="A33" s="4"/>
      <c r="B33">
        <v>230108</v>
      </c>
      <c r="C33">
        <v>47</v>
      </c>
      <c r="D33">
        <v>0.54200000000000004</v>
      </c>
      <c r="E33">
        <v>0.58399999999999996</v>
      </c>
      <c r="F33">
        <v>9</v>
      </c>
      <c r="G33">
        <v>-6.7839999999999998</v>
      </c>
      <c r="H33">
        <v>5.8700000000000002E-2</v>
      </c>
      <c r="I33">
        <v>0.38300000000000001</v>
      </c>
      <c r="J33">
        <v>3.2400000000000001E-5</v>
      </c>
      <c r="K33">
        <v>0.29699999999999999</v>
      </c>
      <c r="L33">
        <v>0.247</v>
      </c>
      <c r="M33" s="5">
        <v>91.647999999999996</v>
      </c>
      <c r="O33" s="4"/>
      <c r="P33" s="2">
        <f t="shared" si="17"/>
        <v>0.41586489204039134</v>
      </c>
      <c r="Q33" s="2">
        <f t="shared" si="6"/>
        <v>0.22580645161290322</v>
      </c>
      <c r="R33" s="2">
        <f t="shared" si="7"/>
        <v>0.62448979591836751</v>
      </c>
      <c r="S33" s="2">
        <f t="shared" si="8"/>
        <v>0.66451782660176295</v>
      </c>
      <c r="T33" s="2">
        <f t="shared" si="9"/>
        <v>0.81818181818181823</v>
      </c>
      <c r="U33" s="2">
        <f t="shared" si="10"/>
        <v>0.72650262202501004</v>
      </c>
      <c r="V33" s="2">
        <f t="shared" si="11"/>
        <v>0.42764857881136958</v>
      </c>
      <c r="W33" s="2">
        <f t="shared" si="12"/>
        <v>0.40554049024299471</v>
      </c>
      <c r="X33" s="2">
        <f t="shared" si="13"/>
        <v>5.3820598006644525E-4</v>
      </c>
      <c r="Y33" s="2">
        <f t="shared" si="14"/>
        <v>0.363479262672811</v>
      </c>
      <c r="Z33" s="2">
        <f t="shared" si="15"/>
        <v>0.23532234842425215</v>
      </c>
      <c r="AA33" s="9">
        <f t="shared" si="16"/>
        <v>0.19626281834205977</v>
      </c>
      <c r="AB33" s="2"/>
      <c r="AC33" s="16">
        <f t="shared" si="18"/>
        <v>1.6810980692060249</v>
      </c>
      <c r="AD33" s="17">
        <f t="shared" si="19"/>
        <v>2.1489021607743366</v>
      </c>
      <c r="AE33" s="2">
        <f t="shared" si="20"/>
        <v>1.6810980692060249</v>
      </c>
      <c r="AF33">
        <f t="shared" si="21"/>
        <v>1</v>
      </c>
      <c r="AG33">
        <f t="shared" si="22"/>
        <v>0</v>
      </c>
      <c r="AI33" s="16">
        <f t="shared" si="28"/>
        <v>3.44141271790137</v>
      </c>
      <c r="AJ33" s="17">
        <f t="shared" si="24"/>
        <v>2.7501893548651184</v>
      </c>
      <c r="AK33" s="2">
        <f t="shared" si="25"/>
        <v>2.7501893548651184</v>
      </c>
      <c r="AL33">
        <f t="shared" si="26"/>
        <v>0</v>
      </c>
      <c r="AM33">
        <f t="shared" si="27"/>
        <v>1</v>
      </c>
    </row>
    <row r="34" spans="1:39" x14ac:dyDescent="0.3">
      <c r="A34" s="4"/>
      <c r="B34">
        <v>193373</v>
      </c>
      <c r="C34">
        <v>48</v>
      </c>
      <c r="D34">
        <v>0.44400000000000001</v>
      </c>
      <c r="E34">
        <v>0.55800000000000005</v>
      </c>
      <c r="F34">
        <v>8</v>
      </c>
      <c r="G34">
        <v>-5.6840000000000002</v>
      </c>
      <c r="H34">
        <v>3.9E-2</v>
      </c>
      <c r="I34">
        <v>0.28199999999999997</v>
      </c>
      <c r="J34">
        <v>1.4899999999999999E-6</v>
      </c>
      <c r="K34">
        <v>0.10199999999999999</v>
      </c>
      <c r="L34">
        <v>0.24399999999999999</v>
      </c>
      <c r="M34" s="5">
        <v>119.22</v>
      </c>
      <c r="O34" s="4"/>
      <c r="P34" s="2">
        <f t="shared" si="17"/>
        <v>0.24080877972999376</v>
      </c>
      <c r="Q34" s="2">
        <f t="shared" si="6"/>
        <v>0.25806451612903225</v>
      </c>
      <c r="R34" s="2">
        <f t="shared" si="7"/>
        <v>0.42448979591836739</v>
      </c>
      <c r="S34" s="2">
        <f t="shared" si="8"/>
        <v>0.63031180107880558</v>
      </c>
      <c r="T34" s="2">
        <f t="shared" si="9"/>
        <v>0.72727272727272729</v>
      </c>
      <c r="U34" s="2">
        <f t="shared" si="10"/>
        <v>0.83743444937474765</v>
      </c>
      <c r="V34" s="2">
        <f t="shared" si="11"/>
        <v>0.1731266149870801</v>
      </c>
      <c r="W34" s="2">
        <f t="shared" si="12"/>
        <v>0.29813367363215826</v>
      </c>
      <c r="X34" s="2">
        <f t="shared" si="13"/>
        <v>2.4750830564784055E-5</v>
      </c>
      <c r="Y34" s="2">
        <f t="shared" si="14"/>
        <v>8.2661290322580627E-2</v>
      </c>
      <c r="Z34" s="2">
        <f t="shared" si="15"/>
        <v>0.2305231163013918</v>
      </c>
      <c r="AA34" s="9">
        <f t="shared" si="16"/>
        <v>0.43567167678241164</v>
      </c>
      <c r="AB34" s="2"/>
      <c r="AC34" s="16">
        <f t="shared" si="18"/>
        <v>1.5168826295836715</v>
      </c>
      <c r="AD34" s="17">
        <f t="shared" si="19"/>
        <v>2.3714734928337173</v>
      </c>
      <c r="AE34" s="2">
        <f t="shared" si="20"/>
        <v>1.5168826295836715</v>
      </c>
      <c r="AF34">
        <f t="shared" si="21"/>
        <v>1</v>
      </c>
      <c r="AG34">
        <f t="shared" si="22"/>
        <v>0</v>
      </c>
      <c r="AI34" s="16">
        <f t="shared" si="28"/>
        <v>3.4050539599070513</v>
      </c>
      <c r="AJ34" s="17">
        <f t="shared" si="24"/>
        <v>2.8885347012220914</v>
      </c>
      <c r="AK34" s="2">
        <f t="shared" si="25"/>
        <v>2.8885347012220914</v>
      </c>
      <c r="AL34">
        <f t="shared" si="26"/>
        <v>0</v>
      </c>
      <c r="AM34">
        <f t="shared" si="27"/>
        <v>1</v>
      </c>
    </row>
    <row r="35" spans="1:39" x14ac:dyDescent="0.3">
      <c r="A35" s="4"/>
      <c r="B35">
        <v>222293</v>
      </c>
      <c r="C35">
        <v>47</v>
      </c>
      <c r="D35">
        <v>0.54300000000000004</v>
      </c>
      <c r="E35">
        <v>0.32700000000000001</v>
      </c>
      <c r="F35">
        <v>9</v>
      </c>
      <c r="G35">
        <v>-6.8129999999999997</v>
      </c>
      <c r="H35">
        <v>3.6799999999999999E-2</v>
      </c>
      <c r="I35">
        <v>0.78500000000000003</v>
      </c>
      <c r="J35">
        <v>0</v>
      </c>
      <c r="K35">
        <v>8.8800000000000004E-2</v>
      </c>
      <c r="L35">
        <v>0.249</v>
      </c>
      <c r="M35" s="5">
        <v>135.25700000000001</v>
      </c>
      <c r="O35" s="4"/>
      <c r="P35" s="2">
        <f t="shared" si="17"/>
        <v>0.37862347329244639</v>
      </c>
      <c r="Q35" s="2">
        <f t="shared" si="6"/>
        <v>0.22580645161290322</v>
      </c>
      <c r="R35" s="2">
        <f t="shared" si="7"/>
        <v>0.62653061224489803</v>
      </c>
      <c r="S35" s="2">
        <f t="shared" si="8"/>
        <v>0.32640442047099066</v>
      </c>
      <c r="T35" s="2">
        <f t="shared" si="9"/>
        <v>0.81818181818181823</v>
      </c>
      <c r="U35" s="2">
        <f t="shared" si="10"/>
        <v>0.72357805566760791</v>
      </c>
      <c r="V35" s="2">
        <f t="shared" si="11"/>
        <v>0.14470284237726097</v>
      </c>
      <c r="W35" s="2">
        <f t="shared" si="12"/>
        <v>0.83304088903068019</v>
      </c>
      <c r="X35" s="2">
        <f t="shared" si="13"/>
        <v>0</v>
      </c>
      <c r="Y35" s="2">
        <f t="shared" si="14"/>
        <v>6.3652073732718903E-2</v>
      </c>
      <c r="Z35" s="2">
        <f t="shared" si="15"/>
        <v>0.23852183650615905</v>
      </c>
      <c r="AA35" s="9">
        <f t="shared" si="16"/>
        <v>0.57492163553795805</v>
      </c>
      <c r="AB35" s="2"/>
      <c r="AC35" s="16">
        <f t="shared" si="18"/>
        <v>1.7299672272986877</v>
      </c>
      <c r="AD35" s="17">
        <f t="shared" si="19"/>
        <v>2.2549630573950932</v>
      </c>
      <c r="AE35" s="2">
        <f t="shared" si="20"/>
        <v>1.7299672272986877</v>
      </c>
      <c r="AF35">
        <f t="shared" si="21"/>
        <v>1</v>
      </c>
      <c r="AG35">
        <f t="shared" si="22"/>
        <v>0</v>
      </c>
      <c r="AI35" s="16">
        <f t="shared" si="28"/>
        <v>3.6299871598465905</v>
      </c>
      <c r="AJ35" s="17">
        <f t="shared" si="24"/>
        <v>2.8350190832332376</v>
      </c>
      <c r="AK35" s="2">
        <f t="shared" si="25"/>
        <v>2.8350190832332376</v>
      </c>
      <c r="AL35">
        <f t="shared" si="26"/>
        <v>0</v>
      </c>
      <c r="AM35">
        <f t="shared" si="27"/>
        <v>1</v>
      </c>
    </row>
    <row r="36" spans="1:39" x14ac:dyDescent="0.3">
      <c r="A36" s="4"/>
      <c r="B36">
        <v>220720</v>
      </c>
      <c r="C36">
        <v>46</v>
      </c>
      <c r="D36">
        <v>0.45700000000000002</v>
      </c>
      <c r="E36">
        <v>0.36599999999999999</v>
      </c>
      <c r="F36">
        <v>2</v>
      </c>
      <c r="G36">
        <v>-7.3780000000000001</v>
      </c>
      <c r="H36">
        <v>4.1300000000000003E-2</v>
      </c>
      <c r="I36">
        <v>0.79200000000000004</v>
      </c>
      <c r="J36">
        <v>3.0700000000000001E-5</v>
      </c>
      <c r="K36">
        <v>8.8099999999999998E-2</v>
      </c>
      <c r="L36">
        <v>0.26300000000000001</v>
      </c>
      <c r="M36" s="5">
        <v>141.36000000000001</v>
      </c>
      <c r="O36" s="4"/>
      <c r="P36" s="2">
        <f t="shared" si="17"/>
        <v>0.37112753577606544</v>
      </c>
      <c r="Q36" s="2">
        <f t="shared" si="6"/>
        <v>0.19354838709677419</v>
      </c>
      <c r="R36" s="2">
        <f t="shared" si="7"/>
        <v>0.45102040816326538</v>
      </c>
      <c r="S36" s="2">
        <f t="shared" si="8"/>
        <v>0.37771345875542695</v>
      </c>
      <c r="T36" s="2">
        <f t="shared" si="9"/>
        <v>0.18181818181818182</v>
      </c>
      <c r="U36" s="2">
        <f t="shared" si="10"/>
        <v>0.66659943525615162</v>
      </c>
      <c r="V36" s="2">
        <f t="shared" si="11"/>
        <v>0.20284237726098195</v>
      </c>
      <c r="W36" s="2">
        <f t="shared" si="12"/>
        <v>0.84048492582549061</v>
      </c>
      <c r="X36" s="2">
        <f t="shared" si="13"/>
        <v>5.0996677740863794E-4</v>
      </c>
      <c r="Y36" s="2">
        <f t="shared" si="14"/>
        <v>6.2644009216589858E-2</v>
      </c>
      <c r="Z36" s="2">
        <f t="shared" si="15"/>
        <v>0.26091825307950733</v>
      </c>
      <c r="AA36" s="9">
        <f t="shared" si="16"/>
        <v>0.62791424626846248</v>
      </c>
      <c r="AB36" s="2"/>
      <c r="AC36" s="16">
        <f t="shared" si="18"/>
        <v>1.4874593297814147</v>
      </c>
      <c r="AD36" s="17">
        <f t="shared" si="19"/>
        <v>2.3954650669891144</v>
      </c>
      <c r="AE36" s="2">
        <f t="shared" si="20"/>
        <v>1.4874593297814147</v>
      </c>
      <c r="AF36">
        <f t="shared" si="21"/>
        <v>1</v>
      </c>
      <c r="AG36">
        <f t="shared" si="22"/>
        <v>0</v>
      </c>
      <c r="AI36" s="16">
        <f t="shared" si="28"/>
        <v>3.518119172319107</v>
      </c>
      <c r="AJ36" s="17">
        <f t="shared" si="24"/>
        <v>2.7650980996482759</v>
      </c>
      <c r="AK36" s="2">
        <f t="shared" si="25"/>
        <v>2.7650980996482759</v>
      </c>
      <c r="AL36">
        <f t="shared" si="26"/>
        <v>0</v>
      </c>
      <c r="AM36">
        <f t="shared" si="27"/>
        <v>1</v>
      </c>
    </row>
    <row r="37" spans="1:39" x14ac:dyDescent="0.3">
      <c r="A37" s="4"/>
      <c r="B37">
        <v>231693</v>
      </c>
      <c r="C37">
        <v>45</v>
      </c>
      <c r="D37">
        <v>0.42199999999999999</v>
      </c>
      <c r="E37">
        <v>0.47499999999999998</v>
      </c>
      <c r="F37">
        <v>11</v>
      </c>
      <c r="G37">
        <v>-5.9489999999999998</v>
      </c>
      <c r="H37">
        <v>3.6900000000000002E-2</v>
      </c>
      <c r="I37">
        <v>0.45500000000000002</v>
      </c>
      <c r="J37">
        <v>0</v>
      </c>
      <c r="K37">
        <v>0.14399999999999999</v>
      </c>
      <c r="L37">
        <v>0.28899999999999998</v>
      </c>
      <c r="M37" s="5">
        <v>167.64699999999999</v>
      </c>
      <c r="O37" s="4"/>
      <c r="P37" s="2">
        <f t="shared" si="17"/>
        <v>0.4234180140769227</v>
      </c>
      <c r="Q37" s="2">
        <f t="shared" si="6"/>
        <v>0.16129032258064516</v>
      </c>
      <c r="R37" s="2">
        <f t="shared" si="7"/>
        <v>0.37959183673469388</v>
      </c>
      <c r="S37" s="2">
        <f t="shared" si="8"/>
        <v>0.52111564267859489</v>
      </c>
      <c r="T37" s="2">
        <f t="shared" si="9"/>
        <v>1</v>
      </c>
      <c r="U37" s="2">
        <f t="shared" si="10"/>
        <v>0.81070996369503823</v>
      </c>
      <c r="V37" s="2">
        <f t="shared" si="11"/>
        <v>0.1459948320413437</v>
      </c>
      <c r="W37" s="2">
        <f t="shared" si="12"/>
        <v>0.48210772584675926</v>
      </c>
      <c r="X37" s="2">
        <f t="shared" si="13"/>
        <v>0</v>
      </c>
      <c r="Y37" s="2">
        <f t="shared" si="14"/>
        <v>0.14314516129032256</v>
      </c>
      <c r="Z37" s="2">
        <f t="shared" si="15"/>
        <v>0.3025115981442969</v>
      </c>
      <c r="AA37" s="9">
        <f t="shared" si="16"/>
        <v>0.85616539460088392</v>
      </c>
      <c r="AB37" s="2"/>
      <c r="AC37" s="16">
        <f t="shared" si="18"/>
        <v>1.8376519912720193</v>
      </c>
      <c r="AD37" s="17">
        <f t="shared" si="19"/>
        <v>2.2192034286308715</v>
      </c>
      <c r="AE37" s="2">
        <f t="shared" si="20"/>
        <v>1.8376519912720193</v>
      </c>
      <c r="AF37">
        <f t="shared" si="21"/>
        <v>1</v>
      </c>
      <c r="AG37">
        <f t="shared" si="22"/>
        <v>0</v>
      </c>
      <c r="AI37" s="16">
        <f t="shared" si="28"/>
        <v>3.7118134216481975</v>
      </c>
      <c r="AJ37" s="17">
        <f t="shared" si="24"/>
        <v>2.8510865702273351</v>
      </c>
      <c r="AK37" s="2">
        <f t="shared" si="25"/>
        <v>2.8510865702273351</v>
      </c>
      <c r="AL37">
        <f t="shared" si="26"/>
        <v>0</v>
      </c>
      <c r="AM37">
        <f t="shared" si="27"/>
        <v>1</v>
      </c>
    </row>
    <row r="38" spans="1:39" x14ac:dyDescent="0.3">
      <c r="A38" s="4"/>
      <c r="B38">
        <v>174933</v>
      </c>
      <c r="C38">
        <v>49</v>
      </c>
      <c r="D38">
        <v>0.57899999999999996</v>
      </c>
      <c r="E38">
        <v>0.621</v>
      </c>
      <c r="F38">
        <v>5</v>
      </c>
      <c r="G38">
        <v>-5.9340000000000002</v>
      </c>
      <c r="H38">
        <v>3.5299999999999998E-2</v>
      </c>
      <c r="I38">
        <v>0.27</v>
      </c>
      <c r="J38">
        <v>0</v>
      </c>
      <c r="K38">
        <v>9.6500000000000002E-2</v>
      </c>
      <c r="L38">
        <v>0.61099999999999999</v>
      </c>
      <c r="M38" s="5">
        <v>139.38999999999999</v>
      </c>
      <c r="O38" s="4"/>
      <c r="P38" s="2">
        <f t="shared" si="17"/>
        <v>0.15293523376555299</v>
      </c>
      <c r="Q38" s="2">
        <f t="shared" ref="Q38:Q56" si="29">(C38 - $C$2)/($C$3 - $C$2)</f>
        <v>0.29032258064516131</v>
      </c>
      <c r="R38" s="2">
        <f t="shared" ref="R38:R56" si="30">(D38 - $D$2)/($D$3 - $D$2)</f>
        <v>0.7</v>
      </c>
      <c r="S38" s="2">
        <f t="shared" ref="S38:S56" si="31">(E38 - $E$2)/($E$3- $E$2)</f>
        <v>0.71319563215366399</v>
      </c>
      <c r="T38" s="2">
        <f t="shared" ref="T38:T56" si="32">(F38 - $F$2)/($F$3- $F$2)</f>
        <v>0.45454545454545453</v>
      </c>
      <c r="U38" s="2">
        <f t="shared" ref="U38:U56" si="33">(G38 - $G$2)/($G$3- $G$2)</f>
        <v>0.81222267043162544</v>
      </c>
      <c r="V38" s="2">
        <f t="shared" ref="V38:V56" si="34">(H38 - $H$2)/($H$3- $H$2)</f>
        <v>0.12532299741602063</v>
      </c>
      <c r="W38" s="2">
        <f t="shared" ref="W38:W56" si="35">(I38 - $I$2)/($I$3- $I$2)</f>
        <v>0.28537246769819752</v>
      </c>
      <c r="X38" s="2">
        <f t="shared" ref="X38:X56" si="36">(J38 - $J$2)/($J$3- $J$2)</f>
        <v>0</v>
      </c>
      <c r="Y38" s="2">
        <f t="shared" ref="Y38:Y56" si="37">(K38 - $K$2)/($K$3- $K$2)</f>
        <v>7.4740783410138248E-2</v>
      </c>
      <c r="Z38" s="2">
        <f t="shared" ref="Z38:Z56" si="38">(L38 - $L$2)/($L$3- $L$2)</f>
        <v>0.81762917933130697</v>
      </c>
      <c r="AA38" s="9">
        <f t="shared" ref="AA38:AA56" si="39">(M38 - $M$2)/($M$3- $M$2)</f>
        <v>0.61080865178393107</v>
      </c>
      <c r="AB38" s="2"/>
      <c r="AC38" s="16">
        <f t="shared" si="18"/>
        <v>1.7654959078366099</v>
      </c>
      <c r="AD38" s="17">
        <f t="shared" si="19"/>
        <v>2.2456145034768791</v>
      </c>
      <c r="AE38" s="2">
        <f t="shared" si="20"/>
        <v>1.7654959078366099</v>
      </c>
      <c r="AF38">
        <f t="shared" si="21"/>
        <v>1</v>
      </c>
      <c r="AG38">
        <f t="shared" si="22"/>
        <v>0</v>
      </c>
      <c r="AI38" s="16">
        <f t="shared" si="28"/>
        <v>3.6634778922624451</v>
      </c>
      <c r="AJ38" s="17">
        <f t="shared" si="24"/>
        <v>2.8355086791467068</v>
      </c>
      <c r="AK38" s="2">
        <f t="shared" si="25"/>
        <v>2.8355086791467068</v>
      </c>
      <c r="AL38">
        <f t="shared" si="26"/>
        <v>0</v>
      </c>
      <c r="AM38">
        <f t="shared" si="27"/>
        <v>1</v>
      </c>
    </row>
    <row r="39" spans="1:39" x14ac:dyDescent="0.3">
      <c r="A39" s="4"/>
      <c r="B39">
        <v>291533</v>
      </c>
      <c r="C39">
        <v>49</v>
      </c>
      <c r="D39">
        <v>0.41699999999999998</v>
      </c>
      <c r="E39">
        <v>0.63400000000000001</v>
      </c>
      <c r="F39">
        <v>9</v>
      </c>
      <c r="G39">
        <v>-7.181</v>
      </c>
      <c r="H39">
        <v>4.82E-2</v>
      </c>
      <c r="I39">
        <v>1.7299999999999999E-2</v>
      </c>
      <c r="J39">
        <v>2.02E-5</v>
      </c>
      <c r="K39">
        <v>0.113</v>
      </c>
      <c r="L39">
        <v>0.32100000000000001</v>
      </c>
      <c r="M39" s="5">
        <v>152.65100000000001</v>
      </c>
      <c r="O39" s="4"/>
      <c r="P39" s="2">
        <f t="shared" si="17"/>
        <v>0.70857815456022721</v>
      </c>
      <c r="Q39" s="2">
        <f t="shared" si="29"/>
        <v>0.29032258064516131</v>
      </c>
      <c r="R39" s="2">
        <f t="shared" si="30"/>
        <v>0.3693877551020408</v>
      </c>
      <c r="S39" s="2">
        <f t="shared" si="31"/>
        <v>0.73029864491514285</v>
      </c>
      <c r="T39" s="2">
        <f t="shared" si="32"/>
        <v>0.81818181818181823</v>
      </c>
      <c r="U39" s="2">
        <f t="shared" si="33"/>
        <v>0.68646631706333194</v>
      </c>
      <c r="V39" s="2">
        <f t="shared" si="34"/>
        <v>0.29198966408268734</v>
      </c>
      <c r="W39" s="2">
        <f t="shared" si="35"/>
        <v>1.6642739405540494E-2</v>
      </c>
      <c r="X39" s="2">
        <f t="shared" si="36"/>
        <v>3.3554817275747512E-4</v>
      </c>
      <c r="Y39" s="2">
        <f t="shared" si="37"/>
        <v>9.8502304147465441E-2</v>
      </c>
      <c r="Z39" s="2">
        <f t="shared" si="38"/>
        <v>0.35370340745480727</v>
      </c>
      <c r="AA39" s="9">
        <f t="shared" si="39"/>
        <v>0.72595448348919411</v>
      </c>
      <c r="AB39" s="2"/>
      <c r="AC39" s="16">
        <f t="shared" si="18"/>
        <v>1.7731793175442365</v>
      </c>
      <c r="AD39" s="17">
        <f t="shared" si="19"/>
        <v>2.2278774781675712</v>
      </c>
      <c r="AE39" s="2">
        <f t="shared" si="20"/>
        <v>1.7731793175442365</v>
      </c>
      <c r="AF39">
        <f t="shared" si="21"/>
        <v>1</v>
      </c>
      <c r="AG39">
        <f t="shared" si="22"/>
        <v>0</v>
      </c>
      <c r="AI39" s="16">
        <f t="shared" si="28"/>
        <v>3.6054294634375759</v>
      </c>
      <c r="AJ39" s="17">
        <f t="shared" si="24"/>
        <v>2.9114245818510867</v>
      </c>
      <c r="AK39" s="2">
        <f t="shared" si="25"/>
        <v>2.9114245818510867</v>
      </c>
      <c r="AL39">
        <f t="shared" si="26"/>
        <v>0</v>
      </c>
      <c r="AM39">
        <f t="shared" si="27"/>
        <v>1</v>
      </c>
    </row>
    <row r="40" spans="1:39" x14ac:dyDescent="0.3">
      <c r="A40" s="4"/>
      <c r="B40">
        <v>287346</v>
      </c>
      <c r="C40">
        <v>45</v>
      </c>
      <c r="D40">
        <v>0.53900000000000003</v>
      </c>
      <c r="E40">
        <v>0.187</v>
      </c>
      <c r="F40">
        <v>5</v>
      </c>
      <c r="G40">
        <v>-11.756</v>
      </c>
      <c r="H40">
        <v>3.5299999999999998E-2</v>
      </c>
      <c r="I40">
        <v>0.83299999999999996</v>
      </c>
      <c r="J40">
        <v>0</v>
      </c>
      <c r="K40">
        <v>0.11899999999999999</v>
      </c>
      <c r="L40">
        <v>0.35599999999999998</v>
      </c>
      <c r="M40" s="5">
        <v>128.96899999999999</v>
      </c>
      <c r="O40" s="4"/>
      <c r="P40" s="2">
        <f t="shared" si="17"/>
        <v>0.68862552240441843</v>
      </c>
      <c r="Q40" s="2">
        <f t="shared" si="29"/>
        <v>0.16129032258064516</v>
      </c>
      <c r="R40" s="2">
        <f t="shared" si="30"/>
        <v>0.6183673469387756</v>
      </c>
      <c r="S40" s="2">
        <f t="shared" si="31"/>
        <v>0.14221812919352717</v>
      </c>
      <c r="T40" s="2">
        <f t="shared" si="32"/>
        <v>0.45454545454545453</v>
      </c>
      <c r="U40" s="2">
        <f t="shared" si="33"/>
        <v>0.22509076240419515</v>
      </c>
      <c r="V40" s="2">
        <f t="shared" si="34"/>
        <v>0.12532299741602063</v>
      </c>
      <c r="W40" s="2">
        <f t="shared" si="35"/>
        <v>0.88408571276652315</v>
      </c>
      <c r="X40" s="2">
        <f t="shared" si="36"/>
        <v>0</v>
      </c>
      <c r="Y40" s="2">
        <f t="shared" si="37"/>
        <v>0.10714285714285714</v>
      </c>
      <c r="Z40" s="2">
        <f t="shared" si="38"/>
        <v>0.40969444888817791</v>
      </c>
      <c r="AA40" s="9">
        <f t="shared" si="39"/>
        <v>0.52032266187362697</v>
      </c>
      <c r="AB40" s="2"/>
      <c r="AC40" s="16">
        <f t="shared" si="18"/>
        <v>1.5516054520428109</v>
      </c>
      <c r="AD40" s="17">
        <f t="shared" si="19"/>
        <v>2.3945912065529122</v>
      </c>
      <c r="AE40" s="2">
        <f t="shared" si="20"/>
        <v>1.5516054520428109</v>
      </c>
      <c r="AF40">
        <f t="shared" si="21"/>
        <v>1</v>
      </c>
      <c r="AG40">
        <f t="shared" si="22"/>
        <v>0</v>
      </c>
      <c r="AI40" s="16">
        <f t="shared" si="28"/>
        <v>3.5772062019211988</v>
      </c>
      <c r="AJ40" s="17">
        <f t="shared" si="24"/>
        <v>2.7762677525073136</v>
      </c>
      <c r="AK40" s="2">
        <f t="shared" si="25"/>
        <v>2.7762677525073136</v>
      </c>
      <c r="AL40">
        <f t="shared" si="26"/>
        <v>0</v>
      </c>
      <c r="AM40">
        <f t="shared" si="27"/>
        <v>1</v>
      </c>
    </row>
    <row r="41" spans="1:39" x14ac:dyDescent="0.3">
      <c r="A41" s="4"/>
      <c r="B41">
        <v>182186</v>
      </c>
      <c r="C41">
        <v>45</v>
      </c>
      <c r="D41">
        <v>0.55700000000000005</v>
      </c>
      <c r="E41">
        <v>0.185</v>
      </c>
      <c r="F41">
        <v>8</v>
      </c>
      <c r="G41">
        <v>-12.173999999999999</v>
      </c>
      <c r="H41">
        <v>4.3900000000000002E-2</v>
      </c>
      <c r="I41">
        <v>0.91300000000000003</v>
      </c>
      <c r="J41">
        <v>2.2200000000000001E-5</v>
      </c>
      <c r="K41">
        <v>0.15</v>
      </c>
      <c r="L41">
        <v>0.41799999999999998</v>
      </c>
      <c r="M41" s="5">
        <v>145.77199999999999</v>
      </c>
      <c r="O41" s="4"/>
      <c r="P41" s="2">
        <f t="shared" si="17"/>
        <v>0.18749851081978774</v>
      </c>
      <c r="Q41" s="2">
        <f t="shared" si="29"/>
        <v>0.16129032258064516</v>
      </c>
      <c r="R41" s="2">
        <f t="shared" si="30"/>
        <v>0.65510204081632673</v>
      </c>
      <c r="S41" s="2">
        <f t="shared" si="31"/>
        <v>0.13958689646099198</v>
      </c>
      <c r="T41" s="2">
        <f t="shared" si="32"/>
        <v>0.72727272727272729</v>
      </c>
      <c r="U41" s="2">
        <f t="shared" si="33"/>
        <v>0.18293666801129488</v>
      </c>
      <c r="V41" s="2">
        <f t="shared" si="34"/>
        <v>0.23643410852713179</v>
      </c>
      <c r="W41" s="2">
        <f t="shared" si="35"/>
        <v>0.96916041899292826</v>
      </c>
      <c r="X41" s="2">
        <f t="shared" si="36"/>
        <v>3.6877076411960134E-4</v>
      </c>
      <c r="Y41" s="2">
        <f t="shared" si="37"/>
        <v>0.15178571428571427</v>
      </c>
      <c r="Z41" s="2">
        <f t="shared" si="38"/>
        <v>0.50887857942729164</v>
      </c>
      <c r="AA41" s="9">
        <f t="shared" si="39"/>
        <v>0.6662238314795037</v>
      </c>
      <c r="AB41" s="2"/>
      <c r="AC41" s="16">
        <f t="shared" si="18"/>
        <v>1.6712954664878252</v>
      </c>
      <c r="AD41" s="17">
        <f t="shared" si="19"/>
        <v>2.3706858411493141</v>
      </c>
      <c r="AE41" s="2">
        <f t="shared" si="20"/>
        <v>1.6712954664878252</v>
      </c>
      <c r="AF41">
        <f t="shared" si="21"/>
        <v>1</v>
      </c>
      <c r="AG41">
        <f t="shared" si="22"/>
        <v>0</v>
      </c>
      <c r="AI41" s="16">
        <f t="shared" si="28"/>
        <v>3.7319742867191867</v>
      </c>
      <c r="AJ41" s="17">
        <f t="shared" si="24"/>
        <v>2.7267885289347018</v>
      </c>
      <c r="AK41" s="2">
        <f t="shared" si="25"/>
        <v>2.7267885289347018</v>
      </c>
      <c r="AL41">
        <f t="shared" si="26"/>
        <v>0</v>
      </c>
      <c r="AM41">
        <f t="shared" si="27"/>
        <v>1</v>
      </c>
    </row>
    <row r="42" spans="1:39" x14ac:dyDescent="0.3">
      <c r="A42" s="4"/>
      <c r="B42">
        <v>169920</v>
      </c>
      <c r="C42">
        <v>46</v>
      </c>
      <c r="D42">
        <v>0.40300000000000002</v>
      </c>
      <c r="E42">
        <v>0.59599999999999997</v>
      </c>
      <c r="F42">
        <v>2</v>
      </c>
      <c r="G42">
        <v>-6.7469999999999999</v>
      </c>
      <c r="H42">
        <v>3.2099999999999997E-2</v>
      </c>
      <c r="I42">
        <v>0.255</v>
      </c>
      <c r="J42">
        <v>0</v>
      </c>
      <c r="K42">
        <v>0.307</v>
      </c>
      <c r="L42">
        <v>0.59399999999999997</v>
      </c>
      <c r="M42" s="5">
        <v>171.92</v>
      </c>
      <c r="O42" s="4"/>
      <c r="P42" s="2">
        <f t="shared" si="17"/>
        <v>0.12904640047272536</v>
      </c>
      <c r="Q42" s="2">
        <f t="shared" si="29"/>
        <v>0.19354838709677419</v>
      </c>
      <c r="R42" s="2">
        <f t="shared" si="30"/>
        <v>0.34081632653061233</v>
      </c>
      <c r="S42" s="2">
        <f t="shared" si="31"/>
        <v>0.68030522299697405</v>
      </c>
      <c r="T42" s="2">
        <f t="shared" si="32"/>
        <v>0.18181818181818182</v>
      </c>
      <c r="U42" s="2">
        <f t="shared" si="33"/>
        <v>0.73023396530859208</v>
      </c>
      <c r="V42" s="2">
        <f t="shared" si="34"/>
        <v>8.3979328165374623E-2</v>
      </c>
      <c r="W42" s="2">
        <f t="shared" si="35"/>
        <v>0.26942096028074658</v>
      </c>
      <c r="X42" s="2">
        <f t="shared" si="36"/>
        <v>0</v>
      </c>
      <c r="Y42" s="2">
        <f t="shared" si="37"/>
        <v>0.37788018433179715</v>
      </c>
      <c r="Z42" s="2">
        <f t="shared" si="38"/>
        <v>0.79043353063509836</v>
      </c>
      <c r="AA42" s="9">
        <f t="shared" si="39"/>
        <v>0.893268036850834</v>
      </c>
      <c r="AB42" s="2"/>
      <c r="AC42" s="16">
        <f t="shared" si="18"/>
        <v>1.6865737395499323</v>
      </c>
      <c r="AD42" s="17">
        <f t="shared" si="19"/>
        <v>2.3458537742075958</v>
      </c>
      <c r="AE42" s="2">
        <f t="shared" si="20"/>
        <v>1.6865737395499323</v>
      </c>
      <c r="AF42">
        <f t="shared" si="21"/>
        <v>1</v>
      </c>
      <c r="AG42">
        <f t="shared" si="22"/>
        <v>0</v>
      </c>
      <c r="AI42" s="16">
        <f t="shared" si="28"/>
        <v>3.7198438750790142</v>
      </c>
      <c r="AJ42" s="17">
        <f t="shared" si="24"/>
        <v>2.7512309731864089</v>
      </c>
      <c r="AK42" s="2">
        <f t="shared" si="25"/>
        <v>2.7512309731864089</v>
      </c>
      <c r="AL42">
        <f t="shared" si="26"/>
        <v>0</v>
      </c>
      <c r="AM42">
        <f t="shared" si="27"/>
        <v>1</v>
      </c>
    </row>
    <row r="43" spans="1:39" x14ac:dyDescent="0.3">
      <c r="A43" s="4"/>
      <c r="B43">
        <v>156146</v>
      </c>
      <c r="C43">
        <v>43</v>
      </c>
      <c r="D43">
        <v>0.65</v>
      </c>
      <c r="E43">
        <v>0.188</v>
      </c>
      <c r="F43">
        <v>9</v>
      </c>
      <c r="G43">
        <v>-11.04</v>
      </c>
      <c r="H43">
        <v>3.9199999999999999E-2</v>
      </c>
      <c r="I43">
        <v>0.88200000000000001</v>
      </c>
      <c r="J43">
        <v>0</v>
      </c>
      <c r="K43">
        <v>0.114</v>
      </c>
      <c r="L43">
        <v>0.254</v>
      </c>
      <c r="M43" s="5">
        <v>114.142</v>
      </c>
      <c r="O43" s="4"/>
      <c r="P43" s="2">
        <f t="shared" si="17"/>
        <v>6.340810209342998E-2</v>
      </c>
      <c r="Q43" s="2">
        <f t="shared" si="29"/>
        <v>9.6774193548387094E-2</v>
      </c>
      <c r="R43" s="2">
        <f t="shared" si="30"/>
        <v>0.84489795918367361</v>
      </c>
      <c r="S43" s="2">
        <f t="shared" si="31"/>
        <v>0.14353374555979476</v>
      </c>
      <c r="T43" s="2">
        <f t="shared" si="32"/>
        <v>0.81818181818181823</v>
      </c>
      <c r="U43" s="2">
        <f t="shared" si="33"/>
        <v>0.29729729729729731</v>
      </c>
      <c r="V43" s="2">
        <f t="shared" si="34"/>
        <v>0.17571059431524547</v>
      </c>
      <c r="W43" s="2">
        <f t="shared" si="35"/>
        <v>0.93619397033019625</v>
      </c>
      <c r="X43" s="2">
        <f t="shared" si="36"/>
        <v>0</v>
      </c>
      <c r="Y43" s="2">
        <f t="shared" si="37"/>
        <v>9.994239631336406E-2</v>
      </c>
      <c r="Z43" s="2">
        <f t="shared" si="38"/>
        <v>0.24652055671092629</v>
      </c>
      <c r="AA43" s="9">
        <f t="shared" si="39"/>
        <v>0.39157918500959477</v>
      </c>
      <c r="AB43" s="2"/>
      <c r="AC43" s="16">
        <f t="shared" si="18"/>
        <v>1.6239076293652632</v>
      </c>
      <c r="AD43" s="17">
        <f t="shared" si="19"/>
        <v>2.531599563837704</v>
      </c>
      <c r="AE43" s="2">
        <f t="shared" si="20"/>
        <v>1.6239076293652632</v>
      </c>
      <c r="AF43">
        <f t="shared" si="21"/>
        <v>1</v>
      </c>
      <c r="AG43">
        <f t="shared" si="22"/>
        <v>0</v>
      </c>
      <c r="AI43" s="16">
        <f t="shared" si="28"/>
        <v>3.7167965800776086</v>
      </c>
      <c r="AJ43" s="17">
        <f t="shared" si="24"/>
        <v>2.9250391052397045</v>
      </c>
      <c r="AK43" s="2">
        <f t="shared" si="25"/>
        <v>2.9250391052397045</v>
      </c>
      <c r="AL43">
        <f t="shared" si="26"/>
        <v>0</v>
      </c>
      <c r="AM43">
        <f t="shared" si="27"/>
        <v>1</v>
      </c>
    </row>
    <row r="44" spans="1:39" x14ac:dyDescent="0.3">
      <c r="A44" s="4"/>
      <c r="B44">
        <v>286093</v>
      </c>
      <c r="C44">
        <v>46</v>
      </c>
      <c r="D44">
        <v>0.42399999999999999</v>
      </c>
      <c r="E44">
        <v>0.25900000000000001</v>
      </c>
      <c r="F44">
        <v>9</v>
      </c>
      <c r="G44">
        <v>-13.585000000000001</v>
      </c>
      <c r="H44">
        <v>4.4400000000000002E-2</v>
      </c>
      <c r="I44">
        <v>0.93600000000000005</v>
      </c>
      <c r="J44">
        <v>2.0899999999999999E-6</v>
      </c>
      <c r="K44">
        <v>0.73899999999999999</v>
      </c>
      <c r="L44">
        <v>0.48699999999999999</v>
      </c>
      <c r="M44" s="5">
        <v>69.045000000000002</v>
      </c>
      <c r="O44" s="4"/>
      <c r="P44" s="2">
        <f t="shared" si="17"/>
        <v>0.68265450542538131</v>
      </c>
      <c r="Q44" s="2">
        <f t="shared" si="29"/>
        <v>0.19354838709677419</v>
      </c>
      <c r="R44" s="2">
        <f t="shared" si="30"/>
        <v>0.3836734693877551</v>
      </c>
      <c r="S44" s="2">
        <f t="shared" si="31"/>
        <v>0.23694250756479412</v>
      </c>
      <c r="T44" s="2">
        <f t="shared" si="32"/>
        <v>0.81818181818181823</v>
      </c>
      <c r="U44" s="2">
        <f t="shared" si="33"/>
        <v>4.0641387656312894E-2</v>
      </c>
      <c r="V44" s="2">
        <f t="shared" si="34"/>
        <v>0.24289405684754525</v>
      </c>
      <c r="W44" s="2">
        <f t="shared" si="35"/>
        <v>0.99361939703301971</v>
      </c>
      <c r="X44" s="2">
        <f t="shared" si="36"/>
        <v>3.4717607973421925E-5</v>
      </c>
      <c r="Y44" s="2">
        <f t="shared" si="37"/>
        <v>1</v>
      </c>
      <c r="Z44" s="2">
        <f t="shared" si="38"/>
        <v>0.6192609182530795</v>
      </c>
      <c r="AA44" s="9">
        <f t="shared" si="39"/>
        <v>0</v>
      </c>
      <c r="AB44" s="2"/>
      <c r="AC44" s="16">
        <f t="shared" si="18"/>
        <v>1.95132251563279</v>
      </c>
      <c r="AD44" s="17">
        <f t="shared" si="19"/>
        <v>2.3205079680765097</v>
      </c>
      <c r="AE44" s="2">
        <f t="shared" si="20"/>
        <v>1.95132251563279</v>
      </c>
      <c r="AF44">
        <f t="shared" si="21"/>
        <v>1</v>
      </c>
      <c r="AG44">
        <f t="shared" si="22"/>
        <v>0</v>
      </c>
      <c r="AI44" s="16">
        <f t="shared" si="28"/>
        <v>4.0533735906070403</v>
      </c>
      <c r="AJ44" s="17">
        <f t="shared" si="24"/>
        <v>2.8760934071867688</v>
      </c>
      <c r="AK44" s="2">
        <f t="shared" si="25"/>
        <v>2.8760934071867688</v>
      </c>
      <c r="AL44">
        <f t="shared" si="26"/>
        <v>0</v>
      </c>
      <c r="AM44">
        <f t="shared" si="27"/>
        <v>1</v>
      </c>
    </row>
    <row r="45" spans="1:39" x14ac:dyDescent="0.3">
      <c r="A45" s="4"/>
      <c r="B45">
        <v>206268</v>
      </c>
      <c r="C45">
        <v>44</v>
      </c>
      <c r="D45">
        <v>0.68700000000000006</v>
      </c>
      <c r="E45">
        <v>0.79800000000000004</v>
      </c>
      <c r="F45">
        <v>3</v>
      </c>
      <c r="G45">
        <v>-5.548</v>
      </c>
      <c r="H45">
        <v>6.3700000000000007E-2</v>
      </c>
      <c r="I45">
        <v>0.13900000000000001</v>
      </c>
      <c r="J45">
        <v>2.0999999999999999E-5</v>
      </c>
      <c r="K45">
        <v>8.9800000000000005E-2</v>
      </c>
      <c r="L45">
        <v>0.68</v>
      </c>
      <c r="M45" s="5">
        <v>118.68600000000001</v>
      </c>
      <c r="O45" s="4"/>
      <c r="P45" s="2">
        <f t="shared" si="17"/>
        <v>0.30225831200827269</v>
      </c>
      <c r="Q45" s="2">
        <f t="shared" si="29"/>
        <v>0.12903225806451613</v>
      </c>
      <c r="R45" s="2">
        <f t="shared" si="30"/>
        <v>0.92040816326530628</v>
      </c>
      <c r="S45" s="2">
        <f t="shared" si="31"/>
        <v>0.94605972898302859</v>
      </c>
      <c r="T45" s="2">
        <f t="shared" si="32"/>
        <v>0.27272727272727271</v>
      </c>
      <c r="U45" s="2">
        <f t="shared" si="33"/>
        <v>0.85114965711980628</v>
      </c>
      <c r="V45" s="2">
        <f t="shared" si="34"/>
        <v>0.49224806201550403</v>
      </c>
      <c r="W45" s="2">
        <f t="shared" si="35"/>
        <v>0.14606263625245922</v>
      </c>
      <c r="X45" s="2">
        <f t="shared" si="36"/>
        <v>3.4883720930232559E-4</v>
      </c>
      <c r="Y45" s="2">
        <f t="shared" si="37"/>
        <v>6.5092165898617521E-2</v>
      </c>
      <c r="Z45" s="2">
        <f t="shared" si="38"/>
        <v>0.92801151815709493</v>
      </c>
      <c r="AA45" s="9">
        <f t="shared" si="39"/>
        <v>0.43103493188152864</v>
      </c>
      <c r="AB45" s="2"/>
      <c r="AC45" s="16">
        <f t="shared" si="18"/>
        <v>1.9909549374766757</v>
      </c>
      <c r="AD45" s="17">
        <f t="shared" si="19"/>
        <v>2.2349573767518107</v>
      </c>
      <c r="AE45" s="2">
        <f t="shared" si="20"/>
        <v>1.9909549374766757</v>
      </c>
      <c r="AF45">
        <f t="shared" si="21"/>
        <v>1</v>
      </c>
      <c r="AG45">
        <f t="shared" si="22"/>
        <v>0</v>
      </c>
      <c r="AI45" s="16">
        <f t="shared" si="28"/>
        <v>3.9035514153617856</v>
      </c>
      <c r="AJ45" s="17">
        <f t="shared" si="24"/>
        <v>2.9459095108529159</v>
      </c>
      <c r="AK45" s="2">
        <f t="shared" si="25"/>
        <v>2.9459095108529159</v>
      </c>
      <c r="AL45">
        <f t="shared" si="26"/>
        <v>0</v>
      </c>
      <c r="AM45">
        <f t="shared" si="27"/>
        <v>1</v>
      </c>
    </row>
    <row r="46" spans="1:39" x14ac:dyDescent="0.3">
      <c r="A46" s="4"/>
      <c r="B46">
        <v>151333</v>
      </c>
      <c r="C46">
        <v>41</v>
      </c>
      <c r="D46">
        <v>0.55500000000000005</v>
      </c>
      <c r="E46">
        <v>0.37</v>
      </c>
      <c r="F46">
        <v>10</v>
      </c>
      <c r="G46">
        <v>-9.827</v>
      </c>
      <c r="H46">
        <v>3.04E-2</v>
      </c>
      <c r="I46">
        <v>0.85099999999999998</v>
      </c>
      <c r="J46">
        <v>2.0599999999999999E-4</v>
      </c>
      <c r="K46">
        <v>0.129</v>
      </c>
      <c r="L46">
        <v>0.53300000000000003</v>
      </c>
      <c r="M46" s="5">
        <v>80.338999999999999</v>
      </c>
      <c r="O46" s="4"/>
      <c r="P46" s="2">
        <f t="shared" si="17"/>
        <v>4.0472344136442268E-2</v>
      </c>
      <c r="Q46" s="2">
        <f t="shared" si="29"/>
        <v>3.2258064516129031E-2</v>
      </c>
      <c r="R46" s="2">
        <f t="shared" si="30"/>
        <v>0.65102040816326545</v>
      </c>
      <c r="S46" s="2">
        <f t="shared" si="31"/>
        <v>0.38297592422049731</v>
      </c>
      <c r="T46" s="2">
        <f t="shared" si="32"/>
        <v>0.90909090909090906</v>
      </c>
      <c r="U46" s="2">
        <f t="shared" si="33"/>
        <v>0.41962484872932626</v>
      </c>
      <c r="V46" s="2">
        <f t="shared" si="34"/>
        <v>6.2015503875968978E-2</v>
      </c>
      <c r="W46" s="2">
        <f t="shared" si="35"/>
        <v>0.90322752166746423</v>
      </c>
      <c r="X46" s="2">
        <f t="shared" si="36"/>
        <v>3.4219269102990033E-3</v>
      </c>
      <c r="Y46" s="2">
        <f t="shared" si="37"/>
        <v>0.12154377880184332</v>
      </c>
      <c r="Z46" s="2">
        <f t="shared" si="38"/>
        <v>0.69284914413693821</v>
      </c>
      <c r="AA46" s="9">
        <f t="shared" si="39"/>
        <v>9.8066286349388257E-2</v>
      </c>
      <c r="AB46" s="2"/>
      <c r="AC46" s="16">
        <f t="shared" si="18"/>
        <v>1.7028844440607467</v>
      </c>
      <c r="AD46" s="17">
        <f t="shared" si="19"/>
        <v>2.5033341983497004</v>
      </c>
      <c r="AE46" s="2">
        <f t="shared" si="20"/>
        <v>1.7028844440607467</v>
      </c>
      <c r="AF46">
        <f t="shared" si="21"/>
        <v>1</v>
      </c>
      <c r="AG46">
        <f t="shared" si="22"/>
        <v>0</v>
      </c>
      <c r="AI46" s="16">
        <f t="shared" si="28"/>
        <v>3.7934707564040471</v>
      </c>
      <c r="AJ46" s="17">
        <f t="shared" si="24"/>
        <v>2.9681586688158199</v>
      </c>
      <c r="AK46" s="2">
        <f t="shared" si="25"/>
        <v>2.9681586688158199</v>
      </c>
      <c r="AL46">
        <f t="shared" si="26"/>
        <v>0</v>
      </c>
      <c r="AM46">
        <f t="shared" si="27"/>
        <v>1</v>
      </c>
    </row>
    <row r="47" spans="1:39" x14ac:dyDescent="0.3">
      <c r="A47" s="4"/>
      <c r="B47">
        <v>209051</v>
      </c>
      <c r="C47">
        <v>45</v>
      </c>
      <c r="D47">
        <v>0.41499999999999998</v>
      </c>
      <c r="E47">
        <v>0.59899999999999998</v>
      </c>
      <c r="F47">
        <v>2</v>
      </c>
      <c r="G47">
        <v>-5.891</v>
      </c>
      <c r="H47">
        <v>3.1800000000000002E-2</v>
      </c>
      <c r="I47">
        <v>0.219</v>
      </c>
      <c r="J47">
        <v>1.11E-6</v>
      </c>
      <c r="K47">
        <v>0.32800000000000001</v>
      </c>
      <c r="L47">
        <v>0.55300000000000005</v>
      </c>
      <c r="M47" s="5">
        <v>172.709</v>
      </c>
      <c r="O47" s="4"/>
      <c r="P47" s="2">
        <f t="shared" si="17"/>
        <v>0.3155203553064852</v>
      </c>
      <c r="Q47" s="2">
        <f t="shared" si="29"/>
        <v>0.16129032258064516</v>
      </c>
      <c r="R47" s="2">
        <f t="shared" si="30"/>
        <v>0.36530612244897959</v>
      </c>
      <c r="S47" s="2">
        <f t="shared" si="31"/>
        <v>0.68425207209577688</v>
      </c>
      <c r="T47" s="2">
        <f t="shared" si="32"/>
        <v>0.18181818181818182</v>
      </c>
      <c r="U47" s="2">
        <f t="shared" si="33"/>
        <v>0.81655909640984259</v>
      </c>
      <c r="V47" s="2">
        <f t="shared" si="34"/>
        <v>8.0103359173126623E-2</v>
      </c>
      <c r="W47" s="2">
        <f t="shared" si="35"/>
        <v>0.23113734247886425</v>
      </c>
      <c r="X47" s="2">
        <f t="shared" si="36"/>
        <v>1.8438538205980066E-5</v>
      </c>
      <c r="Y47" s="2">
        <f t="shared" si="37"/>
        <v>0.40812211981566815</v>
      </c>
      <c r="Z47" s="2">
        <f t="shared" si="38"/>
        <v>0.72484402495600719</v>
      </c>
      <c r="AA47" s="9">
        <f t="shared" si="39"/>
        <v>0.90011895768753214</v>
      </c>
      <c r="AB47" s="2"/>
      <c r="AC47" s="16">
        <f t="shared" si="18"/>
        <v>1.7288902266977622</v>
      </c>
      <c r="AD47" s="17">
        <f t="shared" si="19"/>
        <v>2.2914800084993994</v>
      </c>
      <c r="AE47" s="2">
        <f t="shared" si="20"/>
        <v>1.7288902266977622</v>
      </c>
      <c r="AF47">
        <f t="shared" si="21"/>
        <v>1</v>
      </c>
      <c r="AG47">
        <f t="shared" si="22"/>
        <v>0</v>
      </c>
      <c r="AI47" s="16">
        <f t="shared" si="28"/>
        <v>3.713626414175129</v>
      </c>
      <c r="AJ47" s="17">
        <f t="shared" si="24"/>
        <v>2.7575009945547744</v>
      </c>
      <c r="AK47" s="2">
        <f t="shared" si="25"/>
        <v>2.7575009945547744</v>
      </c>
      <c r="AL47">
        <f t="shared" si="26"/>
        <v>0</v>
      </c>
      <c r="AM47">
        <f t="shared" si="27"/>
        <v>1</v>
      </c>
    </row>
    <row r="48" spans="1:39" x14ac:dyDescent="0.3">
      <c r="A48" s="4"/>
      <c r="B48">
        <v>211600</v>
      </c>
      <c r="C48">
        <v>42</v>
      </c>
      <c r="D48">
        <v>0.56699999999999995</v>
      </c>
      <c r="E48">
        <v>0.66500000000000004</v>
      </c>
      <c r="F48">
        <v>11</v>
      </c>
      <c r="G48">
        <v>-4.4649999999999999</v>
      </c>
      <c r="H48">
        <v>2.5600000000000001E-2</v>
      </c>
      <c r="I48">
        <v>7.1400000000000005E-2</v>
      </c>
      <c r="J48">
        <v>0</v>
      </c>
      <c r="K48">
        <v>0.17699999999999999</v>
      </c>
      <c r="L48">
        <v>0.59799999999999998</v>
      </c>
      <c r="M48" s="5">
        <v>97.814999999999998</v>
      </c>
      <c r="O48" s="4"/>
      <c r="P48" s="2">
        <f t="shared" si="17"/>
        <v>0.32766730046176501</v>
      </c>
      <c r="Q48" s="2">
        <f t="shared" si="29"/>
        <v>6.4516129032258063E-2</v>
      </c>
      <c r="R48" s="2">
        <f t="shared" si="30"/>
        <v>0.67551020408163254</v>
      </c>
      <c r="S48" s="2">
        <f t="shared" si="31"/>
        <v>0.77108275226943834</v>
      </c>
      <c r="T48" s="2">
        <f t="shared" si="32"/>
        <v>1</v>
      </c>
      <c r="U48" s="2">
        <f t="shared" si="33"/>
        <v>0.96036708350141176</v>
      </c>
      <c r="V48" s="2">
        <f t="shared" si="34"/>
        <v>0</v>
      </c>
      <c r="W48" s="2">
        <f t="shared" si="35"/>
        <v>7.4174509491146928E-2</v>
      </c>
      <c r="X48" s="2">
        <f t="shared" si="36"/>
        <v>0</v>
      </c>
      <c r="Y48" s="2">
        <f t="shared" si="37"/>
        <v>0.19066820276497695</v>
      </c>
      <c r="Z48" s="2">
        <f t="shared" si="38"/>
        <v>0.79683250679891215</v>
      </c>
      <c r="AA48" s="9">
        <f t="shared" si="39"/>
        <v>0.24981114381723932</v>
      </c>
      <c r="AB48" s="2"/>
      <c r="AC48" s="16">
        <f t="shared" si="18"/>
        <v>1.9554845039801849</v>
      </c>
      <c r="AD48" s="17">
        <f t="shared" si="19"/>
        <v>2.3669938700531246</v>
      </c>
      <c r="AE48" s="2">
        <f t="shared" si="20"/>
        <v>1.9554845039801849</v>
      </c>
      <c r="AF48">
        <f t="shared" si="21"/>
        <v>1</v>
      </c>
      <c r="AG48">
        <f t="shared" si="22"/>
        <v>0</v>
      </c>
      <c r="AI48" s="16">
        <f t="shared" si="28"/>
        <v>3.8716537996511158</v>
      </c>
      <c r="AJ48" s="17">
        <f t="shared" si="24"/>
        <v>3.1322204045343587</v>
      </c>
      <c r="AK48" s="2">
        <f t="shared" si="25"/>
        <v>3.1322204045343587</v>
      </c>
      <c r="AL48">
        <f t="shared" si="26"/>
        <v>0</v>
      </c>
      <c r="AM48">
        <f t="shared" si="27"/>
        <v>1</v>
      </c>
    </row>
    <row r="49" spans="1:39" x14ac:dyDescent="0.3">
      <c r="A49" s="4"/>
      <c r="B49">
        <v>309746</v>
      </c>
      <c r="C49">
        <v>45</v>
      </c>
      <c r="D49">
        <v>0.32</v>
      </c>
      <c r="E49">
        <v>0.438</v>
      </c>
      <c r="F49">
        <v>0</v>
      </c>
      <c r="G49">
        <v>-7.5529999999999999</v>
      </c>
      <c r="H49">
        <v>8.8999999999999996E-2</v>
      </c>
      <c r="I49">
        <v>0.70299999999999996</v>
      </c>
      <c r="J49">
        <v>1.26E-5</v>
      </c>
      <c r="K49">
        <v>0.10100000000000001</v>
      </c>
      <c r="L49">
        <v>0.46500000000000002</v>
      </c>
      <c r="M49" s="5">
        <v>184.21199999999999</v>
      </c>
      <c r="O49" s="4"/>
      <c r="P49" s="2">
        <f t="shared" si="17"/>
        <v>0.7953699600184897</v>
      </c>
      <c r="Q49" s="2">
        <f t="shared" si="29"/>
        <v>0.16129032258064516</v>
      </c>
      <c r="R49" s="2">
        <f t="shared" si="30"/>
        <v>0.17142857142857146</v>
      </c>
      <c r="S49" s="2">
        <f t="shared" si="31"/>
        <v>0.47243783712669385</v>
      </c>
      <c r="T49" s="2">
        <f t="shared" si="32"/>
        <v>0</v>
      </c>
      <c r="U49" s="2">
        <f t="shared" si="33"/>
        <v>0.64895118999596602</v>
      </c>
      <c r="V49" s="2">
        <f t="shared" si="34"/>
        <v>0.81912144702842382</v>
      </c>
      <c r="W49" s="2">
        <f t="shared" si="35"/>
        <v>0.7458393151486149</v>
      </c>
      <c r="X49" s="2">
        <f t="shared" si="36"/>
        <v>2.0930232558139536E-4</v>
      </c>
      <c r="Y49" s="2">
        <f t="shared" si="37"/>
        <v>8.1221198156682037E-2</v>
      </c>
      <c r="Z49" s="2">
        <f t="shared" si="38"/>
        <v>0.58406654935210378</v>
      </c>
      <c r="AA49" s="9">
        <f t="shared" si="39"/>
        <v>1</v>
      </c>
      <c r="AB49" s="2"/>
      <c r="AC49" s="16">
        <f t="shared" si="18"/>
        <v>1.9766936392417995</v>
      </c>
      <c r="AD49" s="17">
        <f t="shared" si="19"/>
        <v>2.2242855835291127</v>
      </c>
      <c r="AE49" s="2">
        <f t="shared" si="20"/>
        <v>1.9766936392417995</v>
      </c>
      <c r="AF49">
        <f t="shared" si="21"/>
        <v>1</v>
      </c>
      <c r="AG49">
        <f t="shared" si="22"/>
        <v>0</v>
      </c>
      <c r="AI49" s="16">
        <f t="shared" si="28"/>
        <v>4.0419115197943487</v>
      </c>
      <c r="AJ49" s="17">
        <f t="shared" si="24"/>
        <v>2.7424054014310189</v>
      </c>
      <c r="AK49" s="2">
        <f t="shared" si="25"/>
        <v>2.7424054014310189</v>
      </c>
      <c r="AL49">
        <f t="shared" si="26"/>
        <v>0</v>
      </c>
      <c r="AM49">
        <f t="shared" si="27"/>
        <v>1</v>
      </c>
    </row>
    <row r="50" spans="1:39" x14ac:dyDescent="0.3">
      <c r="A50" s="4"/>
      <c r="B50">
        <v>200040</v>
      </c>
      <c r="C50">
        <v>43</v>
      </c>
      <c r="D50">
        <v>0.47899999999999998</v>
      </c>
      <c r="E50">
        <v>0.502</v>
      </c>
      <c r="F50">
        <v>6</v>
      </c>
      <c r="G50">
        <v>-5.1639999999999997</v>
      </c>
      <c r="H50">
        <v>5.1900000000000002E-2</v>
      </c>
      <c r="I50">
        <v>0.223</v>
      </c>
      <c r="J50">
        <v>0</v>
      </c>
      <c r="K50">
        <v>7.9899999999999999E-2</v>
      </c>
      <c r="L50">
        <v>0.57799999999999996</v>
      </c>
      <c r="M50" s="5">
        <v>176.49</v>
      </c>
      <c r="O50" s="4"/>
      <c r="P50" s="2">
        <f t="shared" si="17"/>
        <v>0.27257954605021756</v>
      </c>
      <c r="Q50" s="2">
        <f t="shared" si="29"/>
        <v>9.6774193548387094E-2</v>
      </c>
      <c r="R50" s="2">
        <f t="shared" si="30"/>
        <v>0.49591836734693878</v>
      </c>
      <c r="S50" s="2">
        <f t="shared" si="31"/>
        <v>0.55663728456782002</v>
      </c>
      <c r="T50" s="2">
        <f t="shared" si="32"/>
        <v>0.54545454545454541</v>
      </c>
      <c r="U50" s="2">
        <f t="shared" si="33"/>
        <v>0.88987494957644209</v>
      </c>
      <c r="V50" s="2">
        <f t="shared" si="34"/>
        <v>0.33979328165374678</v>
      </c>
      <c r="W50" s="2">
        <f t="shared" si="35"/>
        <v>0.23539107779018453</v>
      </c>
      <c r="X50" s="2">
        <f t="shared" si="36"/>
        <v>0</v>
      </c>
      <c r="Y50" s="2">
        <f t="shared" si="37"/>
        <v>5.0835253456221197E-2</v>
      </c>
      <c r="Z50" s="2">
        <f t="shared" si="38"/>
        <v>0.76483762597984317</v>
      </c>
      <c r="AA50" s="9">
        <f t="shared" si="39"/>
        <v>0.93294954283779219</v>
      </c>
      <c r="AB50" s="2"/>
      <c r="AC50" s="16">
        <f t="shared" si="18"/>
        <v>1.8323938262545001</v>
      </c>
      <c r="AD50" s="17">
        <f t="shared" si="19"/>
        <v>2.2350784769155934</v>
      </c>
      <c r="AE50" s="2">
        <f t="shared" si="20"/>
        <v>1.8323938262545001</v>
      </c>
      <c r="AF50">
        <f t="shared" si="21"/>
        <v>1</v>
      </c>
      <c r="AG50">
        <f t="shared" si="22"/>
        <v>0</v>
      </c>
      <c r="AI50" s="16">
        <f t="shared" si="28"/>
        <v>3.7867841458568079</v>
      </c>
      <c r="AJ50" s="17">
        <f t="shared" si="24"/>
        <v>2.8093394855424134</v>
      </c>
      <c r="AK50" s="2">
        <f t="shared" si="25"/>
        <v>2.8093394855424134</v>
      </c>
      <c r="AL50">
        <f t="shared" si="26"/>
        <v>0</v>
      </c>
      <c r="AM50">
        <f t="shared" si="27"/>
        <v>1</v>
      </c>
    </row>
    <row r="51" spans="1:39" x14ac:dyDescent="0.3">
      <c r="A51" s="4"/>
      <c r="B51">
        <v>345026</v>
      </c>
      <c r="C51">
        <v>44</v>
      </c>
      <c r="D51">
        <v>0.38800000000000001</v>
      </c>
      <c r="E51">
        <v>0.57499999999999996</v>
      </c>
      <c r="F51">
        <v>5</v>
      </c>
      <c r="G51">
        <v>-7.2720000000000002</v>
      </c>
      <c r="H51">
        <v>2.93E-2</v>
      </c>
      <c r="I51">
        <v>0.26600000000000001</v>
      </c>
      <c r="J51">
        <v>2.2499999999999998E-3</v>
      </c>
      <c r="K51">
        <v>9.5600000000000004E-2</v>
      </c>
      <c r="L51">
        <v>0.218</v>
      </c>
      <c r="M51" s="5">
        <v>86.582999999999998</v>
      </c>
      <c r="O51" s="4"/>
      <c r="P51" s="2">
        <f t="shared" si="17"/>
        <v>0.96349244926065181</v>
      </c>
      <c r="Q51" s="2">
        <f t="shared" si="29"/>
        <v>0.12903225806451613</v>
      </c>
      <c r="R51" s="2">
        <f t="shared" si="30"/>
        <v>0.31020408163265312</v>
      </c>
      <c r="S51" s="2">
        <f t="shared" si="31"/>
        <v>0.65267727930535457</v>
      </c>
      <c r="T51" s="2">
        <f t="shared" si="32"/>
        <v>0.45454545454545453</v>
      </c>
      <c r="U51" s="2">
        <f t="shared" si="33"/>
        <v>0.67728922952803539</v>
      </c>
      <c r="V51" s="2">
        <f t="shared" si="34"/>
        <v>4.7803617571059415E-2</v>
      </c>
      <c r="W51" s="2">
        <f t="shared" si="35"/>
        <v>0.28111873238687729</v>
      </c>
      <c r="X51" s="2">
        <f t="shared" si="36"/>
        <v>3.7375415282392029E-2</v>
      </c>
      <c r="Y51" s="2">
        <f t="shared" si="37"/>
        <v>7.3444700460829501E-2</v>
      </c>
      <c r="Z51" s="2">
        <f t="shared" si="38"/>
        <v>0.18892977123660215</v>
      </c>
      <c r="AA51" s="9">
        <f t="shared" si="39"/>
        <v>0.15228320612675506</v>
      </c>
      <c r="AB51" s="2"/>
      <c r="AC51" s="16">
        <f t="shared" si="18"/>
        <v>1.5098020081593098</v>
      </c>
      <c r="AD51" s="17">
        <f t="shared" si="19"/>
        <v>2.5185530991105831</v>
      </c>
      <c r="AE51" s="2">
        <f t="shared" si="20"/>
        <v>1.5098020081593098</v>
      </c>
      <c r="AF51">
        <f t="shared" si="21"/>
        <v>1</v>
      </c>
      <c r="AG51">
        <f t="shared" si="22"/>
        <v>0</v>
      </c>
      <c r="AI51" s="16">
        <f t="shared" si="28"/>
        <v>3.4711817191406222</v>
      </c>
      <c r="AJ51" s="17">
        <f t="shared" si="24"/>
        <v>3.0677153404950421</v>
      </c>
      <c r="AK51" s="2">
        <f t="shared" si="25"/>
        <v>3.0677153404950421</v>
      </c>
      <c r="AL51">
        <f t="shared" si="26"/>
        <v>0</v>
      </c>
      <c r="AM51">
        <f t="shared" si="27"/>
        <v>1</v>
      </c>
    </row>
    <row r="52" spans="1:39" x14ac:dyDescent="0.3">
      <c r="A52" s="4"/>
      <c r="B52">
        <v>159173</v>
      </c>
      <c r="C52">
        <v>40</v>
      </c>
      <c r="D52">
        <v>0.57199999999999995</v>
      </c>
      <c r="E52">
        <v>0.191</v>
      </c>
      <c r="F52">
        <v>11</v>
      </c>
      <c r="G52">
        <v>-10.545</v>
      </c>
      <c r="H52">
        <v>3.7999999999999999E-2</v>
      </c>
      <c r="I52">
        <v>0.94</v>
      </c>
      <c r="J52">
        <v>6.2500000000000001E-5</v>
      </c>
      <c r="K52">
        <v>0.221</v>
      </c>
      <c r="L52">
        <v>0.48399999999999999</v>
      </c>
      <c r="M52" s="5">
        <v>139.797</v>
      </c>
      <c r="O52" s="4"/>
      <c r="P52" s="2">
        <f t="shared" si="17"/>
        <v>7.7832897301367193E-2</v>
      </c>
      <c r="Q52" s="2">
        <f t="shared" si="29"/>
        <v>0</v>
      </c>
      <c r="R52" s="2">
        <f t="shared" si="30"/>
        <v>0.68571428571428561</v>
      </c>
      <c r="S52" s="2">
        <f t="shared" si="31"/>
        <v>0.14748059465859756</v>
      </c>
      <c r="T52" s="2">
        <f t="shared" si="32"/>
        <v>1</v>
      </c>
      <c r="U52" s="2">
        <f t="shared" si="33"/>
        <v>0.34721661960467926</v>
      </c>
      <c r="V52" s="2">
        <f t="shared" si="34"/>
        <v>0.16020671834625322</v>
      </c>
      <c r="W52" s="2">
        <f t="shared" si="35"/>
        <v>0.99787313234433983</v>
      </c>
      <c r="X52" s="2">
        <f t="shared" si="36"/>
        <v>1.0382059800664453E-3</v>
      </c>
      <c r="Y52" s="2">
        <f t="shared" si="37"/>
        <v>0.25403225806451613</v>
      </c>
      <c r="Z52" s="2">
        <f t="shared" si="38"/>
        <v>0.61446168613021912</v>
      </c>
      <c r="AA52" s="9">
        <f t="shared" si="39"/>
        <v>0.61434265023834955</v>
      </c>
      <c r="AB52" s="2"/>
      <c r="AC52" s="16">
        <f t="shared" si="18"/>
        <v>1.8599737769002005</v>
      </c>
      <c r="AD52" s="17">
        <f t="shared" si="19"/>
        <v>2.3788872091780746</v>
      </c>
      <c r="AE52" s="2">
        <f t="shared" si="20"/>
        <v>1.8599737769002005</v>
      </c>
      <c r="AF52">
        <f t="shared" si="21"/>
        <v>1</v>
      </c>
      <c r="AG52">
        <f t="shared" si="22"/>
        <v>0</v>
      </c>
      <c r="AI52" s="16">
        <f t="shared" si="28"/>
        <v>3.9267085145188338</v>
      </c>
      <c r="AJ52" s="17">
        <f t="shared" si="24"/>
        <v>2.8173499835537417</v>
      </c>
      <c r="AK52" s="2">
        <f t="shared" si="25"/>
        <v>2.8173499835537417</v>
      </c>
      <c r="AL52">
        <f t="shared" si="26"/>
        <v>0</v>
      </c>
      <c r="AM52">
        <f t="shared" si="27"/>
        <v>1</v>
      </c>
    </row>
    <row r="53" spans="1:39" x14ac:dyDescent="0.3">
      <c r="A53" s="4"/>
      <c r="B53">
        <v>346397</v>
      </c>
      <c r="C53">
        <v>45</v>
      </c>
      <c r="D53">
        <v>0.28799999999999998</v>
      </c>
      <c r="E53">
        <v>0.18</v>
      </c>
      <c r="F53">
        <v>7</v>
      </c>
      <c r="G53">
        <v>-10.987</v>
      </c>
      <c r="H53">
        <v>4.0300000000000002E-2</v>
      </c>
      <c r="I53">
        <v>0.90500000000000003</v>
      </c>
      <c r="J53">
        <v>0</v>
      </c>
      <c r="K53">
        <v>0.159</v>
      </c>
      <c r="L53">
        <v>0.20200000000000001</v>
      </c>
      <c r="M53" s="5">
        <v>88.054000000000002</v>
      </c>
      <c r="O53" s="4"/>
      <c r="P53" s="2">
        <f t="shared" si="17"/>
        <v>0.97002578068783452</v>
      </c>
      <c r="Q53" s="2">
        <f t="shared" si="29"/>
        <v>0.16129032258064516</v>
      </c>
      <c r="R53" s="2">
        <f t="shared" si="30"/>
        <v>0.10612244897959182</v>
      </c>
      <c r="S53" s="2">
        <f t="shared" si="31"/>
        <v>0.133008814629654</v>
      </c>
      <c r="T53" s="2">
        <f t="shared" si="32"/>
        <v>0.63636363636363635</v>
      </c>
      <c r="U53" s="2">
        <f t="shared" si="33"/>
        <v>0.30264219443323914</v>
      </c>
      <c r="V53" s="2">
        <f t="shared" si="34"/>
        <v>0.18992248062015507</v>
      </c>
      <c r="W53" s="2">
        <f t="shared" si="35"/>
        <v>0.9606529483702877</v>
      </c>
      <c r="X53" s="2">
        <f t="shared" si="36"/>
        <v>0</v>
      </c>
      <c r="Y53" s="2">
        <f t="shared" si="37"/>
        <v>0.16474654377880185</v>
      </c>
      <c r="Z53" s="2">
        <f t="shared" si="38"/>
        <v>0.16333386658134699</v>
      </c>
      <c r="AA53" s="9">
        <f t="shared" si="39"/>
        <v>0.16505596221139737</v>
      </c>
      <c r="AB53" s="2"/>
      <c r="AC53" s="16">
        <f t="shared" si="18"/>
        <v>1.5913693348872802</v>
      </c>
      <c r="AD53" s="17">
        <f t="shared" si="19"/>
        <v>2.574126329756643</v>
      </c>
      <c r="AE53" s="2">
        <f t="shared" si="20"/>
        <v>1.5913693348872802</v>
      </c>
      <c r="AF53">
        <f t="shared" si="21"/>
        <v>1</v>
      </c>
      <c r="AG53">
        <f t="shared" si="22"/>
        <v>0</v>
      </c>
      <c r="AI53" s="16">
        <f t="shared" si="28"/>
        <v>3.7055399827506945</v>
      </c>
      <c r="AJ53" s="17">
        <f t="shared" si="24"/>
        <v>2.9882893035276279</v>
      </c>
      <c r="AK53" s="2">
        <f t="shared" si="25"/>
        <v>2.9882893035276279</v>
      </c>
      <c r="AL53">
        <f t="shared" si="26"/>
        <v>0</v>
      </c>
      <c r="AM53">
        <f t="shared" si="27"/>
        <v>1</v>
      </c>
    </row>
    <row r="54" spans="1:39" x14ac:dyDescent="0.3">
      <c r="A54" s="4"/>
      <c r="B54">
        <v>247133</v>
      </c>
      <c r="C54">
        <v>42</v>
      </c>
      <c r="D54">
        <v>0.40600000000000003</v>
      </c>
      <c r="E54">
        <v>0.34100000000000003</v>
      </c>
      <c r="F54">
        <v>7</v>
      </c>
      <c r="G54">
        <v>-7.7469999999999999</v>
      </c>
      <c r="H54">
        <v>3.49E-2</v>
      </c>
      <c r="I54">
        <v>0.68100000000000005</v>
      </c>
      <c r="J54">
        <v>5.6800000000000004E-4</v>
      </c>
      <c r="K54">
        <v>7.8899999999999998E-2</v>
      </c>
      <c r="L54">
        <v>0.28599999999999998</v>
      </c>
      <c r="M54" s="5">
        <v>148.654</v>
      </c>
      <c r="O54" s="4"/>
      <c r="P54" s="2">
        <f t="shared" si="17"/>
        <v>0.49699543000376467</v>
      </c>
      <c r="Q54" s="2">
        <f t="shared" si="29"/>
        <v>6.4516129032258063E-2</v>
      </c>
      <c r="R54" s="2">
        <f t="shared" si="30"/>
        <v>0.34693877551020419</v>
      </c>
      <c r="S54" s="2">
        <f t="shared" si="31"/>
        <v>0.344823049598737</v>
      </c>
      <c r="T54" s="2">
        <f t="shared" si="32"/>
        <v>0.63636363636363635</v>
      </c>
      <c r="U54" s="2">
        <f t="shared" si="33"/>
        <v>0.62938684953610324</v>
      </c>
      <c r="V54" s="2">
        <f t="shared" si="34"/>
        <v>0.12015503875968991</v>
      </c>
      <c r="W54" s="2">
        <f t="shared" si="35"/>
        <v>0.72244377093635359</v>
      </c>
      <c r="X54" s="2">
        <f t="shared" si="36"/>
        <v>9.4352159468438553E-3</v>
      </c>
      <c r="Y54" s="2">
        <f t="shared" si="37"/>
        <v>4.9395161290322578E-2</v>
      </c>
      <c r="Z54" s="2">
        <f t="shared" si="38"/>
        <v>0.29771236602143658</v>
      </c>
      <c r="AA54" s="9">
        <f t="shared" si="39"/>
        <v>0.69124836107565535</v>
      </c>
      <c r="AB54" s="2"/>
      <c r="AC54" s="16">
        <f t="shared" si="18"/>
        <v>1.5481830680597051</v>
      </c>
      <c r="AD54" s="17">
        <f t="shared" si="19"/>
        <v>2.3617881454687568</v>
      </c>
      <c r="AE54" s="2">
        <f t="shared" si="20"/>
        <v>1.5481830680597051</v>
      </c>
      <c r="AF54">
        <f t="shared" si="21"/>
        <v>1</v>
      </c>
      <c r="AG54">
        <f t="shared" si="22"/>
        <v>0</v>
      </c>
      <c r="AI54" s="16">
        <f t="shared" si="28"/>
        <v>3.5322985376189648</v>
      </c>
      <c r="AJ54" s="17">
        <f t="shared" si="24"/>
        <v>2.789273125319236</v>
      </c>
      <c r="AK54" s="2">
        <f t="shared" si="25"/>
        <v>2.789273125319236</v>
      </c>
      <c r="AL54">
        <f t="shared" si="26"/>
        <v>0</v>
      </c>
      <c r="AM54">
        <f t="shared" si="27"/>
        <v>1</v>
      </c>
    </row>
    <row r="55" spans="1:39" x14ac:dyDescent="0.3">
      <c r="A55" s="4"/>
      <c r="B55">
        <v>206636</v>
      </c>
      <c r="C55">
        <v>42</v>
      </c>
      <c r="D55">
        <v>0.68400000000000005</v>
      </c>
      <c r="E55">
        <v>0.53600000000000003</v>
      </c>
      <c r="F55">
        <v>5</v>
      </c>
      <c r="G55">
        <v>-7.6349999999999998</v>
      </c>
      <c r="H55">
        <v>4.02E-2</v>
      </c>
      <c r="I55">
        <v>1.65E-3</v>
      </c>
      <c r="J55">
        <v>6.0199999999999997E-2</v>
      </c>
      <c r="K55">
        <v>0.106</v>
      </c>
      <c r="L55">
        <v>0.40899999999999997</v>
      </c>
      <c r="M55" s="5">
        <v>107.98099999999999</v>
      </c>
      <c r="O55" s="4"/>
      <c r="P55" s="2">
        <f t="shared" si="17"/>
        <v>0.30401197062621815</v>
      </c>
      <c r="Q55" s="2">
        <f t="shared" si="29"/>
        <v>6.4516129032258063E-2</v>
      </c>
      <c r="R55" s="2">
        <f t="shared" si="30"/>
        <v>0.91428571428571448</v>
      </c>
      <c r="S55" s="2">
        <f t="shared" si="31"/>
        <v>0.60136824102091835</v>
      </c>
      <c r="T55" s="2">
        <f t="shared" si="32"/>
        <v>0.45454545454545453</v>
      </c>
      <c r="U55" s="2">
        <f t="shared" si="33"/>
        <v>0.64068172650262201</v>
      </c>
      <c r="V55" s="2">
        <f t="shared" si="34"/>
        <v>0.18863049095607234</v>
      </c>
      <c r="W55" s="2">
        <f t="shared" si="35"/>
        <v>0</v>
      </c>
      <c r="X55" s="2">
        <f t="shared" si="36"/>
        <v>1</v>
      </c>
      <c r="Y55" s="2">
        <f t="shared" si="37"/>
        <v>8.8421658986175114E-2</v>
      </c>
      <c r="Z55" s="2">
        <f t="shared" si="38"/>
        <v>0.49448088305871057</v>
      </c>
      <c r="AA55" s="9">
        <f t="shared" si="39"/>
        <v>0.33808295779172853</v>
      </c>
      <c r="AB55" s="2"/>
      <c r="AC55" s="16">
        <f t="shared" si="18"/>
        <v>1.8202866984964519</v>
      </c>
      <c r="AD55" s="17">
        <f t="shared" si="19"/>
        <v>2.2661405982664373</v>
      </c>
      <c r="AE55" s="2">
        <f t="shared" si="20"/>
        <v>1.8202866984964519</v>
      </c>
      <c r="AF55">
        <f t="shared" si="21"/>
        <v>1</v>
      </c>
      <c r="AG55">
        <f t="shared" si="22"/>
        <v>0</v>
      </c>
      <c r="AI55" s="16">
        <f t="shared" si="28"/>
        <v>3.7635743413028941</v>
      </c>
      <c r="AJ55" s="17">
        <f t="shared" si="24"/>
        <v>2.8516366967777396</v>
      </c>
      <c r="AK55" s="2">
        <f t="shared" si="25"/>
        <v>2.8516366967777396</v>
      </c>
      <c r="AL55">
        <f t="shared" si="26"/>
        <v>0</v>
      </c>
      <c r="AM55">
        <f t="shared" si="27"/>
        <v>1</v>
      </c>
    </row>
    <row r="56" spans="1:39" ht="15" thickBot="1" x14ac:dyDescent="0.35">
      <c r="A56" s="6"/>
      <c r="B56" s="7">
        <v>276146</v>
      </c>
      <c r="C56" s="7">
        <v>40</v>
      </c>
      <c r="D56" s="7">
        <v>0.46300000000000002</v>
      </c>
      <c r="E56" s="7">
        <v>0.248</v>
      </c>
      <c r="F56" s="7">
        <v>10</v>
      </c>
      <c r="G56" s="7">
        <v>-10.246</v>
      </c>
      <c r="H56" s="7">
        <v>4.48E-2</v>
      </c>
      <c r="I56" s="7">
        <v>0.871</v>
      </c>
      <c r="J56" s="7">
        <v>2.83E-5</v>
      </c>
      <c r="K56" s="7">
        <v>0.10299999999999999</v>
      </c>
      <c r="L56" s="7">
        <v>0.18099999999999999</v>
      </c>
      <c r="M56" s="8">
        <v>139.31</v>
      </c>
      <c r="O56" s="6"/>
      <c r="P56" s="10">
        <f t="shared" si="17"/>
        <v>0.63525330359738286</v>
      </c>
      <c r="Q56" s="10">
        <f t="shared" si="29"/>
        <v>0</v>
      </c>
      <c r="R56" s="10">
        <f t="shared" si="30"/>
        <v>0.46326530612244904</v>
      </c>
      <c r="S56" s="10">
        <f t="shared" si="31"/>
        <v>0.22247072753585054</v>
      </c>
      <c r="T56" s="10">
        <f t="shared" si="32"/>
        <v>0.90909090909090906</v>
      </c>
      <c r="U56" s="10">
        <f t="shared" si="33"/>
        <v>0.37736990722065339</v>
      </c>
      <c r="V56" s="10">
        <f t="shared" si="34"/>
        <v>0.24806201550387597</v>
      </c>
      <c r="W56" s="10">
        <f t="shared" si="35"/>
        <v>0.92449619822406559</v>
      </c>
      <c r="X56" s="10">
        <f t="shared" si="36"/>
        <v>4.7009966777408643E-4</v>
      </c>
      <c r="Y56" s="10">
        <f t="shared" si="37"/>
        <v>8.4101382488479245E-2</v>
      </c>
      <c r="Z56" s="10">
        <f t="shared" si="38"/>
        <v>0.12973924172132459</v>
      </c>
      <c r="AA56" s="11">
        <f t="shared" si="39"/>
        <v>0.61011400835308738</v>
      </c>
      <c r="AB56" s="2"/>
      <c r="AC56" s="16">
        <f t="shared" si="18"/>
        <v>1.7172308166620376</v>
      </c>
      <c r="AD56" s="17">
        <f t="shared" si="19"/>
        <v>2.3958329404701959</v>
      </c>
      <c r="AE56" s="2">
        <f t="shared" si="20"/>
        <v>1.7172308166620376</v>
      </c>
      <c r="AF56">
        <f t="shared" si="21"/>
        <v>1</v>
      </c>
      <c r="AG56">
        <f t="shared" si="22"/>
        <v>0</v>
      </c>
      <c r="AI56" s="16">
        <f t="shared" si="28"/>
        <v>3.734990154693512</v>
      </c>
      <c r="AJ56" s="17">
        <f t="shared" si="24"/>
        <v>2.8802077036477263</v>
      </c>
      <c r="AK56" s="2">
        <f t="shared" si="25"/>
        <v>2.8802077036477263</v>
      </c>
      <c r="AL56">
        <f t="shared" si="26"/>
        <v>0</v>
      </c>
      <c r="AM56">
        <f t="shared" si="27"/>
        <v>1</v>
      </c>
    </row>
    <row r="57" spans="1:39" x14ac:dyDescent="0.3">
      <c r="AE57">
        <f>SUM(AE6:AE56)</f>
        <v>86.929696532993802</v>
      </c>
      <c r="AF57">
        <f>SUM(AF6:AF56)</f>
        <v>49</v>
      </c>
      <c r="AG57">
        <f>SUM(AG6:AG56)</f>
        <v>2</v>
      </c>
    </row>
  </sheetData>
  <mergeCells count="1">
    <mergeCell ref="AI1:AI3"/>
  </mergeCells>
  <conditionalFormatting sqref="AF6:AG56 AG57">
    <cfRule type="cellIs" dxfId="3" priority="3" operator="equal">
      <formula>0</formula>
    </cfRule>
    <cfRule type="cellIs" dxfId="2" priority="4" operator="equal">
      <formula>1</formula>
    </cfRule>
  </conditionalFormatting>
  <conditionalFormatting sqref="AL6:AM56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ca_cest_brandi_carlile - copia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</dc:creator>
  <cp:lastModifiedBy>RANFERY JOSUA PEREGRINA MORALES</cp:lastModifiedBy>
  <dcterms:created xsi:type="dcterms:W3CDTF">2026-03-25T23:09:52Z</dcterms:created>
  <dcterms:modified xsi:type="dcterms:W3CDTF">2026-04-23T02:43:46Z</dcterms:modified>
</cp:coreProperties>
</file>
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an\Programas\GitHub\Repositorios\Semestre-EneJun2026\Minería de datos\Práctica 5\"/>
    </mc:Choice>
  </mc:AlternateContent>
  <bookViews>
    <workbookView xWindow="-108" yWindow="-108" windowWidth="20376" windowHeight="12216" activeTab="1"/>
  </bookViews>
  <sheets>
    <sheet name="Clustering" sheetId="1" r:id="rId1"/>
    <sheet name="Medoides" sheetId="2" r:id="rId2"/>
  </sheets>
  <calcPr calcId="152511"/>
</workbook>
</file>

<file path=xl/calcChain.xml><?xml version="1.0" encoding="utf-8"?>
<calcChain xmlns="http://schemas.openxmlformats.org/spreadsheetml/2006/main">
  <c r="BB11" i="2" l="1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C26" i="2" s="1"/>
  <c r="BE26" i="2" s="1"/>
  <c r="BB27" i="2"/>
  <c r="BB28" i="2"/>
  <c r="BB29" i="2"/>
  <c r="BB30" i="2"/>
  <c r="BB31" i="2"/>
  <c r="BB32" i="2"/>
  <c r="BB33" i="2"/>
  <c r="BB34" i="2"/>
  <c r="BC34" i="2" s="1"/>
  <c r="BE34" i="2" s="1"/>
  <c r="BB35" i="2"/>
  <c r="BB36" i="2"/>
  <c r="BB37" i="2"/>
  <c r="BB38" i="2"/>
  <c r="BB39" i="2"/>
  <c r="BB40" i="2"/>
  <c r="BB41" i="2"/>
  <c r="BB42" i="2"/>
  <c r="BB43" i="2"/>
  <c r="BC43" i="2" s="1"/>
  <c r="BB44" i="2"/>
  <c r="BB45" i="2"/>
  <c r="BB46" i="2"/>
  <c r="BB47" i="2"/>
  <c r="BC47" i="2" s="1"/>
  <c r="BB48" i="2"/>
  <c r="BB49" i="2"/>
  <c r="BB50" i="2"/>
  <c r="BB51" i="2"/>
  <c r="BC51" i="2" s="1"/>
  <c r="BB52" i="2"/>
  <c r="BB53" i="2"/>
  <c r="BB54" i="2"/>
  <c r="BB55" i="2"/>
  <c r="BB56" i="2"/>
  <c r="BB57" i="2"/>
  <c r="BB58" i="2"/>
  <c r="BB59" i="2"/>
  <c r="BB60" i="2"/>
  <c r="BB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C48" i="2" s="1"/>
  <c r="BA49" i="2"/>
  <c r="BA50" i="2"/>
  <c r="BA51" i="2"/>
  <c r="BA52" i="2"/>
  <c r="BA53" i="2"/>
  <c r="BA54" i="2"/>
  <c r="BA55" i="2"/>
  <c r="BA56" i="2"/>
  <c r="BA57" i="2"/>
  <c r="BC57" i="2" s="1"/>
  <c r="BA58" i="2"/>
  <c r="BA59" i="2"/>
  <c r="BA60" i="2"/>
  <c r="BA10" i="2"/>
  <c r="BC10" i="2"/>
  <c r="BD10" i="2" s="1"/>
  <c r="BC59" i="2"/>
  <c r="BC56" i="2"/>
  <c r="BC54" i="2"/>
  <c r="BE53" i="2"/>
  <c r="BC53" i="2"/>
  <c r="BD53" i="2" s="1"/>
  <c r="BC49" i="2"/>
  <c r="BC46" i="2"/>
  <c r="BC45" i="2"/>
  <c r="BE45" i="2" s="1"/>
  <c r="BC44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5" i="2"/>
  <c r="BC24" i="2"/>
  <c r="BC23" i="2"/>
  <c r="BC22" i="2"/>
  <c r="BC21" i="2"/>
  <c r="BC20" i="2"/>
  <c r="BC19" i="2"/>
  <c r="BC17" i="2"/>
  <c r="BC16" i="2"/>
  <c r="BC15" i="2"/>
  <c r="BC14" i="2"/>
  <c r="BC13" i="2"/>
  <c r="BD13" i="2" s="1"/>
  <c r="BC12" i="2"/>
  <c r="BC11" i="2"/>
  <c r="E83" i="2"/>
  <c r="F83" i="2"/>
  <c r="G83" i="2"/>
  <c r="H83" i="2"/>
  <c r="I83" i="2"/>
  <c r="J83" i="2"/>
  <c r="K83" i="2"/>
  <c r="L83" i="2"/>
  <c r="M83" i="2"/>
  <c r="N83" i="2"/>
  <c r="O83" i="2"/>
  <c r="E82" i="2"/>
  <c r="F82" i="2"/>
  <c r="G82" i="2"/>
  <c r="H82" i="2"/>
  <c r="I82" i="2"/>
  <c r="J82" i="2"/>
  <c r="K82" i="2"/>
  <c r="L82" i="2"/>
  <c r="M82" i="2"/>
  <c r="N82" i="2"/>
  <c r="O82" i="2"/>
  <c r="AY61" i="2"/>
  <c r="D78" i="2"/>
  <c r="D79" i="2"/>
  <c r="D83" i="2"/>
  <c r="D82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W26" i="2" s="1"/>
  <c r="AV27" i="2"/>
  <c r="AV28" i="2"/>
  <c r="AV29" i="2"/>
  <c r="AV30" i="2"/>
  <c r="AW30" i="2" s="1"/>
  <c r="AV31" i="2"/>
  <c r="AV32" i="2"/>
  <c r="AV33" i="2"/>
  <c r="AV34" i="2"/>
  <c r="AW34" i="2" s="1"/>
  <c r="AV35" i="2"/>
  <c r="AV36" i="2"/>
  <c r="AW36" i="2" s="1"/>
  <c r="AV37" i="2"/>
  <c r="AV38" i="2"/>
  <c r="AW38" i="2" s="1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W51" i="2" s="1"/>
  <c r="AV52" i="2"/>
  <c r="AV53" i="2"/>
  <c r="AV54" i="2"/>
  <c r="AV55" i="2"/>
  <c r="AW55" i="2" s="1"/>
  <c r="AV56" i="2"/>
  <c r="AV57" i="2"/>
  <c r="AV58" i="2"/>
  <c r="AV59" i="2"/>
  <c r="AV60" i="2"/>
  <c r="AW60" i="2" s="1"/>
  <c r="AY16" i="2"/>
  <c r="AY17" i="2"/>
  <c r="AY18" i="2"/>
  <c r="AY21" i="2"/>
  <c r="AY24" i="2"/>
  <c r="AY25" i="2"/>
  <c r="AY41" i="2"/>
  <c r="AY42" i="2"/>
  <c r="AY45" i="2"/>
  <c r="AY49" i="2"/>
  <c r="AY50" i="2"/>
  <c r="AY53" i="2"/>
  <c r="AY56" i="2"/>
  <c r="AV10" i="2"/>
  <c r="AW11" i="2"/>
  <c r="AY11" i="2" s="1"/>
  <c r="AW12" i="2"/>
  <c r="AY12" i="2" s="1"/>
  <c r="AX12" i="2"/>
  <c r="AW13" i="2"/>
  <c r="AX13" i="2" s="1"/>
  <c r="AW14" i="2"/>
  <c r="AX14" i="2" s="1"/>
  <c r="AW15" i="2"/>
  <c r="AX15" i="2" s="1"/>
  <c r="AW16" i="2"/>
  <c r="AX16" i="2" s="1"/>
  <c r="AW17" i="2"/>
  <c r="AX17" i="2"/>
  <c r="AW18" i="2"/>
  <c r="AX18" i="2"/>
  <c r="AW19" i="2"/>
  <c r="AY19" i="2" s="1"/>
  <c r="AX19" i="2"/>
  <c r="AW20" i="2"/>
  <c r="AY20" i="2" s="1"/>
  <c r="AW21" i="2"/>
  <c r="AX21" i="2"/>
  <c r="AW22" i="2"/>
  <c r="AX22" i="2" s="1"/>
  <c r="AW23" i="2"/>
  <c r="AX23" i="2" s="1"/>
  <c r="AW24" i="2"/>
  <c r="AX24" i="2" s="1"/>
  <c r="AW25" i="2"/>
  <c r="AX25" i="2"/>
  <c r="AW27" i="2"/>
  <c r="AY27" i="2" s="1"/>
  <c r="AX27" i="2"/>
  <c r="AW28" i="2"/>
  <c r="AX28" i="2" s="1"/>
  <c r="AW29" i="2"/>
  <c r="AY29" i="2" s="1"/>
  <c r="AX29" i="2"/>
  <c r="AW31" i="2"/>
  <c r="AX31" i="2" s="1"/>
  <c r="AW32" i="2"/>
  <c r="AX32" i="2" s="1"/>
  <c r="AW33" i="2"/>
  <c r="AY33" i="2" s="1"/>
  <c r="AX33" i="2"/>
  <c r="AW35" i="2"/>
  <c r="AY35" i="2" s="1"/>
  <c r="AW37" i="2"/>
  <c r="AY37" i="2" s="1"/>
  <c r="AX37" i="2"/>
  <c r="AW39" i="2"/>
  <c r="AX39" i="2" s="1"/>
  <c r="AW40" i="2"/>
  <c r="AX40" i="2" s="1"/>
  <c r="AW41" i="2"/>
  <c r="AX41" i="2" s="1"/>
  <c r="AW42" i="2"/>
  <c r="AX42" i="2"/>
  <c r="AW43" i="2"/>
  <c r="AY43" i="2" s="1"/>
  <c r="AW44" i="2"/>
  <c r="AY44" i="2" s="1"/>
  <c r="AX44" i="2"/>
  <c r="AW45" i="2"/>
  <c r="AX45" i="2" s="1"/>
  <c r="AW46" i="2"/>
  <c r="AX46" i="2" s="1"/>
  <c r="AW47" i="2"/>
  <c r="AX47" i="2" s="1"/>
  <c r="AW48" i="2"/>
  <c r="AX48" i="2" s="1"/>
  <c r="AW49" i="2"/>
  <c r="AX49" i="2"/>
  <c r="AW50" i="2"/>
  <c r="AX50" i="2" s="1"/>
  <c r="AW52" i="2"/>
  <c r="AY52" i="2" s="1"/>
  <c r="AX52" i="2"/>
  <c r="AW53" i="2"/>
  <c r="AX53" i="2"/>
  <c r="AW54" i="2"/>
  <c r="AX54" i="2" s="1"/>
  <c r="AW56" i="2"/>
  <c r="AX56" i="2" s="1"/>
  <c r="AW57" i="2"/>
  <c r="AY57" i="2" s="1"/>
  <c r="AX57" i="2"/>
  <c r="AW58" i="2"/>
  <c r="AX58" i="2" s="1"/>
  <c r="AW59" i="2"/>
  <c r="AY59" i="2" s="1"/>
  <c r="AX59" i="2"/>
  <c r="AW10" i="2"/>
  <c r="AY10" i="2" s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10" i="2"/>
  <c r="E79" i="2"/>
  <c r="F79" i="2"/>
  <c r="G79" i="2"/>
  <c r="H79" i="2"/>
  <c r="I79" i="2"/>
  <c r="J79" i="2"/>
  <c r="K79" i="2"/>
  <c r="L79" i="2"/>
  <c r="M79" i="2"/>
  <c r="N79" i="2"/>
  <c r="O79" i="2"/>
  <c r="E78" i="2"/>
  <c r="F78" i="2"/>
  <c r="G78" i="2"/>
  <c r="H78" i="2"/>
  <c r="I78" i="2"/>
  <c r="J78" i="2"/>
  <c r="K78" i="2"/>
  <c r="L78" i="2"/>
  <c r="M78" i="2"/>
  <c r="N78" i="2"/>
  <c r="O78" i="2"/>
  <c r="BE13" i="2" l="1"/>
  <c r="BC60" i="2"/>
  <c r="BC52" i="2"/>
  <c r="BC58" i="2"/>
  <c r="BE58" i="2" s="1"/>
  <c r="BC50" i="2"/>
  <c r="BE50" i="2" s="1"/>
  <c r="BC42" i="2"/>
  <c r="BE42" i="2" s="1"/>
  <c r="BC18" i="2"/>
  <c r="BD18" i="2" s="1"/>
  <c r="BC55" i="2"/>
  <c r="BD55" i="2" s="1"/>
  <c r="BD45" i="2"/>
  <c r="BE33" i="2"/>
  <c r="BD33" i="2"/>
  <c r="BE60" i="2"/>
  <c r="BD60" i="2"/>
  <c r="BE22" i="2"/>
  <c r="BD22" i="2"/>
  <c r="BE30" i="2"/>
  <c r="BD30" i="2"/>
  <c r="BD37" i="2"/>
  <c r="BE37" i="2"/>
  <c r="BE47" i="2"/>
  <c r="BD47" i="2"/>
  <c r="BE51" i="2"/>
  <c r="BD51" i="2"/>
  <c r="BE15" i="2"/>
  <c r="BD15" i="2"/>
  <c r="BE19" i="2"/>
  <c r="BD19" i="2"/>
  <c r="BE38" i="2"/>
  <c r="BD38" i="2"/>
  <c r="BD48" i="2"/>
  <c r="BE48" i="2"/>
  <c r="BE54" i="2"/>
  <c r="BD54" i="2"/>
  <c r="BE27" i="2"/>
  <c r="BD27" i="2"/>
  <c r="BE49" i="2"/>
  <c r="BD49" i="2"/>
  <c r="BD29" i="2"/>
  <c r="BE29" i="2"/>
  <c r="BE44" i="2"/>
  <c r="BD44" i="2"/>
  <c r="BE12" i="2"/>
  <c r="BD12" i="2"/>
  <c r="BE52" i="2"/>
  <c r="BD52" i="2"/>
  <c r="BD24" i="2"/>
  <c r="BE24" i="2"/>
  <c r="BE35" i="2"/>
  <c r="BD35" i="2"/>
  <c r="BD32" i="2"/>
  <c r="BE32" i="2"/>
  <c r="BE39" i="2"/>
  <c r="BD39" i="2"/>
  <c r="BE43" i="2"/>
  <c r="BD43" i="2"/>
  <c r="BE59" i="2"/>
  <c r="BD59" i="2"/>
  <c r="BE14" i="2"/>
  <c r="BD14" i="2"/>
  <c r="BD16" i="2"/>
  <c r="BE16" i="2"/>
  <c r="BE23" i="2"/>
  <c r="BD23" i="2"/>
  <c r="BD20" i="2"/>
  <c r="BE20" i="2"/>
  <c r="BE31" i="2"/>
  <c r="BD31" i="2"/>
  <c r="BE17" i="2"/>
  <c r="BD17" i="2"/>
  <c r="BE28" i="2"/>
  <c r="BD28" i="2"/>
  <c r="BE11" i="2"/>
  <c r="BD11" i="2"/>
  <c r="BD21" i="2"/>
  <c r="BE21" i="2"/>
  <c r="BE25" i="2"/>
  <c r="BD25" i="2"/>
  <c r="BE36" i="2"/>
  <c r="BD36" i="2"/>
  <c r="BD40" i="2"/>
  <c r="BE40" i="2"/>
  <c r="BE46" i="2"/>
  <c r="BD46" i="2"/>
  <c r="BD56" i="2"/>
  <c r="BE56" i="2"/>
  <c r="BE41" i="2"/>
  <c r="BD41" i="2"/>
  <c r="BE57" i="2"/>
  <c r="BD57" i="2"/>
  <c r="BD42" i="2"/>
  <c r="BD50" i="2"/>
  <c r="BD58" i="2"/>
  <c r="BD26" i="2"/>
  <c r="BD34" i="2"/>
  <c r="BE10" i="2"/>
  <c r="BE18" i="2"/>
  <c r="AY34" i="2"/>
  <c r="AX34" i="2"/>
  <c r="AY26" i="2"/>
  <c r="AX26" i="2"/>
  <c r="AY36" i="2"/>
  <c r="AX36" i="2"/>
  <c r="AX55" i="2"/>
  <c r="AY55" i="2"/>
  <c r="AX30" i="2"/>
  <c r="AY30" i="2"/>
  <c r="AX38" i="2"/>
  <c r="AY38" i="2"/>
  <c r="AY60" i="2"/>
  <c r="AX60" i="2"/>
  <c r="AY51" i="2"/>
  <c r="AX51" i="2"/>
  <c r="AY58" i="2"/>
  <c r="AY48" i="2"/>
  <c r="AX11" i="2"/>
  <c r="AY47" i="2"/>
  <c r="AY39" i="2"/>
  <c r="AY31" i="2"/>
  <c r="AY23" i="2"/>
  <c r="AY15" i="2"/>
  <c r="AY40" i="2"/>
  <c r="AY32" i="2"/>
  <c r="AX35" i="2"/>
  <c r="AX20" i="2"/>
  <c r="AY54" i="2"/>
  <c r="AY46" i="2"/>
  <c r="AY22" i="2"/>
  <c r="AY14" i="2"/>
  <c r="AY13" i="2"/>
  <c r="AY28" i="2"/>
  <c r="AX43" i="2"/>
  <c r="AW61" i="2"/>
  <c r="AX10" i="2"/>
  <c r="AS61" i="2"/>
  <c r="AR61" i="2"/>
  <c r="AQ61" i="2"/>
  <c r="AR11" i="2"/>
  <c r="AS11" i="2"/>
  <c r="AR12" i="2"/>
  <c r="AS12" i="2"/>
  <c r="AR13" i="2"/>
  <c r="AS13" i="2"/>
  <c r="AR14" i="2"/>
  <c r="AS14" i="2"/>
  <c r="AR15" i="2"/>
  <c r="AS15" i="2"/>
  <c r="AR16" i="2"/>
  <c r="AS16" i="2"/>
  <c r="AR17" i="2"/>
  <c r="AS17" i="2"/>
  <c r="AR18" i="2"/>
  <c r="AS18" i="2"/>
  <c r="AR19" i="2"/>
  <c r="AS19" i="2"/>
  <c r="AR20" i="2"/>
  <c r="AS20" i="2"/>
  <c r="AR21" i="2"/>
  <c r="AS21" i="2"/>
  <c r="AR22" i="2"/>
  <c r="AS22" i="2"/>
  <c r="AR23" i="2"/>
  <c r="AS23" i="2"/>
  <c r="AR24" i="2"/>
  <c r="AS24" i="2"/>
  <c r="AR25" i="2"/>
  <c r="AS25" i="2"/>
  <c r="AR26" i="2"/>
  <c r="AS26" i="2"/>
  <c r="AR27" i="2"/>
  <c r="AS27" i="2"/>
  <c r="AR28" i="2"/>
  <c r="AS28" i="2"/>
  <c r="AR29" i="2"/>
  <c r="AS29" i="2"/>
  <c r="AR30" i="2"/>
  <c r="AS30" i="2"/>
  <c r="AR31" i="2"/>
  <c r="AS31" i="2"/>
  <c r="AR32" i="2"/>
  <c r="AS32" i="2"/>
  <c r="AR33" i="2"/>
  <c r="AS33" i="2"/>
  <c r="AR34" i="2"/>
  <c r="AS34" i="2"/>
  <c r="AR35" i="2"/>
  <c r="AS35" i="2"/>
  <c r="AR36" i="2"/>
  <c r="AS36" i="2"/>
  <c r="AR37" i="2"/>
  <c r="AS37" i="2"/>
  <c r="AR38" i="2"/>
  <c r="AS38" i="2"/>
  <c r="AR39" i="2"/>
  <c r="AS39" i="2"/>
  <c r="AR40" i="2"/>
  <c r="AS40" i="2"/>
  <c r="AR41" i="2"/>
  <c r="AS41" i="2"/>
  <c r="AR42" i="2"/>
  <c r="AS42" i="2"/>
  <c r="AR43" i="2"/>
  <c r="AS43" i="2"/>
  <c r="AR44" i="2"/>
  <c r="AS44" i="2"/>
  <c r="AR45" i="2"/>
  <c r="AS45" i="2"/>
  <c r="AR46" i="2"/>
  <c r="AS46" i="2"/>
  <c r="AR47" i="2"/>
  <c r="AS47" i="2"/>
  <c r="AR48" i="2"/>
  <c r="AS48" i="2"/>
  <c r="AR49" i="2"/>
  <c r="AS49" i="2"/>
  <c r="AR50" i="2"/>
  <c r="AS50" i="2"/>
  <c r="AR51" i="2"/>
  <c r="AS51" i="2"/>
  <c r="AR52" i="2"/>
  <c r="AS52" i="2"/>
  <c r="AR53" i="2"/>
  <c r="AS53" i="2"/>
  <c r="AR54" i="2"/>
  <c r="AS54" i="2"/>
  <c r="AR55" i="2"/>
  <c r="AS55" i="2"/>
  <c r="AR56" i="2"/>
  <c r="AS56" i="2"/>
  <c r="AR57" i="2"/>
  <c r="AS57" i="2"/>
  <c r="AR58" i="2"/>
  <c r="AS58" i="2"/>
  <c r="AR59" i="2"/>
  <c r="AS59" i="2"/>
  <c r="AR60" i="2"/>
  <c r="AS60" i="2"/>
  <c r="AS10" i="2"/>
  <c r="AR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10" i="2"/>
  <c r="E75" i="2"/>
  <c r="F75" i="2"/>
  <c r="G75" i="2"/>
  <c r="H75" i="2"/>
  <c r="I75" i="2"/>
  <c r="J75" i="2"/>
  <c r="K75" i="2"/>
  <c r="L75" i="2"/>
  <c r="M75" i="2"/>
  <c r="N75" i="2"/>
  <c r="O75" i="2"/>
  <c r="D75" i="2"/>
  <c r="E74" i="2"/>
  <c r="F74" i="2"/>
  <c r="G74" i="2"/>
  <c r="H74" i="2"/>
  <c r="I74" i="2"/>
  <c r="J74" i="2"/>
  <c r="K74" i="2"/>
  <c r="L74" i="2"/>
  <c r="M74" i="2"/>
  <c r="N74" i="2"/>
  <c r="O74" i="2"/>
  <c r="AM61" i="2"/>
  <c r="AL61" i="2"/>
  <c r="D74" i="2"/>
  <c r="Q56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S28" i="2" s="1"/>
  <c r="U28" i="2" s="1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S15" i="2" s="1"/>
  <c r="U15" i="2" s="1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S23" i="2" s="1"/>
  <c r="U23" i="2" s="1"/>
  <c r="Q24" i="2"/>
  <c r="S24" i="2" s="1"/>
  <c r="U24" i="2" s="1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S31" i="2" s="1"/>
  <c r="U31" i="2" s="1"/>
  <c r="Q32" i="2"/>
  <c r="S32" i="2" s="1"/>
  <c r="U32" i="2" s="1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S39" i="2" s="1"/>
  <c r="U39" i="2" s="1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S47" i="2" s="1"/>
  <c r="U47" i="2" s="1"/>
  <c r="Q48" i="2"/>
  <c r="S48" i="2" s="1"/>
  <c r="U48" i="2" s="1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S55" i="2" s="1"/>
  <c r="U55" i="2" s="1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S26" i="1" s="1"/>
  <c r="F2" i="1"/>
  <c r="G2" i="1"/>
  <c r="H2" i="1"/>
  <c r="I2" i="1"/>
  <c r="J2" i="1"/>
  <c r="K2" i="1"/>
  <c r="L2" i="1"/>
  <c r="M2" i="1"/>
  <c r="B2" i="1"/>
  <c r="B3" i="1"/>
  <c r="BC61" i="2" l="1"/>
  <c r="BE55" i="2"/>
  <c r="BE61" i="2" s="1"/>
  <c r="BD61" i="2"/>
  <c r="AX61" i="2"/>
  <c r="S52" i="2"/>
  <c r="U52" i="2" s="1"/>
  <c r="S40" i="2"/>
  <c r="U40" i="2" s="1"/>
  <c r="S16" i="2"/>
  <c r="U16" i="2" s="1"/>
  <c r="U10" i="2"/>
  <c r="S46" i="2"/>
  <c r="S34" i="2"/>
  <c r="U34" i="2" s="1"/>
  <c r="S22" i="2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2" i="2"/>
  <c r="U22" i="2"/>
  <c r="T34" i="2"/>
  <c r="T20" i="2"/>
  <c r="T55" i="2"/>
  <c r="T17" i="2"/>
  <c r="T53" i="2"/>
  <c r="T44" i="2"/>
  <c r="T47" i="2"/>
  <c r="T43" i="2"/>
  <c r="T41" i="2"/>
  <c r="T35" i="2"/>
  <c r="T32" i="2"/>
  <c r="T31" i="2"/>
  <c r="T52" i="2"/>
  <c r="T40" i="2"/>
  <c r="T28" i="2"/>
  <c r="T16" i="2"/>
  <c r="U54" i="2"/>
  <c r="U42" i="2"/>
  <c r="U30" i="2"/>
  <c r="U18" i="2"/>
  <c r="U19" i="2"/>
  <c r="T51" i="2"/>
  <c r="T39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U58" i="2" l="1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U61" i="2" l="1"/>
  <c r="T61" i="2"/>
  <c r="E63" i="2"/>
  <c r="E62" i="2"/>
  <c r="N62" i="2"/>
  <c r="D62" i="2"/>
  <c r="M63" i="2"/>
  <c r="O62" i="2"/>
  <c r="N63" i="2"/>
  <c r="M62" i="2"/>
  <c r="O63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I62" i="2" l="1"/>
  <c r="G62" i="2"/>
  <c r="K62" i="2"/>
  <c r="H62" i="2"/>
  <c r="J62" i="2"/>
  <c r="H63" i="2"/>
  <c r="J63" i="2"/>
  <c r="D63" i="2"/>
  <c r="K63" i="2"/>
  <c r="G63" i="2"/>
  <c r="I63" i="2"/>
  <c r="F63" i="2"/>
  <c r="F62" i="2"/>
  <c r="W60" i="2" s="1"/>
  <c r="L63" i="2"/>
  <c r="L62" i="2"/>
  <c r="W50" i="2" s="1"/>
  <c r="W56" i="2"/>
  <c r="W21" i="2"/>
  <c r="W45" i="2"/>
  <c r="W57" i="2"/>
  <c r="W36" i="2"/>
  <c r="W22" i="2"/>
  <c r="W46" i="2"/>
  <c r="W11" i="2"/>
  <c r="W23" i="2"/>
  <c r="W35" i="2"/>
  <c r="W47" i="2"/>
  <c r="W54" i="2"/>
  <c r="W31" i="2"/>
  <c r="W12" i="2"/>
  <c r="W13" i="2"/>
  <c r="W25" i="2"/>
  <c r="W26" i="2"/>
  <c r="W38" i="2"/>
  <c r="W43" i="2"/>
  <c r="W15" i="2"/>
  <c r="W27" i="2"/>
  <c r="W39" i="2"/>
  <c r="W51" i="2"/>
  <c r="W53" i="2"/>
  <c r="W18" i="2"/>
  <c r="W52" i="2"/>
  <c r="W41" i="2"/>
  <c r="W42" i="2"/>
  <c r="W19" i="2"/>
  <c r="W10" i="2"/>
  <c r="AE13" i="1"/>
  <c r="AF13" i="1" s="1"/>
  <c r="AE44" i="1"/>
  <c r="AE36" i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G44" i="1"/>
  <c r="AF44" i="1"/>
  <c r="AE47" i="1"/>
  <c r="AF10" i="1"/>
  <c r="AG10" i="1"/>
  <c r="AG32" i="1"/>
  <c r="AF32" i="1"/>
  <c r="AE28" i="1"/>
  <c r="AF36" i="1"/>
  <c r="AG36" i="1"/>
  <c r="AE38" i="1"/>
  <c r="AE46" i="1"/>
  <c r="AE52" i="1"/>
  <c r="AE11" i="1"/>
  <c r="AE50" i="1"/>
  <c r="X60" i="2" l="1"/>
  <c r="Y60" i="2" s="1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Y29" i="2" s="1"/>
  <c r="X16" i="2"/>
  <c r="X23" i="2"/>
  <c r="Y23" i="2" s="1"/>
  <c r="X50" i="2"/>
  <c r="Y50" i="2" s="1"/>
  <c r="X24" i="2"/>
  <c r="X51" i="2"/>
  <c r="Y51" i="2" s="1"/>
  <c r="X37" i="2"/>
  <c r="Y37" i="2" s="1"/>
  <c r="X38" i="2"/>
  <c r="Y38" i="2" s="1"/>
  <c r="X12" i="2"/>
  <c r="X58" i="2"/>
  <c r="X56" i="2"/>
  <c r="X31" i="2"/>
  <c r="X26" i="2"/>
  <c r="Y26" i="2" s="1"/>
  <c r="X41" i="2"/>
  <c r="X46" i="2"/>
  <c r="X44" i="2"/>
  <c r="X45" i="2"/>
  <c r="Y45" i="2" s="1"/>
  <c r="X14" i="2"/>
  <c r="Y14" i="2" s="1"/>
  <c r="X39" i="2"/>
  <c r="X34" i="2"/>
  <c r="X32" i="2"/>
  <c r="X30" i="2"/>
  <c r="X49" i="2"/>
  <c r="Y49" i="2" s="1"/>
  <c r="X22" i="2"/>
  <c r="X20" i="2"/>
  <c r="X40" i="2"/>
  <c r="Y40" i="2" s="1"/>
  <c r="X59" i="2"/>
  <c r="Y59" i="2" s="1"/>
  <c r="X28" i="2"/>
  <c r="X52" i="2"/>
  <c r="Y52" i="2" s="1"/>
  <c r="X13" i="2"/>
  <c r="Y13" i="2" s="1"/>
  <c r="X47" i="2"/>
  <c r="X25" i="2"/>
  <c r="X55" i="2"/>
  <c r="Y55" i="2" s="1"/>
  <c r="X27" i="2"/>
  <c r="X21" i="2"/>
  <c r="Y21" i="2" s="1"/>
  <c r="X19" i="2"/>
  <c r="X17" i="2"/>
  <c r="X35" i="2"/>
  <c r="Y35" i="2" s="1"/>
  <c r="X57" i="2"/>
  <c r="Y57" i="2" s="1"/>
  <c r="X43" i="2"/>
  <c r="Y43" i="2" s="1"/>
  <c r="AA43" i="2" s="1"/>
  <c r="X18" i="2"/>
  <c r="Y18" i="2" s="1"/>
  <c r="X54" i="2"/>
  <c r="Y54" i="2" s="1"/>
  <c r="X10" i="2"/>
  <c r="X11" i="2"/>
  <c r="Y11" i="2" s="1"/>
  <c r="AA11" i="2" s="1"/>
  <c r="X33" i="2"/>
  <c r="Y33" i="2" s="1"/>
  <c r="X15" i="2"/>
  <c r="Y15" i="2" s="1"/>
  <c r="X48" i="2"/>
  <c r="Y48" i="2" s="1"/>
  <c r="X42" i="2"/>
  <c r="Y42" i="2" s="1"/>
  <c r="Y28" i="2"/>
  <c r="Y25" i="2"/>
  <c r="Z25" i="2" s="1"/>
  <c r="Y56" i="2"/>
  <c r="AA56" i="2" s="1"/>
  <c r="Y36" i="2"/>
  <c r="AA36" i="2" s="1"/>
  <c r="Y58" i="2"/>
  <c r="AA58" i="2" s="1"/>
  <c r="W44" i="2"/>
  <c r="Y44" i="2" s="1"/>
  <c r="AA44" i="2" s="1"/>
  <c r="Y39" i="2"/>
  <c r="Z39" i="2" s="1"/>
  <c r="Y12" i="2"/>
  <c r="AA12" i="2" s="1"/>
  <c r="Y46" i="2"/>
  <c r="W32" i="2"/>
  <c r="Y32" i="2" s="1"/>
  <c r="AA32" i="2" s="1"/>
  <c r="Y19" i="2"/>
  <c r="AA19" i="2" s="1"/>
  <c r="Y27" i="2"/>
  <c r="Z27" i="2" s="1"/>
  <c r="Y31" i="2"/>
  <c r="Z31" i="2" s="1"/>
  <c r="W34" i="2"/>
  <c r="Y34" i="2" s="1"/>
  <c r="Z34" i="2" s="1"/>
  <c r="W20" i="2"/>
  <c r="Y20" i="2" s="1"/>
  <c r="Z20" i="2" s="1"/>
  <c r="Y22" i="2"/>
  <c r="Z22" i="2" s="1"/>
  <c r="Y47" i="2"/>
  <c r="Z47" i="2" s="1"/>
  <c r="Y53" i="2"/>
  <c r="AA53" i="2" s="1"/>
  <c r="W24" i="2"/>
  <c r="Y24" i="2" s="1"/>
  <c r="Z24" i="2" s="1"/>
  <c r="W30" i="2"/>
  <c r="Y30" i="2" s="1"/>
  <c r="AA30" i="2" s="1"/>
  <c r="Y10" i="2"/>
  <c r="AA10" i="2" s="1"/>
  <c r="Y41" i="2"/>
  <c r="W17" i="2"/>
  <c r="Y17" i="2" s="1"/>
  <c r="Z17" i="2" s="1"/>
  <c r="AA24" i="2"/>
  <c r="Z41" i="2"/>
  <c r="AA41" i="2"/>
  <c r="Z28" i="2"/>
  <c r="AA28" i="2"/>
  <c r="Z53" i="2"/>
  <c r="Z10" i="2"/>
  <c r="Z19" i="2"/>
  <c r="AA46" i="2"/>
  <c r="Z46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AA38" i="2" l="1"/>
  <c r="Z38" i="2"/>
  <c r="AA40" i="2"/>
  <c r="Z40" i="2"/>
  <c r="AA60" i="2"/>
  <c r="Z60" i="2"/>
  <c r="AA17" i="2"/>
  <c r="AA31" i="2"/>
  <c r="Z44" i="2"/>
  <c r="AA47" i="2"/>
  <c r="AA20" i="2"/>
  <c r="Z58" i="2"/>
  <c r="Z36" i="2"/>
  <c r="Z12" i="2"/>
  <c r="Y61" i="2"/>
  <c r="AA39" i="2"/>
  <c r="AA22" i="2"/>
  <c r="Z56" i="2"/>
  <c r="Z51" i="2"/>
  <c r="AA51" i="2"/>
  <c r="AA37" i="2"/>
  <c r="Z37" i="2"/>
  <c r="AA45" i="2"/>
  <c r="Z45" i="2"/>
  <c r="AA57" i="2"/>
  <c r="Z57" i="2"/>
  <c r="Z23" i="2"/>
  <c r="AA23" i="2"/>
  <c r="AA13" i="2"/>
  <c r="Z13" i="2"/>
  <c r="AA35" i="2"/>
  <c r="Z35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AA48" i="2"/>
  <c r="Z48" i="2"/>
  <c r="AA49" i="2"/>
  <c r="Z49" i="2"/>
  <c r="Z52" i="2"/>
  <c r="AA52" i="2"/>
  <c r="AA15" i="2"/>
  <c r="Z15" i="2"/>
  <c r="Z59" i="2"/>
  <c r="AA59" i="2"/>
  <c r="AA21" i="2"/>
  <c r="Z21" i="2"/>
  <c r="AA33" i="2"/>
  <c r="Z33" i="2"/>
  <c r="AA55" i="2"/>
  <c r="Z55" i="2"/>
  <c r="AA34" i="2"/>
  <c r="Z32" i="2"/>
  <c r="Z43" i="2"/>
  <c r="AA16" i="2"/>
  <c r="Z11" i="2"/>
  <c r="AA27" i="2"/>
  <c r="AA25" i="2"/>
  <c r="Z30" i="2"/>
  <c r="BD3" i="1"/>
  <c r="AG57" i="1"/>
  <c r="AY3" i="1" s="1"/>
  <c r="AF57" i="1"/>
  <c r="AE2" i="1" s="1"/>
  <c r="Z61" i="2" l="1"/>
  <c r="AA61" i="2"/>
  <c r="N66" i="2"/>
  <c r="M66" i="2"/>
  <c r="F66" i="2"/>
  <c r="O66" i="2"/>
  <c r="G66" i="2"/>
  <c r="H66" i="2"/>
  <c r="K66" i="2"/>
  <c r="I66" i="2"/>
  <c r="E66" i="2"/>
  <c r="J66" i="2"/>
  <c r="L66" i="2"/>
  <c r="E67" i="2"/>
  <c r="O67" i="2"/>
  <c r="F67" i="2"/>
  <c r="G67" i="2"/>
  <c r="M67" i="2"/>
  <c r="H67" i="2"/>
  <c r="I67" i="2"/>
  <c r="J67" i="2"/>
  <c r="K67" i="2"/>
  <c r="L67" i="2"/>
  <c r="N67" i="2"/>
  <c r="D67" i="2"/>
  <c r="D66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AC16" i="2" l="1"/>
  <c r="AC28" i="2"/>
  <c r="AC40" i="2"/>
  <c r="AC52" i="2"/>
  <c r="AC13" i="2"/>
  <c r="AC17" i="2"/>
  <c r="AC29" i="2"/>
  <c r="AC41" i="2"/>
  <c r="AC53" i="2"/>
  <c r="AC25" i="2"/>
  <c r="AC18" i="2"/>
  <c r="AC30" i="2"/>
  <c r="AE30" i="2" s="1"/>
  <c r="AC42" i="2"/>
  <c r="AC54" i="2"/>
  <c r="AC37" i="2"/>
  <c r="AC19" i="2"/>
  <c r="AC31" i="2"/>
  <c r="AC43" i="2"/>
  <c r="AC55" i="2"/>
  <c r="AC20" i="2"/>
  <c r="AC32" i="2"/>
  <c r="AC44" i="2"/>
  <c r="AC56" i="2"/>
  <c r="AC21" i="2"/>
  <c r="AE21" i="2" s="1"/>
  <c r="AC33" i="2"/>
  <c r="AC45" i="2"/>
  <c r="AC57" i="2"/>
  <c r="AC22" i="2"/>
  <c r="AC34" i="2"/>
  <c r="AC46" i="2"/>
  <c r="AC58" i="2"/>
  <c r="AC11" i="2"/>
  <c r="AC23" i="2"/>
  <c r="AC35" i="2"/>
  <c r="AC47" i="2"/>
  <c r="AC59" i="2"/>
  <c r="AE59" i="2" s="1"/>
  <c r="AC49" i="2"/>
  <c r="AC12" i="2"/>
  <c r="AC24" i="2"/>
  <c r="AC36" i="2"/>
  <c r="AC48" i="2"/>
  <c r="AC60" i="2"/>
  <c r="AC14" i="2"/>
  <c r="AC26" i="2"/>
  <c r="AC38" i="2"/>
  <c r="AC50" i="2"/>
  <c r="AC10" i="2"/>
  <c r="AC15" i="2"/>
  <c r="AE15" i="2" s="1"/>
  <c r="AC27" i="2"/>
  <c r="AC39" i="2"/>
  <c r="AC51" i="2"/>
  <c r="AD19" i="2"/>
  <c r="AD31" i="2"/>
  <c r="AD43" i="2"/>
  <c r="AD55" i="2"/>
  <c r="AD20" i="2"/>
  <c r="AD32" i="2"/>
  <c r="AD44" i="2"/>
  <c r="AD56" i="2"/>
  <c r="AD28" i="2"/>
  <c r="AD21" i="2"/>
  <c r="AD33" i="2"/>
  <c r="AD45" i="2"/>
  <c r="AD57" i="2"/>
  <c r="AD40" i="2"/>
  <c r="AD22" i="2"/>
  <c r="AD34" i="2"/>
  <c r="AD46" i="2"/>
  <c r="AD58" i="2"/>
  <c r="AD11" i="2"/>
  <c r="AD23" i="2"/>
  <c r="AD35" i="2"/>
  <c r="AD47" i="2"/>
  <c r="AD59" i="2"/>
  <c r="AD12" i="2"/>
  <c r="AD24" i="2"/>
  <c r="AD36" i="2"/>
  <c r="AD48" i="2"/>
  <c r="AD60" i="2"/>
  <c r="AD13" i="2"/>
  <c r="AD25" i="2"/>
  <c r="AD37" i="2"/>
  <c r="AD49" i="2"/>
  <c r="AD10" i="2"/>
  <c r="AE10" i="2" s="1"/>
  <c r="AD14" i="2"/>
  <c r="AD26" i="2"/>
  <c r="AD38" i="2"/>
  <c r="AD50" i="2"/>
  <c r="AD16" i="2"/>
  <c r="AD52" i="2"/>
  <c r="AD15" i="2"/>
  <c r="AD27" i="2"/>
  <c r="AD39" i="2"/>
  <c r="AD51" i="2"/>
  <c r="AD17" i="2"/>
  <c r="AD29" i="2"/>
  <c r="AD41" i="2"/>
  <c r="AD53" i="2"/>
  <c r="AD18" i="2"/>
  <c r="AD30" i="2"/>
  <c r="AD42" i="2"/>
  <c r="AD54" i="2"/>
  <c r="AE54" i="2" s="1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AG30" i="2" l="1"/>
  <c r="AF30" i="2"/>
  <c r="AE47" i="2"/>
  <c r="AE56" i="2"/>
  <c r="AE18" i="2"/>
  <c r="AE50" i="2"/>
  <c r="AE35" i="2"/>
  <c r="AE44" i="2"/>
  <c r="AE25" i="2"/>
  <c r="AE38" i="2"/>
  <c r="AE23" i="2"/>
  <c r="AE32" i="2"/>
  <c r="AE53" i="2"/>
  <c r="AG21" i="2"/>
  <c r="AF21" i="2"/>
  <c r="AE26" i="2"/>
  <c r="AE11" i="2"/>
  <c r="AE20" i="2"/>
  <c r="AE41" i="2"/>
  <c r="AE14" i="2"/>
  <c r="AE58" i="2"/>
  <c r="AE55" i="2"/>
  <c r="AE29" i="2"/>
  <c r="AG59" i="2"/>
  <c r="AF59" i="2"/>
  <c r="AE60" i="2"/>
  <c r="AE46" i="2"/>
  <c r="AE43" i="2"/>
  <c r="AE17" i="2"/>
  <c r="AG15" i="2"/>
  <c r="AF15" i="2"/>
  <c r="AE48" i="2"/>
  <c r="AE34" i="2"/>
  <c r="AE31" i="2"/>
  <c r="AE13" i="2"/>
  <c r="AG10" i="2"/>
  <c r="AF10" i="2"/>
  <c r="AE36" i="2"/>
  <c r="AE22" i="2"/>
  <c r="AE19" i="2"/>
  <c r="AE52" i="2"/>
  <c r="AE51" i="2"/>
  <c r="AE24" i="2"/>
  <c r="AE57" i="2"/>
  <c r="AE37" i="2"/>
  <c r="AE40" i="2"/>
  <c r="AE39" i="2"/>
  <c r="AE12" i="2"/>
  <c r="AE45" i="2"/>
  <c r="AE28" i="2"/>
  <c r="AG54" i="2"/>
  <c r="AF54" i="2"/>
  <c r="AE27" i="2"/>
  <c r="AE49" i="2"/>
  <c r="AE33" i="2"/>
  <c r="AE42" i="2"/>
  <c r="AE16" i="2"/>
  <c r="AU10" i="1"/>
  <c r="AU46" i="1"/>
  <c r="AU16" i="1"/>
  <c r="AU29" i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H11" i="1"/>
  <c r="BJ11" i="1" s="1"/>
  <c r="BH20" i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H34" i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W29" i="1"/>
  <c r="AV29" i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V16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W46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46" i="1"/>
  <c r="BL46" i="1" s="1"/>
  <c r="BJ31" i="1"/>
  <c r="BL31" i="1" s="1"/>
  <c r="BJ48" i="1"/>
  <c r="BK48" i="1" s="1"/>
  <c r="BJ34" i="1"/>
  <c r="BL34" i="1" s="1"/>
  <c r="BJ54" i="1"/>
  <c r="BL54" i="1" s="1"/>
  <c r="BJ20" i="1"/>
  <c r="BK20" i="1" s="1"/>
  <c r="BJ32" i="1"/>
  <c r="BK32" i="1" s="1"/>
  <c r="BJ24" i="1"/>
  <c r="BL24" i="1" s="1"/>
  <c r="BL23" i="1"/>
  <c r="BK23" i="1"/>
  <c r="BJ7" i="1"/>
  <c r="BJ44" i="1"/>
  <c r="BL11" i="1"/>
  <c r="BK11" i="1"/>
  <c r="BJ17" i="1"/>
  <c r="BJ6" i="1"/>
  <c r="BK41" i="1"/>
  <c r="BL41" i="1"/>
  <c r="AF40" i="2" l="1"/>
  <c r="AG40" i="2"/>
  <c r="AG23" i="2"/>
  <c r="AF23" i="2"/>
  <c r="AG37" i="2"/>
  <c r="AF37" i="2"/>
  <c r="AG55" i="2"/>
  <c r="AF55" i="2"/>
  <c r="AF38" i="2"/>
  <c r="AG38" i="2"/>
  <c r="AF34" i="2"/>
  <c r="AG34" i="2"/>
  <c r="AG58" i="2"/>
  <c r="AF58" i="2"/>
  <c r="AG25" i="2"/>
  <c r="AF25" i="2"/>
  <c r="AG29" i="2"/>
  <c r="AF29" i="2"/>
  <c r="AG24" i="2"/>
  <c r="AF24" i="2"/>
  <c r="AG48" i="2"/>
  <c r="AF48" i="2"/>
  <c r="AF14" i="2"/>
  <c r="AG14" i="2"/>
  <c r="AG44" i="2"/>
  <c r="AF44" i="2"/>
  <c r="AF32" i="2"/>
  <c r="AG32" i="2"/>
  <c r="AF16" i="2"/>
  <c r="AG16" i="2"/>
  <c r="AG49" i="2"/>
  <c r="AF49" i="2"/>
  <c r="AF35" i="2"/>
  <c r="AG35" i="2"/>
  <c r="AG13" i="2"/>
  <c r="AF13" i="2"/>
  <c r="AG33" i="2"/>
  <c r="AF33" i="2"/>
  <c r="AF20" i="2"/>
  <c r="AG20" i="2"/>
  <c r="AG50" i="2"/>
  <c r="AF50" i="2"/>
  <c r="AF42" i="2"/>
  <c r="AG42" i="2"/>
  <c r="AG17" i="2"/>
  <c r="AF17" i="2"/>
  <c r="AG11" i="2"/>
  <c r="AF11" i="2"/>
  <c r="AF61" i="2" s="1"/>
  <c r="AF18" i="2"/>
  <c r="AG18" i="2"/>
  <c r="AG31" i="2"/>
  <c r="AF31" i="2"/>
  <c r="AG41" i="2"/>
  <c r="AF41" i="2"/>
  <c r="AG22" i="2"/>
  <c r="AF22" i="2"/>
  <c r="AG43" i="2"/>
  <c r="AF43" i="2"/>
  <c r="AF26" i="2"/>
  <c r="AG26" i="2"/>
  <c r="AF56" i="2"/>
  <c r="AG56" i="2"/>
  <c r="AF39" i="2"/>
  <c r="AG39" i="2"/>
  <c r="AG57" i="2"/>
  <c r="AF57" i="2"/>
  <c r="AG51" i="2"/>
  <c r="AF51" i="2"/>
  <c r="AG27" i="2"/>
  <c r="AF27" i="2"/>
  <c r="AF28" i="2"/>
  <c r="AG28" i="2"/>
  <c r="AG46" i="2"/>
  <c r="AF46" i="2"/>
  <c r="AF47" i="2"/>
  <c r="AG47" i="2"/>
  <c r="AF52" i="2"/>
  <c r="AG52" i="2"/>
  <c r="AE61" i="2"/>
  <c r="AG19" i="2"/>
  <c r="AF19" i="2"/>
  <c r="AG36" i="2"/>
  <c r="AF36" i="2"/>
  <c r="AG45" i="2"/>
  <c r="AF45" i="2"/>
  <c r="AG60" i="2"/>
  <c r="AF60" i="2"/>
  <c r="AG12" i="2"/>
  <c r="AF12" i="2"/>
  <c r="AG53" i="2"/>
  <c r="AF53" i="2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G61" i="2" l="1"/>
  <c r="G70" i="2"/>
  <c r="N70" i="2"/>
  <c r="J70" i="2"/>
  <c r="H70" i="2"/>
  <c r="I70" i="2"/>
  <c r="F70" i="2"/>
  <c r="K70" i="2"/>
  <c r="L70" i="2"/>
  <c r="M70" i="2"/>
  <c r="O70" i="2"/>
  <c r="E70" i="2"/>
  <c r="K71" i="2"/>
  <c r="L71" i="2"/>
  <c r="M71" i="2"/>
  <c r="N71" i="2"/>
  <c r="O71" i="2"/>
  <c r="J71" i="2"/>
  <c r="E71" i="2"/>
  <c r="F71" i="2"/>
  <c r="G71" i="2"/>
  <c r="H71" i="2"/>
  <c r="I71" i="2"/>
  <c r="D71" i="2"/>
  <c r="D70" i="2"/>
  <c r="BK57" i="1"/>
  <c r="AV57" i="1"/>
  <c r="BL2" i="1" s="1"/>
  <c r="AW57" i="1"/>
  <c r="BU3" i="1" s="1"/>
  <c r="BQ3" i="1"/>
  <c r="AJ13" i="2" l="1"/>
  <c r="AJ25" i="2"/>
  <c r="AJ37" i="2"/>
  <c r="AJ49" i="2"/>
  <c r="AJ10" i="2"/>
  <c r="AJ14" i="2"/>
  <c r="AJ26" i="2"/>
  <c r="AJ38" i="2"/>
  <c r="AJ50" i="2"/>
  <c r="AJ15" i="2"/>
  <c r="AJ27" i="2"/>
  <c r="AJ39" i="2"/>
  <c r="AJ51" i="2"/>
  <c r="AJ16" i="2"/>
  <c r="AJ28" i="2"/>
  <c r="AJ40" i="2"/>
  <c r="AJ52" i="2"/>
  <c r="AJ34" i="2"/>
  <c r="AJ17" i="2"/>
  <c r="AJ29" i="2"/>
  <c r="AJ41" i="2"/>
  <c r="AJ53" i="2"/>
  <c r="AJ18" i="2"/>
  <c r="AJ30" i="2"/>
  <c r="AJ42" i="2"/>
  <c r="AJ54" i="2"/>
  <c r="AJ19" i="2"/>
  <c r="AJ31" i="2"/>
  <c r="AJ43" i="2"/>
  <c r="AJ55" i="2"/>
  <c r="AJ22" i="2"/>
  <c r="AJ58" i="2"/>
  <c r="AJ20" i="2"/>
  <c r="AJ32" i="2"/>
  <c r="AJ44" i="2"/>
  <c r="AJ56" i="2"/>
  <c r="AJ46" i="2"/>
  <c r="AJ21" i="2"/>
  <c r="AJ33" i="2"/>
  <c r="AJ45" i="2"/>
  <c r="AJ57" i="2"/>
  <c r="AJ11" i="2"/>
  <c r="AJ23" i="2"/>
  <c r="AJ35" i="2"/>
  <c r="AJ47" i="2"/>
  <c r="AJ59" i="2"/>
  <c r="AJ12" i="2"/>
  <c r="AJ24" i="2"/>
  <c r="AJ36" i="2"/>
  <c r="AJ48" i="2"/>
  <c r="AJ60" i="2"/>
  <c r="AI22" i="2"/>
  <c r="AK22" i="2" s="1"/>
  <c r="AI34" i="2"/>
  <c r="AK34" i="2" s="1"/>
  <c r="AI46" i="2"/>
  <c r="AK46" i="2" s="1"/>
  <c r="AI58" i="2"/>
  <c r="AK58" i="2" s="1"/>
  <c r="AI11" i="2"/>
  <c r="AK11" i="2" s="1"/>
  <c r="AI23" i="2"/>
  <c r="AK23" i="2" s="1"/>
  <c r="AI35" i="2"/>
  <c r="AK35" i="2" s="1"/>
  <c r="AI47" i="2"/>
  <c r="AK47" i="2" s="1"/>
  <c r="AI59" i="2"/>
  <c r="AK59" i="2" s="1"/>
  <c r="AI12" i="2"/>
  <c r="AI24" i="2"/>
  <c r="AI36" i="2"/>
  <c r="AK36" i="2" s="1"/>
  <c r="AI48" i="2"/>
  <c r="AK48" i="2" s="1"/>
  <c r="AI60" i="2"/>
  <c r="AK60" i="2" s="1"/>
  <c r="AI55" i="2"/>
  <c r="AK55" i="2" s="1"/>
  <c r="AI13" i="2"/>
  <c r="AK13" i="2" s="1"/>
  <c r="AI25" i="2"/>
  <c r="AK25" i="2" s="1"/>
  <c r="AI37" i="2"/>
  <c r="AK37" i="2" s="1"/>
  <c r="AI49" i="2"/>
  <c r="AK49" i="2" s="1"/>
  <c r="AI10" i="2"/>
  <c r="AK10" i="2" s="1"/>
  <c r="AI14" i="2"/>
  <c r="AK14" i="2" s="1"/>
  <c r="AI26" i="2"/>
  <c r="AK26" i="2" s="1"/>
  <c r="AI38" i="2"/>
  <c r="AK38" i="2" s="1"/>
  <c r="AI50" i="2"/>
  <c r="AK50" i="2" s="1"/>
  <c r="AI15" i="2"/>
  <c r="AI27" i="2"/>
  <c r="AK27" i="2" s="1"/>
  <c r="AI39" i="2"/>
  <c r="AI51" i="2"/>
  <c r="AK51" i="2" s="1"/>
  <c r="AI16" i="2"/>
  <c r="AK16" i="2" s="1"/>
  <c r="AI28" i="2"/>
  <c r="AK28" i="2" s="1"/>
  <c r="AI40" i="2"/>
  <c r="AK40" i="2" s="1"/>
  <c r="AI52" i="2"/>
  <c r="AK52" i="2" s="1"/>
  <c r="AI31" i="2"/>
  <c r="AK31" i="2" s="1"/>
  <c r="AI17" i="2"/>
  <c r="AK17" i="2" s="1"/>
  <c r="AI29" i="2"/>
  <c r="AK29" i="2" s="1"/>
  <c r="AI41" i="2"/>
  <c r="AK41" i="2" s="1"/>
  <c r="AI53" i="2"/>
  <c r="AI43" i="2"/>
  <c r="AK43" i="2" s="1"/>
  <c r="AI18" i="2"/>
  <c r="AK18" i="2" s="1"/>
  <c r="AI30" i="2"/>
  <c r="AI42" i="2"/>
  <c r="AK42" i="2" s="1"/>
  <c r="AI54" i="2"/>
  <c r="AK54" i="2" s="1"/>
  <c r="AI19" i="2"/>
  <c r="AK19" i="2" s="1"/>
  <c r="AI20" i="2"/>
  <c r="AK20" i="2" s="1"/>
  <c r="AI32" i="2"/>
  <c r="AK32" i="2" s="1"/>
  <c r="AI44" i="2"/>
  <c r="AK44" i="2" s="1"/>
  <c r="AI56" i="2"/>
  <c r="AI21" i="2"/>
  <c r="AK21" i="2" s="1"/>
  <c r="AI33" i="2"/>
  <c r="AK33" i="2" s="1"/>
  <c r="AI45" i="2"/>
  <c r="AK45" i="2" s="1"/>
  <c r="AI57" i="2"/>
  <c r="AK57" i="2" s="1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AK53" i="2" l="1"/>
  <c r="AK15" i="2"/>
  <c r="AL20" i="2"/>
  <c r="AM20" i="2"/>
  <c r="AM52" i="2"/>
  <c r="AL52" i="2"/>
  <c r="AM10" i="2"/>
  <c r="AL10" i="2"/>
  <c r="AL47" i="2"/>
  <c r="AM47" i="2"/>
  <c r="AL14" i="2"/>
  <c r="AM14" i="2"/>
  <c r="AL19" i="2"/>
  <c r="AM19" i="2"/>
  <c r="AM40" i="2"/>
  <c r="AL40" i="2"/>
  <c r="AL49" i="2"/>
  <c r="AM49" i="2"/>
  <c r="AL35" i="2"/>
  <c r="AM35" i="2"/>
  <c r="AL54" i="2"/>
  <c r="AM54" i="2"/>
  <c r="AM28" i="2"/>
  <c r="AL28" i="2"/>
  <c r="AL37" i="2"/>
  <c r="AM37" i="2"/>
  <c r="AL23" i="2"/>
  <c r="AM23" i="2"/>
  <c r="AL42" i="2"/>
  <c r="AM42" i="2"/>
  <c r="AM16" i="2"/>
  <c r="AL16" i="2"/>
  <c r="AL25" i="2"/>
  <c r="AM25" i="2"/>
  <c r="AL11" i="2"/>
  <c r="AM11" i="2"/>
  <c r="AL59" i="2"/>
  <c r="AM59" i="2"/>
  <c r="AK30" i="2"/>
  <c r="AL51" i="2"/>
  <c r="AM51" i="2"/>
  <c r="AL13" i="2"/>
  <c r="AM13" i="2"/>
  <c r="AM58" i="2"/>
  <c r="AL58" i="2"/>
  <c r="AL18" i="2"/>
  <c r="AM18" i="2"/>
  <c r="AK39" i="2"/>
  <c r="AL55" i="2"/>
  <c r="AM55" i="2"/>
  <c r="AM46" i="2"/>
  <c r="AL46" i="2"/>
  <c r="AL32" i="2"/>
  <c r="AM32" i="2"/>
  <c r="AL45" i="2"/>
  <c r="AM45" i="2"/>
  <c r="AL43" i="2"/>
  <c r="AM43" i="2"/>
  <c r="AL27" i="2"/>
  <c r="AM27" i="2"/>
  <c r="AL60" i="2"/>
  <c r="AM60" i="2"/>
  <c r="AM34" i="2"/>
  <c r="AL34" i="2"/>
  <c r="AL33" i="2"/>
  <c r="AM33" i="2"/>
  <c r="AL53" i="2"/>
  <c r="AM53" i="2"/>
  <c r="AL15" i="2"/>
  <c r="AM15" i="2"/>
  <c r="AL48" i="2"/>
  <c r="AM48" i="2"/>
  <c r="AM22" i="2"/>
  <c r="AL22" i="2"/>
  <c r="AL21" i="2"/>
  <c r="AM21" i="2"/>
  <c r="AL41" i="2"/>
  <c r="AM41" i="2"/>
  <c r="AL50" i="2"/>
  <c r="AM50" i="2"/>
  <c r="AL36" i="2"/>
  <c r="AM36" i="2"/>
  <c r="AL31" i="2"/>
  <c r="AM31" i="2"/>
  <c r="AL57" i="2"/>
  <c r="AM57" i="2"/>
  <c r="AL29" i="2"/>
  <c r="AM29" i="2"/>
  <c r="AL38" i="2"/>
  <c r="AM38" i="2"/>
  <c r="AK24" i="2"/>
  <c r="AK56" i="2"/>
  <c r="AL44" i="2"/>
  <c r="AM44" i="2"/>
  <c r="AL17" i="2"/>
  <c r="AM17" i="2"/>
  <c r="AL26" i="2"/>
  <c r="AM26" i="2"/>
  <c r="AK12" i="2"/>
  <c r="AK61" i="2" l="1"/>
  <c r="AL39" i="2"/>
  <c r="AM39" i="2"/>
  <c r="AL56" i="2"/>
  <c r="AM56" i="2"/>
  <c r="AL24" i="2"/>
  <c r="AM24" i="2"/>
  <c r="AL12" i="2"/>
  <c r="AM12" i="2"/>
  <c r="AL30" i="2"/>
  <c r="AM30" i="2"/>
</calcChain>
</file>

<file path=xl/sharedStrings.xml><?xml version="1.0" encoding="utf-8"?>
<sst xmlns="http://schemas.openxmlformats.org/spreadsheetml/2006/main" count="149" uniqueCount="32">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</sst>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0000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164" fontId="18" fillId="33" borderId="11" xfId="0" applyNumberFormat="1" applyFont="1" applyFill="1" applyBorder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19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6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57"/>
  <sheetViews>
    <sheetView topLeftCell="M1" zoomScale="55" zoomScaleNormal="55" workbookViewId="0">
      <selection activeCell="AE2" sqref="AE2"/>
    </sheetView>
  </sheetViews>
  <sheetFormatPr baseColWidth="10" defaultRowHeight="13.8"/>
  <cols>
    <col min="2" max="5" width="11.69921875" bestFit="1" customWidth="1"/>
    <col min="6" max="9" width="11.796875" bestFit="1" customWidth="1"/>
    <col min="10" max="10" width="15.09765625" bestFit="1" customWidth="1"/>
    <col min="11" max="12" width="11.8984375" bestFit="1" customWidth="1"/>
    <col min="13" max="13" width="12" bestFit="1" customWidth="1"/>
    <col min="15" max="15" width="11.69921875" bestFit="1" customWidth="1"/>
    <col min="16" max="23" width="14.09765625" bestFit="1" customWidth="1"/>
    <col min="24" max="24" width="17.19921875" bestFit="1" customWidth="1"/>
    <col min="25" max="27" width="14.09765625" bestFit="1" customWidth="1"/>
    <col min="29" max="29" width="13.796875" bestFit="1" customWidth="1"/>
    <col min="30" max="30" width="14.09765625" bestFit="1" customWidth="1"/>
    <col min="31" max="31" width="29.8984375" bestFit="1" customWidth="1"/>
    <col min="32" max="32" width="11.796875" bestFit="1" customWidth="1"/>
    <col min="33" max="33" width="16.3984375" bestFit="1" customWidth="1"/>
    <col min="34" max="34" width="16.19921875" customWidth="1"/>
    <col min="35" max="36" width="14.09765625" bestFit="1" customWidth="1"/>
    <col min="37" max="37" width="15.3984375" customWidth="1"/>
    <col min="38" max="38" width="13.296875" bestFit="1" customWidth="1"/>
    <col min="39" max="39" width="13.59765625" bestFit="1" customWidth="1"/>
    <col min="40" max="40" width="15" bestFit="1" customWidth="1"/>
    <col min="41" max="42" width="14.8984375" bestFit="1" customWidth="1"/>
    <col min="43" max="43" width="14.69921875" customWidth="1"/>
    <col min="44" max="44" width="11.69921875" bestFit="1" customWidth="1"/>
    <col min="45" max="45" width="15.59765625" bestFit="1" customWidth="1"/>
    <col min="46" max="46" width="15.296875" bestFit="1" customWidth="1"/>
    <col min="47" max="47" width="15.796875" bestFit="1" customWidth="1"/>
    <col min="48" max="48" width="11.8984375" bestFit="1" customWidth="1"/>
    <col min="49" max="49" width="11.796875" bestFit="1" customWidth="1"/>
    <col min="50" max="51" width="11.69921875" bestFit="1" customWidth="1"/>
    <col min="52" max="52" width="14.296875" bestFit="1" customWidth="1"/>
    <col min="53" max="54" width="13.8984375" bestFit="1" customWidth="1"/>
    <col min="55" max="56" width="11.796875" bestFit="1" customWidth="1"/>
    <col min="57" max="57" width="11.69921875" bestFit="1" customWidth="1"/>
    <col min="58" max="58" width="13.09765625" bestFit="1" customWidth="1"/>
    <col min="59" max="59" width="13" bestFit="1" customWidth="1"/>
    <col min="60" max="60" width="15.59765625" bestFit="1" customWidth="1"/>
    <col min="61" max="61" width="15.296875" bestFit="1" customWidth="1"/>
    <col min="62" max="62" width="15.796875" bestFit="1" customWidth="1"/>
    <col min="63" max="64" width="11.69921875" bestFit="1" customWidth="1"/>
    <col min="65" max="65" width="14.19921875" bestFit="1" customWidth="1"/>
    <col min="66" max="66" width="17.19921875" bestFit="1" customWidth="1"/>
    <col min="67" max="67" width="14.3984375" bestFit="1" customWidth="1"/>
    <col min="68" max="68" width="16.296875" customWidth="1"/>
    <col min="69" max="69" width="13.59765625" customWidth="1"/>
    <col min="70" max="73" width="11.69921875" bestFit="1" customWidth="1"/>
    <col min="75" max="75" width="14.796875" bestFit="1" customWidth="1"/>
    <col min="76" max="76" width="14.19921875" bestFit="1" customWidth="1"/>
    <col min="77" max="77" width="15.296875" customWidth="1"/>
    <col min="78" max="79" width="10.8984375" bestFit="1" customWidth="1"/>
  </cols>
  <sheetData>
    <row r="1" spans="1:73" ht="29.4" customHeight="1" thickBot="1">
      <c r="AC1" s="37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7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7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6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8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8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8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39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39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39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4.4" thickBot="1">
      <c r="A4" s="3"/>
      <c r="M4" s="4"/>
      <c r="O4" s="3"/>
      <c r="AA4" s="4"/>
      <c r="AI4" s="19"/>
    </row>
    <row r="5" spans="1:7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4.4" thickBot="1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65" priority="18" operator="equal">
      <formula>0</formula>
    </cfRule>
    <cfRule type="cellIs" dxfId="64" priority="19" operator="equal">
      <formula>1</formula>
    </cfRule>
  </conditionalFormatting>
  <conditionalFormatting sqref="AV6:AW57">
    <cfRule type="cellIs" dxfId="63" priority="16" operator="equal">
      <formula>0</formula>
    </cfRule>
    <cfRule type="cellIs" dxfId="62" priority="17" operator="equal">
      <formula>1</formula>
    </cfRule>
  </conditionalFormatting>
  <conditionalFormatting sqref="BJ6:BJ56">
    <cfRule type="cellIs" dxfId="61" priority="7" operator="equal">
      <formula>$BP$6</formula>
    </cfRule>
    <cfRule type="cellIs" dxfId="60" priority="9" operator="equal">
      <formula>$BN$6</formula>
    </cfRule>
  </conditionalFormatting>
  <conditionalFormatting sqref="BK6:BL56 BK57">
    <cfRule type="cellIs" dxfId="59" priority="14" operator="equal">
      <formula>0</formula>
    </cfRule>
    <cfRule type="cellIs" dxfId="58" priority="15" operator="equal">
      <formula>1</formula>
    </cfRule>
  </conditionalFormatting>
  <conditionalFormatting sqref="BN6">
    <cfRule type="cellIs" dxfId="57" priority="1" operator="equal">
      <formula>$BP$6</formula>
    </cfRule>
    <cfRule type="cellIs" dxfId="56" priority="2" operator="equal">
      <formula>$BN$6</formula>
    </cfRule>
  </conditionalFormatting>
  <conditionalFormatting sqref="BP5:BP6">
    <cfRule type="cellIs" dxfId="55" priority="3" operator="equal">
      <formula>$BP$6</formula>
    </cfRule>
    <cfRule type="cellIs" dxfId="54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BE83"/>
  <sheetViews>
    <sheetView tabSelected="1" zoomScale="25" zoomScaleNormal="25" workbookViewId="0">
      <selection activeCell="BE66" sqref="BE66"/>
    </sheetView>
  </sheetViews>
  <sheetFormatPr baseColWidth="10" defaultRowHeight="13.8"/>
  <cols>
    <col min="4" max="11" width="12.59765625" bestFit="1" customWidth="1"/>
    <col min="12" max="12" width="15.3984375" bestFit="1" customWidth="1"/>
    <col min="13" max="15" width="12.59765625" bestFit="1" customWidth="1"/>
  </cols>
  <sheetData>
    <row r="5" spans="3:57" ht="14.4" thickBot="1"/>
    <row r="6" spans="3:57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57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57">
      <c r="C8" s="3"/>
      <c r="O8" s="4"/>
    </row>
    <row r="9" spans="3:57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57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 t="shared" ref="Q10:Q41" si="0"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 t="shared" ref="R10:R41" si="1"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 t="shared" ref="W10:W41" si="2">SQRT(
($D$62 - D10)^2 +
($E$62 -E10)^2 +
($F$62- F10)^2 +
($G$62 - G10)^2 +
($H$62 - H10)^2 +
($I$62 - I10)^2 +
($J$62 - J10)^2 +
($K$62 - K10)^2 +
($L$62 - L10)^2 +
($M$62 - M10)^2 +
($N$62 - N10)^2 +
($O$62 - O10)^2)</f>
        <v>0.81335052659899887</v>
      </c>
      <c r="X10" s="13">
        <f t="shared" ref="X10:X41" si="3">SQRT(
($D$63 - D10)^2 +
($E$63 -E10)^2 +
($F$63- F10)^2 +
($G$63 - G10)^2 +
($H$63 - H10)^2 +
($I$63 - I10)^2 +
($J$63 - J10)^2 +
($K$63 - K10)^2 +
($L$63 - L10)^2 +
($M$63 - M10)^2 +
($N$63 - N10)^2 +
($O$63 - O10)^2)</f>
        <v>1.4240869662309144</v>
      </c>
      <c r="Y10">
        <f t="shared" ref="Y10:Y41" si="4">MIN(W10:X10)</f>
        <v>0.81335052659899887</v>
      </c>
      <c r="Z10">
        <f t="shared" ref="Z10:Z41" si="5">IF(Y10 =W10,1,0)</f>
        <v>1</v>
      </c>
      <c r="AA10">
        <f t="shared" ref="AA10:AA41" si="6">IF(Y10 = X10, 1, 0)</f>
        <v>0</v>
      </c>
      <c r="AC10" s="24">
        <f t="shared" ref="AC10:AC41" si="7">SQRT(
($D$66 - D10)^2 +
($E$66 -E10)^2 +
($F$66- F10)^2 +
($G$66 - G10)^2 +
($H$66 - H10)^2 +
($I$66 - I10)^2 +
($J$66 - J10)^2 +
($K$66 - K10)^2 +
($L$66 - L10)^2 +
($M$66 - M10)^2 +
($N$66 - N10)^2 +
($O$66 - O10)^2)</f>
        <v>0.7838047128336697</v>
      </c>
      <c r="AD10" s="13">
        <f t="shared" ref="AD10:AD41" si="8">SQRT(
($D$67 - D10)^2 +
($E$67 -E10)^2 +
($F$67- F10)^2 +
($G$67 - G10)^2 +
($H$67 - H10)^2 +
($I$67 - I10)^2 +
($J$67 - J10)^2 +
($K$67 - K10)^2 +
($L$67 - L10)^2 +
($M$67 - M10)^2 +
($N$67 - N10)^2 +
($O$67 - O10)^2)</f>
        <v>1.3766529508992709</v>
      </c>
      <c r="AE10">
        <f t="shared" ref="AE10:AE41" si="9">MIN(AC10:AD10)</f>
        <v>0.7838047128336697</v>
      </c>
      <c r="AF10">
        <f t="shared" ref="AF10:AF41" si="10">IF(AE10 =AC10,1,0)</f>
        <v>1</v>
      </c>
      <c r="AG10">
        <f t="shared" ref="AG10:AG41" si="11">IF(AE10 = AD10, 1, 0)</f>
        <v>0</v>
      </c>
      <c r="AI10" s="24">
        <f t="shared" ref="AI10:AI41" si="12">SQRT(
($D$70 - D10)^2 +
($E$70 -E10)^2 +
($F$70 - F10)^2 +
($G$70 - G10)^2 +
($H$70 - H10)^2 +
($I$70 - I10)^2 +
($J$70 - J10)^2 +
($K$70 - K10)^2 +
($L$70 - L10)^2 +
($M$70 - M10)^2 +
($N$70 - N10)^2 +
($O$70 - O10)^2)</f>
        <v>0.72286373135550175</v>
      </c>
      <c r="AJ10" s="13">
        <f t="shared" ref="AJ10:AJ41" si="13">SQRT(
($D$71 - D10)^2 +
($E$71 -E10)^2 +
($F$71 - F10)^2 +
($G$71 - G10)^2 +
($H$71 - H10)^2 +
($I$71 - I10)^2 +
($J$71 - J10)^2 +
($K$71 - K10)^2 +
($L$71 - L10)^2 +
($M$71 - M10)^2 +
($N$71 - N10)^2 +
($O$71 - O10)^2)</f>
        <v>1.3844980421099051</v>
      </c>
      <c r="AK10">
        <f>MIN(AI10:AJ10)</f>
        <v>0.72286373135550175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0.69564372308767508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1.3195812734495955</v>
      </c>
      <c r="AQ10">
        <f>MIN(AO10:AP10)</f>
        <v>0.69564372308767508</v>
      </c>
      <c r="AR10">
        <f>IF(AQ10 =AO10,1,0)</f>
        <v>1</v>
      </c>
      <c r="AS10">
        <f>IF(AQ10 = AP10, 1, 0)</f>
        <v>0</v>
      </c>
      <c r="AU10" s="24">
        <f>SQRT(
($D$78 - D10)^2 +
($E$78 -E10)^2 +
($F$78 - F10)^2 +
($G$78 - G10)^2 +
($H$78 - H10)^2 +
($I$78 - I10)^2 +
($J$78 - J10)^2 +
($K$78 - K10)^2 +
($L$78 - L10)^2 +
($M$78 - M10)^2 +
($N$78 - N10)^2 +
($O$78 - O10)^2)</f>
        <v>0.64017010240050198</v>
      </c>
      <c r="AV10" s="13">
        <f>SQRT(
($D$79 - D10)^2 +
($E$79 -E10)^2 +
($F$79 - F10)^2 +
($G$79 - G10)^2 +
($H$79 - H10)^2 +
($I$79 - I10)^2 +
($J$79 - J10)^2 +
($K$79 - K10)^2 +
($L$79 - L10)^2 +
($M$79 - M10)^2 +
($N$79 - N10)^2 +
($O$79 - O10)^2)</f>
        <v>1.2548458690341262</v>
      </c>
      <c r="AW10">
        <f>MIN(AU10:AV10)</f>
        <v>0.64017010240050198</v>
      </c>
      <c r="AX10">
        <f>IF(AW10 =AU10,1,0)</f>
        <v>1</v>
      </c>
      <c r="AY10">
        <f t="shared" ref="AY10:AY60" si="14">IF(AW10 = AV10, 1, 0)</f>
        <v>0</v>
      </c>
      <c r="BA10" s="24">
        <f>SQRT(
($D$82 - D10)^2 +
($E$82 -E10)^2 +
($F$82 - F10)^2 +
($G$82 - G10)^2 +
($H$82 - H10)^2 +
($I$82 - I10)^2 +
($J$82 - J10)^2 +
($K$82 - K10)^2 +
($L$82 - L10)^2 +
($M$82 - M10)^2 +
($N$82 - N10)^2 +
($O$82 - O10)^2)</f>
        <v>0.62696744030662821</v>
      </c>
      <c r="BB10" s="13">
        <f>SQRT(
($D$83 - D10)^2 +
($E$83 -E10)^2 +
($F$83 - F10)^2 +
($G$83 - G10)^2 +
($H$83 - H10)^2 +
($I$83 - I10)^2 +
($J$83 - J10)^2 +
($K$83 - K10)^2 +
($L$83 - L10)^2 +
($M$83 - M10)^2 +
($N$83 - N10)^2 +
($O$83 - O10)^2)</f>
        <v>1.3078993640667942</v>
      </c>
      <c r="BC10">
        <f>MIN(BA10:BB10)</f>
        <v>0.62696744030662821</v>
      </c>
      <c r="BD10">
        <f>IF(BC10 =BA10,1,0)</f>
        <v>1</v>
      </c>
      <c r="BE10">
        <f t="shared" ref="BE10:BE60" si="15">IF(BC10 = BB10, 1, 0)</f>
        <v>0</v>
      </c>
    </row>
    <row r="11" spans="3:57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 t="shared" si="0"/>
        <v>1.4241853291578843</v>
      </c>
      <c r="R11" s="13">
        <f t="shared" si="1"/>
        <v>0.71262127928625907</v>
      </c>
      <c r="S11">
        <f t="shared" ref="S11:S60" si="16">MIN(Q11:R11)</f>
        <v>0.71262127928625907</v>
      </c>
      <c r="T11">
        <f t="shared" ref="T11:T60" si="17">IF(S11 =Q11,1,0)</f>
        <v>0</v>
      </c>
      <c r="U11">
        <f t="shared" ref="U11:U60" si="18">IF(S11 = R11, 1, 0)</f>
        <v>1</v>
      </c>
      <c r="W11" s="24">
        <f t="shared" si="2"/>
        <v>1.2664501127107328</v>
      </c>
      <c r="X11" s="13">
        <f t="shared" si="3"/>
        <v>0.75521934476272334</v>
      </c>
      <c r="Y11">
        <f t="shared" si="4"/>
        <v>0.75521934476272334</v>
      </c>
      <c r="Z11">
        <f t="shared" si="5"/>
        <v>0</v>
      </c>
      <c r="AA11">
        <f t="shared" si="6"/>
        <v>1</v>
      </c>
      <c r="AC11" s="24">
        <f t="shared" si="7"/>
        <v>1.2929442822412096</v>
      </c>
      <c r="AD11" s="13">
        <f t="shared" si="8"/>
        <v>0.82176650159535869</v>
      </c>
      <c r="AE11">
        <f t="shared" si="9"/>
        <v>0.82176650159535869</v>
      </c>
      <c r="AF11">
        <f t="shared" si="10"/>
        <v>0</v>
      </c>
      <c r="AG11">
        <f t="shared" si="11"/>
        <v>1</v>
      </c>
      <c r="AI11" s="24">
        <f t="shared" si="12"/>
        <v>1.3243811433749435</v>
      </c>
      <c r="AJ11" s="13">
        <f t="shared" si="13"/>
        <v>0.92841803680168478</v>
      </c>
      <c r="AK11">
        <f t="shared" ref="AK11:AK60" si="19">MIN(AI11:AJ11)</f>
        <v>0.92841803680168478</v>
      </c>
      <c r="AL11">
        <f t="shared" ref="AL11:AL60" si="20">IF(AK11 =AI11,1,0)</f>
        <v>0</v>
      </c>
      <c r="AM11">
        <f t="shared" ref="AM11:AM60" si="21">IF(AK11 = AJ11, 1, 0)</f>
        <v>1</v>
      </c>
      <c r="AO11" s="24">
        <f t="shared" ref="AO11:AO60" si="22">SQRT(
($D$74 - D11)^2 +
($E$74 -E11)^2 +
($F$74 - F11)^2 +
($G$74 - G11)^2 +
($H$74 - H11)^2 +
($I$74 - I11)^2 +
($J$74 - J11)^2 +
($K$74 - K11)^2 +
($L$74 - L11)^2 +
($M$74 - M11)^2 +
($N$74 - N11)^2 +
($O$74 - O11)^2)</f>
        <v>1.3384226142303923</v>
      </c>
      <c r="AP11" s="13">
        <f t="shared" ref="AP11:AP60" si="23">SQRT(
($D$75 - D11)^2 +
($E$75 -E11)^2 +
($F$75 - F11)^2 +
($G$75 - G11)^2 +
($H$75 - H11)^2 +
($I$75 - I11)^2 +
($J$75 - J11)^2 +
($K$75 - K11)^2 +
($L$75 - L11)^2 +
($M$75 - M11)^2 +
($N$75 - N11)^2 +
($O$75 - O11)^2)</f>
        <v>1.0059345639327262</v>
      </c>
      <c r="AQ11">
        <f t="shared" ref="AQ11:AQ60" si="24">MIN(AO11:AP11)</f>
        <v>1.0059345639327262</v>
      </c>
      <c r="AR11">
        <f t="shared" ref="AR11:AR60" si="25">IF(AQ11 =AO11,1,0)</f>
        <v>0</v>
      </c>
      <c r="AS11">
        <f t="shared" ref="AS11:AS60" si="26">IF(AQ11 = AP11, 1, 0)</f>
        <v>1</v>
      </c>
      <c r="AU11" s="24">
        <f t="shared" ref="AU11:AU60" si="27">SQRT(
($D$78 - D11)^2 +
($E$78 -E11)^2 +
($F$78 - F11)^2 +
($G$78 - G11)^2 +
($H$78 - H11)^2 +
($I$78 - I11)^2 +
($J$78 - J11)^2 +
($K$78 - K11)^2 +
($L$78 - L11)^2 +
($M$78 - M11)^2 +
($N$78 - N11)^2 +
($O$78 - O11)^2)</f>
        <v>1.3651412285439046</v>
      </c>
      <c r="AV11" s="13">
        <f t="shared" ref="AV11:AV60" si="28">SQRT(
($D$79 - D11)^2 +
($E$79 -E11)^2 +
($F$79 - F11)^2 +
($G$79 - G11)^2 +
($H$79 - H11)^2 +
($I$79 - I11)^2 +
($J$79 - J11)^2 +
($K$79 - K11)^2 +
($L$79 - L11)^2 +
($M$79 - M11)^2 +
($N$79 - N11)^2 +
($O$79 - O11)^2)</f>
        <v>1.035811076630772</v>
      </c>
      <c r="AW11">
        <f t="shared" ref="AW11:AW60" si="29">MIN(AU11:AV11)</f>
        <v>1.035811076630772</v>
      </c>
      <c r="AX11">
        <f t="shared" ref="AX11:AX60" si="30">IF(AW11 =AU11,1,0)</f>
        <v>0</v>
      </c>
      <c r="AY11">
        <f t="shared" si="14"/>
        <v>1</v>
      </c>
      <c r="BA11" s="24">
        <f t="shared" ref="BA11:BA60" si="31">SQRT(
($D$82 - D11)^2 +
($E$82 -E11)^2 +
($F$82 - F11)^2 +
($G$82 - G11)^2 +
($H$82 - H11)^2 +
($I$82 - I11)^2 +
($J$82 - J11)^2 +
($K$82 - K11)^2 +
($L$82 - L11)^2 +
($M$82 - M11)^2 +
($N$82 - N11)^2 +
($O$82 - O11)^2)</f>
        <v>1.3753899052415755</v>
      </c>
      <c r="BB11" s="13">
        <f t="shared" ref="BB11:BB60" si="32">SQRT(
($D$83 - D11)^2 +
($E$83 -E11)^2 +
($F$83 - F11)^2 +
($G$83 - G11)^2 +
($H$83 - H11)^2 +
($I$83 - I11)^2 +
($J$83 - J11)^2 +
($K$83 - K11)^2 +
($L$83 - L11)^2 +
($M$83 - M11)^2 +
($N$83 - N11)^2 +
($O$83 - O11)^2)</f>
        <v>1.0075384882808573</v>
      </c>
      <c r="BC11">
        <f t="shared" ref="BC11:BC60" si="33">MIN(BA11:BB11)</f>
        <v>1.0075384882808573</v>
      </c>
      <c r="BD11">
        <f t="shared" ref="BD11:BD60" si="34">IF(BC11 =BA11,1,0)</f>
        <v>0</v>
      </c>
      <c r="BE11">
        <f t="shared" si="15"/>
        <v>1</v>
      </c>
    </row>
    <row r="12" spans="3:57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 t="shared" si="0"/>
        <v>1.4091118800565123</v>
      </c>
      <c r="R12" s="13">
        <f t="shared" si="1"/>
        <v>0</v>
      </c>
      <c r="S12">
        <f t="shared" si="16"/>
        <v>0</v>
      </c>
      <c r="T12">
        <f t="shared" si="17"/>
        <v>0</v>
      </c>
      <c r="U12">
        <f t="shared" si="18"/>
        <v>1</v>
      </c>
      <c r="W12" s="24">
        <f t="shared" si="2"/>
        <v>1.2586862745052887</v>
      </c>
      <c r="X12" s="13">
        <f t="shared" si="3"/>
        <v>0.63328311648437585</v>
      </c>
      <c r="Y12">
        <f t="shared" si="4"/>
        <v>0.63328311648437585</v>
      </c>
      <c r="Z12">
        <f t="shared" si="5"/>
        <v>0</v>
      </c>
      <c r="AA12">
        <f t="shared" si="6"/>
        <v>1</v>
      </c>
      <c r="AC12" s="24">
        <f t="shared" si="7"/>
        <v>1.2801972034755926</v>
      </c>
      <c r="AD12" s="13">
        <f t="shared" si="8"/>
        <v>0.78765668632093189</v>
      </c>
      <c r="AE12">
        <f t="shared" si="9"/>
        <v>0.78765668632093189</v>
      </c>
      <c r="AF12">
        <f t="shared" si="10"/>
        <v>0</v>
      </c>
      <c r="AG12">
        <f t="shared" si="11"/>
        <v>1</v>
      </c>
      <c r="AI12" s="24">
        <f t="shared" si="12"/>
        <v>1.3111560605284098</v>
      </c>
      <c r="AJ12" s="13">
        <f t="shared" si="13"/>
        <v>0.90564098818183192</v>
      </c>
      <c r="AK12">
        <f t="shared" si="19"/>
        <v>0.90564098818183192</v>
      </c>
      <c r="AL12">
        <f t="shared" si="20"/>
        <v>0</v>
      </c>
      <c r="AM12">
        <f t="shared" si="21"/>
        <v>1</v>
      </c>
      <c r="AO12" s="24">
        <f t="shared" si="22"/>
        <v>1.3237018643544818</v>
      </c>
      <c r="AP12" s="13">
        <f t="shared" si="23"/>
        <v>1.0064979798361899</v>
      </c>
      <c r="AQ12">
        <f t="shared" si="24"/>
        <v>1.0064979798361899</v>
      </c>
      <c r="AR12">
        <f t="shared" si="25"/>
        <v>0</v>
      </c>
      <c r="AS12">
        <f t="shared" si="26"/>
        <v>1</v>
      </c>
      <c r="AU12" s="24">
        <f t="shared" si="27"/>
        <v>1.361883618022941</v>
      </c>
      <c r="AV12" s="13">
        <f t="shared" si="28"/>
        <v>1.0105181895268172</v>
      </c>
      <c r="AW12">
        <f t="shared" si="29"/>
        <v>1.0105181895268172</v>
      </c>
      <c r="AX12">
        <f t="shared" si="30"/>
        <v>0</v>
      </c>
      <c r="AY12">
        <f t="shared" si="14"/>
        <v>1</v>
      </c>
      <c r="BA12" s="24">
        <f t="shared" si="31"/>
        <v>1.3709902891563988</v>
      </c>
      <c r="BB12" s="13">
        <f t="shared" si="32"/>
        <v>0.96861085921807755</v>
      </c>
      <c r="BC12">
        <f t="shared" si="33"/>
        <v>0.96861085921807755</v>
      </c>
      <c r="BD12">
        <f t="shared" si="34"/>
        <v>0</v>
      </c>
      <c r="BE12">
        <f t="shared" si="15"/>
        <v>1</v>
      </c>
    </row>
    <row r="13" spans="3:57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 t="shared" si="0"/>
        <v>1.1367597243817829</v>
      </c>
      <c r="R13" s="13">
        <f t="shared" si="1"/>
        <v>1.3050710122013069</v>
      </c>
      <c r="S13">
        <f t="shared" si="16"/>
        <v>1.1367597243817829</v>
      </c>
      <c r="T13">
        <f t="shared" si="17"/>
        <v>1</v>
      </c>
      <c r="U13">
        <f t="shared" si="18"/>
        <v>0</v>
      </c>
      <c r="W13" s="24">
        <f t="shared" si="2"/>
        <v>0.95409613915918134</v>
      </c>
      <c r="X13" s="13">
        <f t="shared" si="3"/>
        <v>1.1573449148016532</v>
      </c>
      <c r="Y13">
        <f t="shared" si="4"/>
        <v>0.95409613915918134</v>
      </c>
      <c r="Z13">
        <f t="shared" si="5"/>
        <v>1</v>
      </c>
      <c r="AA13">
        <f t="shared" si="6"/>
        <v>0</v>
      </c>
      <c r="AC13" s="24">
        <f t="shared" si="7"/>
        <v>0.94252250403150495</v>
      </c>
      <c r="AD13" s="13">
        <f t="shared" si="8"/>
        <v>1.1813781745536038</v>
      </c>
      <c r="AE13">
        <f t="shared" si="9"/>
        <v>0.94252250403150495</v>
      </c>
      <c r="AF13">
        <f t="shared" si="10"/>
        <v>1</v>
      </c>
      <c r="AG13">
        <f t="shared" si="11"/>
        <v>0</v>
      </c>
      <c r="AI13" s="24">
        <f t="shared" si="12"/>
        <v>0.94526763434097127</v>
      </c>
      <c r="AJ13" s="13">
        <f t="shared" si="13"/>
        <v>1.1648431453526746</v>
      </c>
      <c r="AK13">
        <f t="shared" si="19"/>
        <v>0.94526763434097127</v>
      </c>
      <c r="AL13">
        <f t="shared" si="20"/>
        <v>1</v>
      </c>
      <c r="AM13">
        <f t="shared" si="21"/>
        <v>0</v>
      </c>
      <c r="AO13" s="24">
        <f t="shared" si="22"/>
        <v>0.95249208011291209</v>
      </c>
      <c r="AP13" s="13">
        <f t="shared" si="23"/>
        <v>1.1212999954739942</v>
      </c>
      <c r="AQ13">
        <f t="shared" si="24"/>
        <v>0.95249208011291209</v>
      </c>
      <c r="AR13">
        <f t="shared" si="25"/>
        <v>1</v>
      </c>
      <c r="AS13">
        <f t="shared" si="26"/>
        <v>0</v>
      </c>
      <c r="AU13" s="24">
        <f t="shared" si="27"/>
        <v>1.0009961379766412</v>
      </c>
      <c r="AV13" s="13">
        <f t="shared" si="28"/>
        <v>1.013638918951701</v>
      </c>
      <c r="AW13">
        <f t="shared" si="29"/>
        <v>1.0009961379766412</v>
      </c>
      <c r="AX13">
        <f t="shared" si="30"/>
        <v>1</v>
      </c>
      <c r="AY13">
        <f t="shared" si="14"/>
        <v>0</v>
      </c>
      <c r="BA13" s="24">
        <f t="shared" si="31"/>
        <v>1.011888644844156</v>
      </c>
      <c r="BB13" s="13">
        <f t="shared" si="32"/>
        <v>1.0235938716669162</v>
      </c>
      <c r="BC13">
        <f t="shared" si="33"/>
        <v>1.011888644844156</v>
      </c>
      <c r="BD13">
        <f t="shared" si="34"/>
        <v>1</v>
      </c>
      <c r="BE13">
        <f t="shared" si="15"/>
        <v>0</v>
      </c>
    </row>
    <row r="14" spans="3:57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 t="shared" si="0"/>
        <v>1.4597622773112484</v>
      </c>
      <c r="R14" s="13">
        <f t="shared" si="1"/>
        <v>1.3301281452095044</v>
      </c>
      <c r="S14">
        <f t="shared" si="16"/>
        <v>1.3301281452095044</v>
      </c>
      <c r="T14">
        <f t="shared" si="17"/>
        <v>0</v>
      </c>
      <c r="U14">
        <f t="shared" si="18"/>
        <v>1</v>
      </c>
      <c r="W14" s="24">
        <f t="shared" si="2"/>
        <v>1.2097930013511828</v>
      </c>
      <c r="X14" s="13">
        <f t="shared" si="3"/>
        <v>0.80850649039726552</v>
      </c>
      <c r="Y14">
        <f t="shared" si="4"/>
        <v>0.80850649039726552</v>
      </c>
      <c r="Z14">
        <f t="shared" si="5"/>
        <v>0</v>
      </c>
      <c r="AA14">
        <f t="shared" si="6"/>
        <v>1</v>
      </c>
      <c r="AC14" s="24">
        <f t="shared" si="7"/>
        <v>1.2467332199912164</v>
      </c>
      <c r="AD14" s="13">
        <f t="shared" si="8"/>
        <v>0.75627775651920326</v>
      </c>
      <c r="AE14">
        <f t="shared" si="9"/>
        <v>0.75627775651920326</v>
      </c>
      <c r="AF14">
        <f t="shared" si="10"/>
        <v>0</v>
      </c>
      <c r="AG14">
        <f t="shared" si="11"/>
        <v>1</v>
      </c>
      <c r="AI14" s="24">
        <f t="shared" si="12"/>
        <v>1.3122682778644723</v>
      </c>
      <c r="AJ14" s="13">
        <f t="shared" si="13"/>
        <v>0.70104241215933616</v>
      </c>
      <c r="AK14">
        <f t="shared" si="19"/>
        <v>0.70104241215933616</v>
      </c>
      <c r="AL14">
        <f t="shared" si="20"/>
        <v>0</v>
      </c>
      <c r="AM14">
        <f t="shared" si="21"/>
        <v>1</v>
      </c>
      <c r="AO14" s="24">
        <f t="shared" si="22"/>
        <v>1.3353160159815913</v>
      </c>
      <c r="AP14" s="13">
        <f t="shared" si="23"/>
        <v>0.74123331638080303</v>
      </c>
      <c r="AQ14">
        <f t="shared" si="24"/>
        <v>0.74123331638080303</v>
      </c>
      <c r="AR14">
        <f t="shared" si="25"/>
        <v>0</v>
      </c>
      <c r="AS14">
        <f t="shared" si="26"/>
        <v>1</v>
      </c>
      <c r="AU14" s="24">
        <f t="shared" si="27"/>
        <v>1.3827877001758961</v>
      </c>
      <c r="AV14" s="13">
        <f t="shared" si="28"/>
        <v>0.79837148494136045</v>
      </c>
      <c r="AW14">
        <f t="shared" si="29"/>
        <v>0.79837148494136045</v>
      </c>
      <c r="AX14">
        <f t="shared" si="30"/>
        <v>0</v>
      </c>
      <c r="AY14">
        <f t="shared" si="14"/>
        <v>1</v>
      </c>
      <c r="BA14" s="24">
        <f t="shared" si="31"/>
        <v>1.3914782756297861</v>
      </c>
      <c r="BB14" s="13">
        <f t="shared" si="32"/>
        <v>0.79811374734023366</v>
      </c>
      <c r="BC14">
        <f t="shared" si="33"/>
        <v>0.79811374734023366</v>
      </c>
      <c r="BD14">
        <f t="shared" si="34"/>
        <v>0</v>
      </c>
      <c r="BE14">
        <f t="shared" si="15"/>
        <v>1</v>
      </c>
    </row>
    <row r="15" spans="3:57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 t="shared" si="0"/>
        <v>0.83366554251840608</v>
      </c>
      <c r="R15" s="13">
        <f t="shared" si="1"/>
        <v>1.5174666942450665</v>
      </c>
      <c r="S15">
        <f t="shared" si="16"/>
        <v>0.83366554251840608</v>
      </c>
      <c r="T15">
        <f t="shared" si="17"/>
        <v>1</v>
      </c>
      <c r="U15">
        <f t="shared" si="18"/>
        <v>0</v>
      </c>
      <c r="W15" s="24">
        <f t="shared" si="2"/>
        <v>0.67373125188000194</v>
      </c>
      <c r="X15" s="13">
        <f t="shared" si="3"/>
        <v>1.138385735210377</v>
      </c>
      <c r="Y15">
        <f t="shared" si="4"/>
        <v>0.67373125188000194</v>
      </c>
      <c r="Z15">
        <f t="shared" si="5"/>
        <v>1</v>
      </c>
      <c r="AA15">
        <f t="shared" si="6"/>
        <v>0</v>
      </c>
      <c r="AC15" s="24">
        <f t="shared" si="7"/>
        <v>0.6709385470193755</v>
      </c>
      <c r="AD15" s="13">
        <f t="shared" si="8"/>
        <v>1.0609209468317815</v>
      </c>
      <c r="AE15">
        <f t="shared" si="9"/>
        <v>0.6709385470193755</v>
      </c>
      <c r="AF15">
        <f t="shared" si="10"/>
        <v>1</v>
      </c>
      <c r="AG15">
        <f t="shared" si="11"/>
        <v>0</v>
      </c>
      <c r="AI15" s="24">
        <f t="shared" si="12"/>
        <v>0.66674128066672833</v>
      </c>
      <c r="AJ15" s="13">
        <f t="shared" si="13"/>
        <v>1.0335665123555802</v>
      </c>
      <c r="AK15">
        <f t="shared" si="19"/>
        <v>0.66674128066672833</v>
      </c>
      <c r="AL15">
        <f t="shared" si="20"/>
        <v>1</v>
      </c>
      <c r="AM15">
        <f t="shared" si="21"/>
        <v>0</v>
      </c>
      <c r="AO15" s="24">
        <f t="shared" si="22"/>
        <v>0.65902105193053784</v>
      </c>
      <c r="AP15" s="13">
        <f t="shared" si="23"/>
        <v>0.96343626335702515</v>
      </c>
      <c r="AQ15">
        <f t="shared" si="24"/>
        <v>0.65902105193053784</v>
      </c>
      <c r="AR15">
        <f t="shared" si="25"/>
        <v>1</v>
      </c>
      <c r="AS15">
        <f t="shared" si="26"/>
        <v>0</v>
      </c>
      <c r="AU15" s="24">
        <f t="shared" si="27"/>
        <v>0.64860579683349706</v>
      </c>
      <c r="AV15" s="13">
        <f t="shared" si="28"/>
        <v>0.9260394363644221</v>
      </c>
      <c r="AW15">
        <f t="shared" si="29"/>
        <v>0.64860579683349706</v>
      </c>
      <c r="AX15">
        <f t="shared" si="30"/>
        <v>1</v>
      </c>
      <c r="AY15">
        <f t="shared" si="14"/>
        <v>0</v>
      </c>
      <c r="BA15" s="24">
        <f t="shared" si="31"/>
        <v>0.64397310605261027</v>
      </c>
      <c r="BB15" s="13">
        <f t="shared" si="32"/>
        <v>0.98355940073096226</v>
      </c>
      <c r="BC15">
        <f t="shared" si="33"/>
        <v>0.64397310605261027</v>
      </c>
      <c r="BD15">
        <f t="shared" si="34"/>
        <v>1</v>
      </c>
      <c r="BE15">
        <f t="shared" si="15"/>
        <v>0</v>
      </c>
    </row>
    <row r="16" spans="3:57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 t="shared" si="0"/>
        <v>0.86884273924941646</v>
      </c>
      <c r="R16" s="13">
        <f t="shared" si="1"/>
        <v>1.1051011223620493</v>
      </c>
      <c r="S16">
        <f t="shared" si="16"/>
        <v>0.86884273924941646</v>
      </c>
      <c r="T16">
        <f t="shared" si="17"/>
        <v>1</v>
      </c>
      <c r="U16">
        <f t="shared" si="18"/>
        <v>0</v>
      </c>
      <c r="W16" s="24">
        <f t="shared" si="2"/>
        <v>0.73150426722219974</v>
      </c>
      <c r="X16" s="13">
        <f t="shared" si="3"/>
        <v>0.8631762844844445</v>
      </c>
      <c r="Y16">
        <f t="shared" si="4"/>
        <v>0.73150426722219974</v>
      </c>
      <c r="Z16">
        <f t="shared" si="5"/>
        <v>1</v>
      </c>
      <c r="AA16">
        <f t="shared" si="6"/>
        <v>0</v>
      </c>
      <c r="AC16" s="24">
        <f t="shared" si="7"/>
        <v>0.7365709263180269</v>
      </c>
      <c r="AD16" s="13">
        <f t="shared" si="8"/>
        <v>0.85478565006032348</v>
      </c>
      <c r="AE16">
        <f t="shared" si="9"/>
        <v>0.7365709263180269</v>
      </c>
      <c r="AF16">
        <f t="shared" si="10"/>
        <v>1</v>
      </c>
      <c r="AG16">
        <f t="shared" si="11"/>
        <v>0</v>
      </c>
      <c r="AI16" s="24">
        <f t="shared" si="12"/>
        <v>0.77695955448326059</v>
      </c>
      <c r="AJ16" s="13">
        <f t="shared" si="13"/>
        <v>0.78608454620231327</v>
      </c>
      <c r="AK16">
        <f t="shared" si="19"/>
        <v>0.77695955448326059</v>
      </c>
      <c r="AL16">
        <f t="shared" si="20"/>
        <v>1</v>
      </c>
      <c r="AM16">
        <f t="shared" si="21"/>
        <v>0</v>
      </c>
      <c r="AO16" s="24">
        <f t="shared" si="22"/>
        <v>0.80259537896148392</v>
      </c>
      <c r="AP16" s="13">
        <f t="shared" si="23"/>
        <v>0.71184047366037739</v>
      </c>
      <c r="AQ16">
        <f t="shared" si="24"/>
        <v>0.71184047366037739</v>
      </c>
      <c r="AR16">
        <f t="shared" si="25"/>
        <v>0</v>
      </c>
      <c r="AS16">
        <f t="shared" si="26"/>
        <v>1</v>
      </c>
      <c r="AU16" s="24">
        <f t="shared" si="27"/>
        <v>0.8688183044955502</v>
      </c>
      <c r="AV16" s="13">
        <f t="shared" si="28"/>
        <v>0.62990013883547114</v>
      </c>
      <c r="AW16">
        <f t="shared" si="29"/>
        <v>0.62990013883547114</v>
      </c>
      <c r="AX16">
        <f t="shared" si="30"/>
        <v>0</v>
      </c>
      <c r="AY16">
        <f t="shared" si="14"/>
        <v>1</v>
      </c>
      <c r="BA16" s="24">
        <f t="shared" si="31"/>
        <v>0.88344550119916765</v>
      </c>
      <c r="BB16" s="13">
        <f t="shared" si="32"/>
        <v>0.62401154744209153</v>
      </c>
      <c r="BC16">
        <f t="shared" si="33"/>
        <v>0.62401154744209153</v>
      </c>
      <c r="BD16">
        <f t="shared" si="34"/>
        <v>0</v>
      </c>
      <c r="BE16">
        <f t="shared" si="15"/>
        <v>1</v>
      </c>
    </row>
    <row r="17" spans="3:57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 t="shared" si="0"/>
        <v>1.1367665493962202</v>
      </c>
      <c r="R17" s="13">
        <f t="shared" si="1"/>
        <v>1.4197414572412694</v>
      </c>
      <c r="S17">
        <f t="shared" si="16"/>
        <v>1.1367665493962202</v>
      </c>
      <c r="T17">
        <f t="shared" si="17"/>
        <v>1</v>
      </c>
      <c r="U17">
        <f t="shared" si="18"/>
        <v>0</v>
      </c>
      <c r="W17" s="24">
        <f t="shared" si="2"/>
        <v>0.88911395924180658</v>
      </c>
      <c r="X17" s="13">
        <f t="shared" si="3"/>
        <v>1.1462095687770473</v>
      </c>
      <c r="Y17">
        <f t="shared" si="4"/>
        <v>0.88911395924180658</v>
      </c>
      <c r="Z17">
        <f t="shared" si="5"/>
        <v>1</v>
      </c>
      <c r="AA17">
        <f t="shared" si="6"/>
        <v>0</v>
      </c>
      <c r="AC17" s="24">
        <f t="shared" si="7"/>
        <v>0.90062402720499013</v>
      </c>
      <c r="AD17" s="13">
        <f t="shared" si="8"/>
        <v>1.063297940944375</v>
      </c>
      <c r="AE17">
        <f t="shared" si="9"/>
        <v>0.90062402720499013</v>
      </c>
      <c r="AF17">
        <f t="shared" si="10"/>
        <v>1</v>
      </c>
      <c r="AG17">
        <f t="shared" si="11"/>
        <v>0</v>
      </c>
      <c r="AI17" s="24">
        <f t="shared" si="12"/>
        <v>0.91343126693602938</v>
      </c>
      <c r="AJ17" s="13">
        <f t="shared" si="13"/>
        <v>1.0459730360690922</v>
      </c>
      <c r="AK17">
        <f t="shared" si="19"/>
        <v>0.91343126693602938</v>
      </c>
      <c r="AL17">
        <f t="shared" si="20"/>
        <v>1</v>
      </c>
      <c r="AM17">
        <f t="shared" si="21"/>
        <v>0</v>
      </c>
      <c r="AO17" s="24">
        <f t="shared" si="22"/>
        <v>0.92278288049803892</v>
      </c>
      <c r="AP17" s="13">
        <f t="shared" si="23"/>
        <v>0.99602502667576798</v>
      </c>
      <c r="AQ17">
        <f t="shared" si="24"/>
        <v>0.92278288049803892</v>
      </c>
      <c r="AR17">
        <f t="shared" si="25"/>
        <v>1</v>
      </c>
      <c r="AS17">
        <f t="shared" si="26"/>
        <v>0</v>
      </c>
      <c r="AU17" s="24">
        <f t="shared" si="27"/>
        <v>0.94492879526029028</v>
      </c>
      <c r="AV17" s="13">
        <f t="shared" si="28"/>
        <v>0.94644031252003802</v>
      </c>
      <c r="AW17">
        <f t="shared" si="29"/>
        <v>0.94492879526029028</v>
      </c>
      <c r="AX17">
        <f t="shared" si="30"/>
        <v>1</v>
      </c>
      <c r="AY17">
        <f t="shared" si="14"/>
        <v>0</v>
      </c>
      <c r="BA17" s="24">
        <f t="shared" si="31"/>
        <v>0.95630909253969321</v>
      </c>
      <c r="BB17" s="13">
        <f t="shared" si="32"/>
        <v>0.96905730128377476</v>
      </c>
      <c r="BC17">
        <f t="shared" si="33"/>
        <v>0.95630909253969321</v>
      </c>
      <c r="BD17">
        <f t="shared" si="34"/>
        <v>1</v>
      </c>
      <c r="BE17">
        <f t="shared" si="15"/>
        <v>0</v>
      </c>
    </row>
    <row r="18" spans="3:57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 t="shared" si="0"/>
        <v>0.70211905564138954</v>
      </c>
      <c r="R18" s="13">
        <f t="shared" si="1"/>
        <v>1.538288959097134</v>
      </c>
      <c r="S18">
        <f t="shared" si="16"/>
        <v>0.70211905564138954</v>
      </c>
      <c r="T18">
        <f t="shared" si="17"/>
        <v>1</v>
      </c>
      <c r="U18">
        <f t="shared" si="18"/>
        <v>0</v>
      </c>
      <c r="W18" s="24">
        <f t="shared" si="2"/>
        <v>0.66583323391696847</v>
      </c>
      <c r="X18" s="13">
        <f t="shared" si="3"/>
        <v>1.307643615465329</v>
      </c>
      <c r="Y18">
        <f t="shared" si="4"/>
        <v>0.66583323391696847</v>
      </c>
      <c r="Z18">
        <f t="shared" si="5"/>
        <v>1</v>
      </c>
      <c r="AA18">
        <f t="shared" si="6"/>
        <v>0</v>
      </c>
      <c r="AC18" s="24">
        <f t="shared" si="7"/>
        <v>0.62619429318795927</v>
      </c>
      <c r="AD18" s="13">
        <f t="shared" si="8"/>
        <v>1.2767366759495784</v>
      </c>
      <c r="AE18">
        <f t="shared" si="9"/>
        <v>0.62619429318795927</v>
      </c>
      <c r="AF18">
        <f t="shared" si="10"/>
        <v>1</v>
      </c>
      <c r="AG18">
        <f t="shared" si="11"/>
        <v>0</v>
      </c>
      <c r="AI18" s="24">
        <f t="shared" si="12"/>
        <v>0.58134170062754498</v>
      </c>
      <c r="AJ18" s="13">
        <f t="shared" si="13"/>
        <v>1.2446071363916844</v>
      </c>
      <c r="AK18">
        <f t="shared" si="19"/>
        <v>0.58134170062754498</v>
      </c>
      <c r="AL18">
        <f t="shared" si="20"/>
        <v>1</v>
      </c>
      <c r="AM18">
        <f t="shared" si="21"/>
        <v>0</v>
      </c>
      <c r="AO18" s="24">
        <f t="shared" si="22"/>
        <v>0.56980677962642756</v>
      </c>
      <c r="AP18" s="13">
        <f t="shared" si="23"/>
        <v>1.1492081593579691</v>
      </c>
      <c r="AQ18">
        <f t="shared" si="24"/>
        <v>0.56980677962642756</v>
      </c>
      <c r="AR18">
        <f t="shared" si="25"/>
        <v>1</v>
      </c>
      <c r="AS18">
        <f t="shared" si="26"/>
        <v>0</v>
      </c>
      <c r="AU18" s="24">
        <f t="shared" si="27"/>
        <v>0.5587921310925279</v>
      </c>
      <c r="AV18" s="13">
        <f t="shared" si="28"/>
        <v>1.0673954159341323</v>
      </c>
      <c r="AW18">
        <f t="shared" si="29"/>
        <v>0.5587921310925279</v>
      </c>
      <c r="AX18">
        <f t="shared" si="30"/>
        <v>1</v>
      </c>
      <c r="AY18">
        <f t="shared" si="14"/>
        <v>0</v>
      </c>
      <c r="BA18" s="24">
        <f t="shared" si="31"/>
        <v>0.55134671514471623</v>
      </c>
      <c r="BB18" s="13">
        <f t="shared" si="32"/>
        <v>1.1177719839279951</v>
      </c>
      <c r="BC18">
        <f t="shared" si="33"/>
        <v>0.55134671514471623</v>
      </c>
      <c r="BD18">
        <f t="shared" si="34"/>
        <v>1</v>
      </c>
      <c r="BE18">
        <f t="shared" si="15"/>
        <v>0</v>
      </c>
    </row>
    <row r="19" spans="3:57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 t="shared" si="0"/>
        <v>1.1703240335098408</v>
      </c>
      <c r="R19" s="13">
        <f t="shared" si="1"/>
        <v>1.7337704188807848</v>
      </c>
      <c r="S19">
        <f t="shared" si="16"/>
        <v>1.1703240335098408</v>
      </c>
      <c r="T19">
        <f t="shared" si="17"/>
        <v>1</v>
      </c>
      <c r="U19">
        <f t="shared" si="18"/>
        <v>0</v>
      </c>
      <c r="W19" s="24">
        <f t="shared" si="2"/>
        <v>1.0720517957605029</v>
      </c>
      <c r="X19" s="13">
        <f t="shared" si="3"/>
        <v>1.5104227814213897</v>
      </c>
      <c r="Y19">
        <f t="shared" si="4"/>
        <v>1.0720517957605029</v>
      </c>
      <c r="Z19">
        <f t="shared" si="5"/>
        <v>1</v>
      </c>
      <c r="AA19">
        <f t="shared" si="6"/>
        <v>0</v>
      </c>
      <c r="AC19" s="24">
        <f t="shared" si="7"/>
        <v>1.0506051027884729</v>
      </c>
      <c r="AD19" s="13">
        <f t="shared" si="8"/>
        <v>1.489469534684825</v>
      </c>
      <c r="AE19">
        <f t="shared" si="9"/>
        <v>1.0506051027884729</v>
      </c>
      <c r="AF19">
        <f t="shared" si="10"/>
        <v>1</v>
      </c>
      <c r="AG19">
        <f t="shared" si="11"/>
        <v>0</v>
      </c>
      <c r="AI19" s="24">
        <f t="shared" si="12"/>
        <v>1.0374213114089204</v>
      </c>
      <c r="AJ19" s="13">
        <f t="shared" si="13"/>
        <v>1.4468816110151355</v>
      </c>
      <c r="AK19">
        <f t="shared" si="19"/>
        <v>1.0374213114089204</v>
      </c>
      <c r="AL19">
        <f t="shared" si="20"/>
        <v>1</v>
      </c>
      <c r="AM19">
        <f t="shared" si="21"/>
        <v>0</v>
      </c>
      <c r="AO19" s="24">
        <f t="shared" si="22"/>
        <v>1.0354083013823605</v>
      </c>
      <c r="AP19" s="13">
        <f t="shared" si="23"/>
        <v>1.3724735393753245</v>
      </c>
      <c r="AQ19">
        <f t="shared" si="24"/>
        <v>1.0354083013823605</v>
      </c>
      <c r="AR19">
        <f t="shared" si="25"/>
        <v>1</v>
      </c>
      <c r="AS19">
        <f t="shared" si="26"/>
        <v>0</v>
      </c>
      <c r="AU19" s="24">
        <f t="shared" si="27"/>
        <v>1.0741555862132623</v>
      </c>
      <c r="AV19" s="13">
        <f t="shared" si="28"/>
        <v>1.2620769615074992</v>
      </c>
      <c r="AW19">
        <f t="shared" si="29"/>
        <v>1.0741555862132623</v>
      </c>
      <c r="AX19">
        <f t="shared" si="30"/>
        <v>1</v>
      </c>
      <c r="AY19">
        <f t="shared" si="14"/>
        <v>0</v>
      </c>
      <c r="BA19" s="24">
        <f t="shared" si="31"/>
        <v>1.0755286309123973</v>
      </c>
      <c r="BB19" s="13">
        <f t="shared" si="32"/>
        <v>1.2933567664291423</v>
      </c>
      <c r="BC19">
        <f t="shared" si="33"/>
        <v>1.0755286309123973</v>
      </c>
      <c r="BD19">
        <f t="shared" si="34"/>
        <v>1</v>
      </c>
      <c r="BE19">
        <f t="shared" si="15"/>
        <v>0</v>
      </c>
    </row>
    <row r="20" spans="3:57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 t="shared" si="0"/>
        <v>0.59031070065558577</v>
      </c>
      <c r="R20" s="13">
        <f t="shared" si="1"/>
        <v>1.2094655927843554</v>
      </c>
      <c r="S20">
        <f t="shared" si="16"/>
        <v>0.59031070065558577</v>
      </c>
      <c r="T20">
        <f t="shared" si="17"/>
        <v>1</v>
      </c>
      <c r="U20">
        <f t="shared" si="18"/>
        <v>0</v>
      </c>
      <c r="W20" s="24">
        <f t="shared" si="2"/>
        <v>0.50922176404325159</v>
      </c>
      <c r="X20" s="13">
        <f t="shared" si="3"/>
        <v>0.94090966860350911</v>
      </c>
      <c r="Y20">
        <f t="shared" si="4"/>
        <v>0.50922176404325159</v>
      </c>
      <c r="Z20">
        <f t="shared" si="5"/>
        <v>1</v>
      </c>
      <c r="AA20">
        <f t="shared" si="6"/>
        <v>0</v>
      </c>
      <c r="AC20" s="24">
        <f t="shared" si="7"/>
        <v>0.49771119735716779</v>
      </c>
      <c r="AD20" s="13">
        <f t="shared" si="8"/>
        <v>0.90843188368699834</v>
      </c>
      <c r="AE20">
        <f t="shared" si="9"/>
        <v>0.49771119735716779</v>
      </c>
      <c r="AF20">
        <f t="shared" si="10"/>
        <v>1</v>
      </c>
      <c r="AG20">
        <f t="shared" si="11"/>
        <v>0</v>
      </c>
      <c r="AI20" s="24">
        <f t="shared" si="12"/>
        <v>0.47825521879752469</v>
      </c>
      <c r="AJ20" s="13">
        <f t="shared" si="13"/>
        <v>0.91608769238100241</v>
      </c>
      <c r="AK20">
        <f t="shared" si="19"/>
        <v>0.47825521879752469</v>
      </c>
      <c r="AL20">
        <f t="shared" si="20"/>
        <v>1</v>
      </c>
      <c r="AM20">
        <f t="shared" si="21"/>
        <v>0</v>
      </c>
      <c r="AO20" s="24">
        <f t="shared" si="22"/>
        <v>0.47857944646961587</v>
      </c>
      <c r="AP20" s="13">
        <f t="shared" si="23"/>
        <v>0.84089596695255742</v>
      </c>
      <c r="AQ20">
        <f t="shared" si="24"/>
        <v>0.47857944646961587</v>
      </c>
      <c r="AR20">
        <f t="shared" si="25"/>
        <v>1</v>
      </c>
      <c r="AS20">
        <f t="shared" si="26"/>
        <v>0</v>
      </c>
      <c r="AU20" s="24">
        <f t="shared" si="27"/>
        <v>0.49718331976484581</v>
      </c>
      <c r="AV20" s="13">
        <f t="shared" si="28"/>
        <v>0.77264923368485816</v>
      </c>
      <c r="AW20">
        <f t="shared" si="29"/>
        <v>0.49718331976484581</v>
      </c>
      <c r="AX20">
        <f t="shared" si="30"/>
        <v>1</v>
      </c>
      <c r="AY20">
        <f t="shared" si="14"/>
        <v>0</v>
      </c>
      <c r="BA20" s="24">
        <f t="shared" si="31"/>
        <v>0.50191462616031035</v>
      </c>
      <c r="BB20" s="13">
        <f t="shared" si="32"/>
        <v>0.80961188119862637</v>
      </c>
      <c r="BC20">
        <f t="shared" si="33"/>
        <v>0.50191462616031035</v>
      </c>
      <c r="BD20">
        <f t="shared" si="34"/>
        <v>1</v>
      </c>
      <c r="BE20">
        <f t="shared" si="15"/>
        <v>0</v>
      </c>
    </row>
    <row r="21" spans="3:57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 t="shared" si="0"/>
        <v>0.65472685855966684</v>
      </c>
      <c r="R21" s="13">
        <f t="shared" si="1"/>
        <v>1.3910363553006062</v>
      </c>
      <c r="S21">
        <f t="shared" si="16"/>
        <v>0.65472685855966684</v>
      </c>
      <c r="T21">
        <f t="shared" si="17"/>
        <v>1</v>
      </c>
      <c r="U21">
        <f t="shared" si="18"/>
        <v>0</v>
      </c>
      <c r="W21" s="24">
        <f t="shared" si="2"/>
        <v>0.49226699607683144</v>
      </c>
      <c r="X21" s="13">
        <f t="shared" si="3"/>
        <v>1.0358757704233004</v>
      </c>
      <c r="Y21">
        <f t="shared" si="4"/>
        <v>0.49226699607683144</v>
      </c>
      <c r="Z21">
        <f t="shared" si="5"/>
        <v>1</v>
      </c>
      <c r="AA21">
        <f t="shared" si="6"/>
        <v>0</v>
      </c>
      <c r="AC21" s="24">
        <f t="shared" si="7"/>
        <v>0.48119128478133916</v>
      </c>
      <c r="AD21" s="13">
        <f t="shared" si="8"/>
        <v>0.96994171939905049</v>
      </c>
      <c r="AE21">
        <f t="shared" si="9"/>
        <v>0.48119128478133916</v>
      </c>
      <c r="AF21">
        <f t="shared" si="10"/>
        <v>1</v>
      </c>
      <c r="AG21">
        <f t="shared" si="11"/>
        <v>0</v>
      </c>
      <c r="AI21" s="24">
        <f t="shared" si="12"/>
        <v>0.47114352987863917</v>
      </c>
      <c r="AJ21" s="13">
        <f t="shared" si="13"/>
        <v>0.94087499860562174</v>
      </c>
      <c r="AK21">
        <f t="shared" si="19"/>
        <v>0.47114352987863917</v>
      </c>
      <c r="AL21">
        <f t="shared" si="20"/>
        <v>1</v>
      </c>
      <c r="AM21">
        <f t="shared" si="21"/>
        <v>0</v>
      </c>
      <c r="AO21" s="24">
        <f t="shared" si="22"/>
        <v>0.47519686488955087</v>
      </c>
      <c r="AP21" s="13">
        <f t="shared" si="23"/>
        <v>0.84322862114346586</v>
      </c>
      <c r="AQ21">
        <f t="shared" si="24"/>
        <v>0.47519686488955087</v>
      </c>
      <c r="AR21">
        <f t="shared" si="25"/>
        <v>1</v>
      </c>
      <c r="AS21">
        <f t="shared" si="26"/>
        <v>0</v>
      </c>
      <c r="AU21" s="24">
        <f t="shared" si="27"/>
        <v>0.51770229276068158</v>
      </c>
      <c r="AV21" s="13">
        <f t="shared" si="28"/>
        <v>0.74665956389218335</v>
      </c>
      <c r="AW21">
        <f t="shared" si="29"/>
        <v>0.51770229276068158</v>
      </c>
      <c r="AX21">
        <f t="shared" si="30"/>
        <v>1</v>
      </c>
      <c r="AY21">
        <f t="shared" si="14"/>
        <v>0</v>
      </c>
      <c r="BA21" s="24">
        <f t="shared" si="31"/>
        <v>0.52819818931929274</v>
      </c>
      <c r="BB21" s="13">
        <f t="shared" si="32"/>
        <v>0.7919677075266599</v>
      </c>
      <c r="BC21">
        <f t="shared" si="33"/>
        <v>0.52819818931929274</v>
      </c>
      <c r="BD21">
        <f t="shared" si="34"/>
        <v>1</v>
      </c>
      <c r="BE21">
        <f t="shared" si="15"/>
        <v>0</v>
      </c>
    </row>
    <row r="22" spans="3:57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 t="shared" si="0"/>
        <v>0.5543689554356086</v>
      </c>
      <c r="R22" s="13">
        <f t="shared" si="1"/>
        <v>1.4099970872911047</v>
      </c>
      <c r="S22">
        <f t="shared" si="16"/>
        <v>0.5543689554356086</v>
      </c>
      <c r="T22">
        <f t="shared" si="17"/>
        <v>1</v>
      </c>
      <c r="U22">
        <f t="shared" si="18"/>
        <v>0</v>
      </c>
      <c r="W22" s="24">
        <f t="shared" si="2"/>
        <v>0.47142862069873293</v>
      </c>
      <c r="X22" s="13">
        <f t="shared" si="3"/>
        <v>1.1944959596022227</v>
      </c>
      <c r="Y22">
        <f t="shared" si="4"/>
        <v>0.47142862069873293</v>
      </c>
      <c r="Z22">
        <f t="shared" si="5"/>
        <v>1</v>
      </c>
      <c r="AA22">
        <f t="shared" si="6"/>
        <v>0</v>
      </c>
      <c r="AC22" s="24">
        <f t="shared" si="7"/>
        <v>0.44878337720642197</v>
      </c>
      <c r="AD22" s="13">
        <f t="shared" si="8"/>
        <v>1.1041347952884613</v>
      </c>
      <c r="AE22">
        <f t="shared" si="9"/>
        <v>0.44878337720642197</v>
      </c>
      <c r="AF22">
        <f t="shared" si="10"/>
        <v>1</v>
      </c>
      <c r="AG22">
        <f t="shared" si="11"/>
        <v>0</v>
      </c>
      <c r="AI22" s="24">
        <f t="shared" si="12"/>
        <v>0.4253590515219734</v>
      </c>
      <c r="AJ22" s="13">
        <f t="shared" si="13"/>
        <v>1.0498672427924345</v>
      </c>
      <c r="AK22">
        <f t="shared" si="19"/>
        <v>0.4253590515219734</v>
      </c>
      <c r="AL22">
        <f t="shared" si="20"/>
        <v>1</v>
      </c>
      <c r="AM22">
        <f t="shared" si="21"/>
        <v>0</v>
      </c>
      <c r="AO22" s="24">
        <f t="shared" si="22"/>
        <v>0.41497452637719101</v>
      </c>
      <c r="AP22" s="13">
        <f t="shared" si="23"/>
        <v>0.95592964431991323</v>
      </c>
      <c r="AQ22">
        <f t="shared" si="24"/>
        <v>0.41497452637719101</v>
      </c>
      <c r="AR22">
        <f t="shared" si="25"/>
        <v>1</v>
      </c>
      <c r="AS22">
        <f t="shared" si="26"/>
        <v>0</v>
      </c>
      <c r="AU22" s="24">
        <f t="shared" si="27"/>
        <v>0.39342286354085693</v>
      </c>
      <c r="AV22" s="13">
        <f t="shared" si="28"/>
        <v>0.9002114766387016</v>
      </c>
      <c r="AW22">
        <f t="shared" si="29"/>
        <v>0.39342286354085693</v>
      </c>
      <c r="AX22">
        <f t="shared" si="30"/>
        <v>1</v>
      </c>
      <c r="AY22">
        <f t="shared" si="14"/>
        <v>0</v>
      </c>
      <c r="BA22" s="24">
        <f t="shared" si="31"/>
        <v>0.39830355191337352</v>
      </c>
      <c r="BB22" s="13">
        <f t="shared" si="32"/>
        <v>0.94060015329165259</v>
      </c>
      <c r="BC22">
        <f t="shared" si="33"/>
        <v>0.39830355191337352</v>
      </c>
      <c r="BD22">
        <f t="shared" si="34"/>
        <v>1</v>
      </c>
      <c r="BE22">
        <f t="shared" si="15"/>
        <v>0</v>
      </c>
    </row>
    <row r="23" spans="3:57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 t="shared" si="0"/>
        <v>1.0960914205388612</v>
      </c>
      <c r="R23" s="13">
        <f t="shared" si="1"/>
        <v>1.6878683407400825</v>
      </c>
      <c r="S23">
        <f t="shared" si="16"/>
        <v>1.0960914205388612</v>
      </c>
      <c r="T23">
        <f t="shared" si="17"/>
        <v>1</v>
      </c>
      <c r="U23">
        <f t="shared" si="18"/>
        <v>0</v>
      </c>
      <c r="W23" s="24">
        <f t="shared" si="2"/>
        <v>0.94063285477801661</v>
      </c>
      <c r="X23" s="13">
        <f t="shared" si="3"/>
        <v>1.3922802213829892</v>
      </c>
      <c r="Y23">
        <f t="shared" si="4"/>
        <v>0.94063285477801661</v>
      </c>
      <c r="Z23">
        <f t="shared" si="5"/>
        <v>1</v>
      </c>
      <c r="AA23">
        <f t="shared" si="6"/>
        <v>0</v>
      </c>
      <c r="AC23" s="24">
        <f t="shared" si="7"/>
        <v>0.95088687093381086</v>
      </c>
      <c r="AD23" s="13">
        <f t="shared" si="8"/>
        <v>1.2587074433337797</v>
      </c>
      <c r="AE23">
        <f t="shared" si="9"/>
        <v>0.95088687093381086</v>
      </c>
      <c r="AF23">
        <f t="shared" si="10"/>
        <v>1</v>
      </c>
      <c r="AG23">
        <f t="shared" si="11"/>
        <v>0</v>
      </c>
      <c r="AI23" s="24">
        <f t="shared" si="12"/>
        <v>0.94943694787124333</v>
      </c>
      <c r="AJ23" s="13">
        <f t="shared" si="13"/>
        <v>1.2315792030828439</v>
      </c>
      <c r="AK23">
        <f t="shared" si="19"/>
        <v>0.94943694787124333</v>
      </c>
      <c r="AL23">
        <f t="shared" si="20"/>
        <v>1</v>
      </c>
      <c r="AM23">
        <f t="shared" si="21"/>
        <v>0</v>
      </c>
      <c r="AO23" s="24">
        <f t="shared" si="22"/>
        <v>0.93744597864806978</v>
      </c>
      <c r="AP23" s="13">
        <f t="shared" si="23"/>
        <v>1.1859969413354978</v>
      </c>
      <c r="AQ23">
        <f t="shared" si="24"/>
        <v>0.93744597864806978</v>
      </c>
      <c r="AR23">
        <f t="shared" si="25"/>
        <v>1</v>
      </c>
      <c r="AS23">
        <f t="shared" si="26"/>
        <v>0</v>
      </c>
      <c r="AU23" s="24">
        <f t="shared" si="27"/>
        <v>0.89514388710208825</v>
      </c>
      <c r="AV23" s="13">
        <f t="shared" si="28"/>
        <v>1.1946576800847786</v>
      </c>
      <c r="AW23">
        <f t="shared" si="29"/>
        <v>0.89514388710208825</v>
      </c>
      <c r="AX23">
        <f t="shared" si="30"/>
        <v>1</v>
      </c>
      <c r="AY23">
        <f t="shared" si="14"/>
        <v>0</v>
      </c>
      <c r="BA23" s="24">
        <f t="shared" si="31"/>
        <v>0.88889747851560663</v>
      </c>
      <c r="BB23" s="13">
        <f t="shared" si="32"/>
        <v>1.2462879060862737</v>
      </c>
      <c r="BC23">
        <f t="shared" si="33"/>
        <v>0.88889747851560663</v>
      </c>
      <c r="BD23">
        <f t="shared" si="34"/>
        <v>1</v>
      </c>
      <c r="BE23">
        <f t="shared" si="15"/>
        <v>0</v>
      </c>
    </row>
    <row r="24" spans="3:57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 t="shared" si="0"/>
        <v>1.1601361068590119</v>
      </c>
      <c r="R24" s="13">
        <f t="shared" si="1"/>
        <v>1.8546767842221514</v>
      </c>
      <c r="S24">
        <f t="shared" si="16"/>
        <v>1.1601361068590119</v>
      </c>
      <c r="T24">
        <f t="shared" si="17"/>
        <v>1</v>
      </c>
      <c r="U24">
        <f t="shared" si="18"/>
        <v>0</v>
      </c>
      <c r="W24" s="24">
        <f t="shared" si="2"/>
        <v>1.0886169969935373</v>
      </c>
      <c r="X24" s="13">
        <f t="shared" si="3"/>
        <v>1.7633069405627526</v>
      </c>
      <c r="Y24">
        <f t="shared" si="4"/>
        <v>1.0886169969935373</v>
      </c>
      <c r="Z24">
        <f t="shared" si="5"/>
        <v>1</v>
      </c>
      <c r="AA24">
        <f t="shared" si="6"/>
        <v>0</v>
      </c>
      <c r="AC24" s="24">
        <f t="shared" si="7"/>
        <v>1.0559129617986136</v>
      </c>
      <c r="AD24" s="13">
        <f t="shared" si="8"/>
        <v>1.7037270669887818</v>
      </c>
      <c r="AE24">
        <f t="shared" si="9"/>
        <v>1.0559129617986136</v>
      </c>
      <c r="AF24">
        <f t="shared" si="10"/>
        <v>1</v>
      </c>
      <c r="AG24">
        <f t="shared" si="11"/>
        <v>0</v>
      </c>
      <c r="AI24" s="24">
        <f t="shared" si="12"/>
        <v>0.99880153100341651</v>
      </c>
      <c r="AJ24" s="13">
        <f t="shared" si="13"/>
        <v>1.6872843125633337</v>
      </c>
      <c r="AK24">
        <f t="shared" si="19"/>
        <v>0.99880153100341651</v>
      </c>
      <c r="AL24">
        <f t="shared" si="20"/>
        <v>1</v>
      </c>
      <c r="AM24">
        <f t="shared" si="21"/>
        <v>0</v>
      </c>
      <c r="AO24" s="24">
        <f t="shared" si="22"/>
        <v>0.97335336763605218</v>
      </c>
      <c r="AP24" s="13">
        <f t="shared" si="23"/>
        <v>1.6162497245364953</v>
      </c>
      <c r="AQ24">
        <f t="shared" si="24"/>
        <v>0.97335336763605218</v>
      </c>
      <c r="AR24">
        <f t="shared" si="25"/>
        <v>1</v>
      </c>
      <c r="AS24">
        <f t="shared" si="26"/>
        <v>0</v>
      </c>
      <c r="AU24" s="24">
        <f t="shared" si="27"/>
        <v>0.93186355191151549</v>
      </c>
      <c r="AV24" s="13">
        <f t="shared" si="28"/>
        <v>1.53940209800789</v>
      </c>
      <c r="AW24">
        <f t="shared" si="29"/>
        <v>0.93186355191151549</v>
      </c>
      <c r="AX24">
        <f t="shared" si="30"/>
        <v>1</v>
      </c>
      <c r="AY24">
        <f t="shared" si="14"/>
        <v>0</v>
      </c>
      <c r="BA24" s="24">
        <f t="shared" si="31"/>
        <v>0.92288848559230885</v>
      </c>
      <c r="BB24" s="13">
        <f t="shared" si="32"/>
        <v>1.583843066251043</v>
      </c>
      <c r="BC24">
        <f t="shared" si="33"/>
        <v>0.92288848559230885</v>
      </c>
      <c r="BD24">
        <f t="shared" si="34"/>
        <v>1</v>
      </c>
      <c r="BE24">
        <f t="shared" si="15"/>
        <v>0</v>
      </c>
    </row>
    <row r="25" spans="3:57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 t="shared" si="0"/>
        <v>0.54234020940508043</v>
      </c>
      <c r="R25" s="13">
        <f t="shared" si="1"/>
        <v>1.3753533059514804</v>
      </c>
      <c r="S25">
        <f t="shared" si="16"/>
        <v>0.54234020940508043</v>
      </c>
      <c r="T25">
        <f t="shared" si="17"/>
        <v>1</v>
      </c>
      <c r="U25">
        <f t="shared" si="18"/>
        <v>0</v>
      </c>
      <c r="W25" s="24">
        <f t="shared" si="2"/>
        <v>0.53110840592258113</v>
      </c>
      <c r="X25" s="13">
        <f t="shared" si="3"/>
        <v>1.1380810272041935</v>
      </c>
      <c r="Y25">
        <f t="shared" si="4"/>
        <v>0.53110840592258113</v>
      </c>
      <c r="Z25">
        <f t="shared" si="5"/>
        <v>1</v>
      </c>
      <c r="AA25">
        <f t="shared" si="6"/>
        <v>0</v>
      </c>
      <c r="AC25" s="24">
        <f t="shared" si="7"/>
        <v>0.53711129907200594</v>
      </c>
      <c r="AD25" s="13">
        <f t="shared" si="8"/>
        <v>1.0090108845554779</v>
      </c>
      <c r="AE25">
        <f t="shared" si="9"/>
        <v>0.53711129907200594</v>
      </c>
      <c r="AF25">
        <f t="shared" si="10"/>
        <v>1</v>
      </c>
      <c r="AG25">
        <f t="shared" si="11"/>
        <v>0</v>
      </c>
      <c r="AI25" s="24">
        <f t="shared" si="12"/>
        <v>0.54996287117896347</v>
      </c>
      <c r="AJ25" s="13">
        <f t="shared" si="13"/>
        <v>0.94014056145309899</v>
      </c>
      <c r="AK25">
        <f t="shared" si="19"/>
        <v>0.54996287117896347</v>
      </c>
      <c r="AL25">
        <f t="shared" si="20"/>
        <v>1</v>
      </c>
      <c r="AM25">
        <f t="shared" si="21"/>
        <v>0</v>
      </c>
      <c r="AO25" s="24">
        <f t="shared" si="22"/>
        <v>0.55194155118525146</v>
      </c>
      <c r="AP25" s="13">
        <f t="shared" si="23"/>
        <v>0.84775330172250374</v>
      </c>
      <c r="AQ25">
        <f t="shared" si="24"/>
        <v>0.55194155118525146</v>
      </c>
      <c r="AR25">
        <f t="shared" si="25"/>
        <v>1</v>
      </c>
      <c r="AS25">
        <f t="shared" si="26"/>
        <v>0</v>
      </c>
      <c r="AU25" s="24">
        <f t="shared" si="27"/>
        <v>0.52428598859801812</v>
      </c>
      <c r="AV25" s="13">
        <f t="shared" si="28"/>
        <v>0.85057185886850861</v>
      </c>
      <c r="AW25">
        <f t="shared" si="29"/>
        <v>0.52428598859801812</v>
      </c>
      <c r="AX25">
        <f t="shared" si="30"/>
        <v>1</v>
      </c>
      <c r="AY25">
        <f t="shared" si="14"/>
        <v>0</v>
      </c>
      <c r="BA25" s="24">
        <f t="shared" si="31"/>
        <v>0.5241588399953524</v>
      </c>
      <c r="BB25" s="13">
        <f t="shared" si="32"/>
        <v>0.89123208691158606</v>
      </c>
      <c r="BC25">
        <f t="shared" si="33"/>
        <v>0.5241588399953524</v>
      </c>
      <c r="BD25">
        <f t="shared" si="34"/>
        <v>1</v>
      </c>
      <c r="BE25">
        <f t="shared" si="15"/>
        <v>0</v>
      </c>
    </row>
    <row r="26" spans="3:57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 t="shared" si="0"/>
        <v>0.54790585595976637</v>
      </c>
      <c r="R26" s="13">
        <f t="shared" si="1"/>
        <v>1.2798613233373433</v>
      </c>
      <c r="S26">
        <f t="shared" si="16"/>
        <v>0.54790585595976637</v>
      </c>
      <c r="T26">
        <f t="shared" si="17"/>
        <v>1</v>
      </c>
      <c r="U26">
        <f t="shared" si="18"/>
        <v>0</v>
      </c>
      <c r="W26" s="24">
        <f t="shared" si="2"/>
        <v>0.47533335266703458</v>
      </c>
      <c r="X26" s="13">
        <f t="shared" si="3"/>
        <v>0.99715853377543862</v>
      </c>
      <c r="Y26">
        <f t="shared" si="4"/>
        <v>0.47533335266703458</v>
      </c>
      <c r="Z26">
        <f t="shared" si="5"/>
        <v>1</v>
      </c>
      <c r="AA26">
        <f t="shared" si="6"/>
        <v>0</v>
      </c>
      <c r="AC26" s="24">
        <f t="shared" si="7"/>
        <v>0.46212860650463861</v>
      </c>
      <c r="AD26" s="13">
        <f t="shared" si="8"/>
        <v>0.94374688358050951</v>
      </c>
      <c r="AE26">
        <f t="shared" si="9"/>
        <v>0.46212860650463861</v>
      </c>
      <c r="AF26">
        <f t="shared" si="10"/>
        <v>1</v>
      </c>
      <c r="AG26">
        <f t="shared" si="11"/>
        <v>0</v>
      </c>
      <c r="AI26" s="24">
        <f t="shared" si="12"/>
        <v>0.44362258076370198</v>
      </c>
      <c r="AJ26" s="13">
        <f t="shared" si="13"/>
        <v>0.93120386907275643</v>
      </c>
      <c r="AK26">
        <f t="shared" si="19"/>
        <v>0.44362258076370198</v>
      </c>
      <c r="AL26">
        <f t="shared" si="20"/>
        <v>1</v>
      </c>
      <c r="AM26">
        <f t="shared" si="21"/>
        <v>0</v>
      </c>
      <c r="AO26" s="24">
        <f t="shared" si="22"/>
        <v>0.44489240454412499</v>
      </c>
      <c r="AP26" s="13">
        <f t="shared" si="23"/>
        <v>0.8426608357493145</v>
      </c>
      <c r="AQ26">
        <f t="shared" si="24"/>
        <v>0.44489240454412499</v>
      </c>
      <c r="AR26">
        <f t="shared" si="25"/>
        <v>1</v>
      </c>
      <c r="AS26">
        <f t="shared" si="26"/>
        <v>0</v>
      </c>
      <c r="AU26" s="24">
        <f t="shared" si="27"/>
        <v>0.46196582536834457</v>
      </c>
      <c r="AV26" s="13">
        <f t="shared" si="28"/>
        <v>0.776615964275018</v>
      </c>
      <c r="AW26">
        <f t="shared" si="29"/>
        <v>0.46196582536834457</v>
      </c>
      <c r="AX26">
        <f t="shared" si="30"/>
        <v>1</v>
      </c>
      <c r="AY26">
        <f t="shared" si="14"/>
        <v>0</v>
      </c>
      <c r="BA26" s="24">
        <f t="shared" si="31"/>
        <v>0.46535014367801109</v>
      </c>
      <c r="BB26" s="13">
        <f t="shared" si="32"/>
        <v>0.81738870956114751</v>
      </c>
      <c r="BC26">
        <f t="shared" si="33"/>
        <v>0.46535014367801109</v>
      </c>
      <c r="BD26">
        <f t="shared" si="34"/>
        <v>1</v>
      </c>
      <c r="BE26">
        <f t="shared" si="15"/>
        <v>0</v>
      </c>
    </row>
    <row r="27" spans="3:57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 t="shared" si="0"/>
        <v>0.9122462668564516</v>
      </c>
      <c r="R27" s="13">
        <f t="shared" si="1"/>
        <v>1.4345164888245658</v>
      </c>
      <c r="S27">
        <f t="shared" si="16"/>
        <v>0.9122462668564516</v>
      </c>
      <c r="T27">
        <f t="shared" si="17"/>
        <v>1</v>
      </c>
      <c r="U27">
        <f t="shared" si="18"/>
        <v>0</v>
      </c>
      <c r="W27" s="24">
        <f t="shared" si="2"/>
        <v>0.90158278801709213</v>
      </c>
      <c r="X27" s="13">
        <f t="shared" si="3"/>
        <v>1.3284372140400018</v>
      </c>
      <c r="Y27">
        <f t="shared" si="4"/>
        <v>0.90158278801709213</v>
      </c>
      <c r="Z27">
        <f t="shared" si="5"/>
        <v>1</v>
      </c>
      <c r="AA27">
        <f t="shared" si="6"/>
        <v>0</v>
      </c>
      <c r="AC27" s="24">
        <f t="shared" si="7"/>
        <v>0.90101119108656325</v>
      </c>
      <c r="AD27" s="13">
        <f t="shared" si="8"/>
        <v>1.2427494869081104</v>
      </c>
      <c r="AE27">
        <f t="shared" si="9"/>
        <v>0.90101119108656325</v>
      </c>
      <c r="AF27">
        <f t="shared" si="10"/>
        <v>1</v>
      </c>
      <c r="AG27">
        <f t="shared" si="11"/>
        <v>0</v>
      </c>
      <c r="AI27" s="24">
        <f t="shared" si="12"/>
        <v>0.88805413618796514</v>
      </c>
      <c r="AJ27" s="13">
        <f t="shared" si="13"/>
        <v>1.2343338640326884</v>
      </c>
      <c r="AK27">
        <f t="shared" si="19"/>
        <v>0.88805413618796514</v>
      </c>
      <c r="AL27">
        <f t="shared" si="20"/>
        <v>1</v>
      </c>
      <c r="AM27">
        <f t="shared" si="21"/>
        <v>0</v>
      </c>
      <c r="AO27" s="24">
        <f t="shared" si="22"/>
        <v>0.88325905313478814</v>
      </c>
      <c r="AP27" s="13">
        <f t="shared" si="23"/>
        <v>1.1788802750357086</v>
      </c>
      <c r="AQ27">
        <f t="shared" si="24"/>
        <v>0.88325905313478814</v>
      </c>
      <c r="AR27">
        <f t="shared" si="25"/>
        <v>1</v>
      </c>
      <c r="AS27">
        <f t="shared" si="26"/>
        <v>0</v>
      </c>
      <c r="AU27" s="24">
        <f t="shared" si="27"/>
        <v>0.84562355902151387</v>
      </c>
      <c r="AV27" s="13">
        <f t="shared" si="28"/>
        <v>1.1747730984714608</v>
      </c>
      <c r="AW27">
        <f t="shared" si="29"/>
        <v>0.84562355902151387</v>
      </c>
      <c r="AX27">
        <f t="shared" si="30"/>
        <v>1</v>
      </c>
      <c r="AY27">
        <f t="shared" si="14"/>
        <v>0</v>
      </c>
      <c r="BA27" s="24">
        <f t="shared" si="31"/>
        <v>0.84014265784628284</v>
      </c>
      <c r="BB27" s="13">
        <f t="shared" si="32"/>
        <v>1.2129144717608207</v>
      </c>
      <c r="BC27">
        <f t="shared" si="33"/>
        <v>0.84014265784628284</v>
      </c>
      <c r="BD27">
        <f t="shared" si="34"/>
        <v>1</v>
      </c>
      <c r="BE27">
        <f t="shared" si="15"/>
        <v>0</v>
      </c>
    </row>
    <row r="28" spans="3:57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 t="shared" si="0"/>
        <v>1.2761478054071651</v>
      </c>
      <c r="R28" s="13">
        <f t="shared" si="1"/>
        <v>1.2321797919297131</v>
      </c>
      <c r="S28">
        <f t="shared" si="16"/>
        <v>1.2321797919297131</v>
      </c>
      <c r="T28">
        <f t="shared" si="17"/>
        <v>0</v>
      </c>
      <c r="U28">
        <f t="shared" si="18"/>
        <v>1</v>
      </c>
      <c r="W28" s="24">
        <f t="shared" si="2"/>
        <v>0.97340087601281056</v>
      </c>
      <c r="X28" s="13">
        <f t="shared" si="3"/>
        <v>0.71357727403288851</v>
      </c>
      <c r="Y28">
        <f t="shared" si="4"/>
        <v>0.71357727403288851</v>
      </c>
      <c r="Z28">
        <f t="shared" si="5"/>
        <v>0</v>
      </c>
      <c r="AA28">
        <f t="shared" si="6"/>
        <v>1</v>
      </c>
      <c r="AC28" s="24">
        <f t="shared" si="7"/>
        <v>0.99937816799251045</v>
      </c>
      <c r="AD28" s="13">
        <f t="shared" si="8"/>
        <v>0.70476698606479538</v>
      </c>
      <c r="AE28">
        <f t="shared" si="9"/>
        <v>0.70476698606479538</v>
      </c>
      <c r="AF28">
        <f t="shared" si="10"/>
        <v>0</v>
      </c>
      <c r="AG28">
        <f t="shared" si="11"/>
        <v>1</v>
      </c>
      <c r="AI28" s="24">
        <f t="shared" si="12"/>
        <v>1.0346708932000603</v>
      </c>
      <c r="AJ28" s="13">
        <f t="shared" si="13"/>
        <v>0.75069143691088325</v>
      </c>
      <c r="AK28">
        <f t="shared" si="19"/>
        <v>0.75069143691088325</v>
      </c>
      <c r="AL28">
        <f t="shared" si="20"/>
        <v>0</v>
      </c>
      <c r="AM28">
        <f t="shared" si="21"/>
        <v>1</v>
      </c>
      <c r="AO28" s="24">
        <f t="shared" si="22"/>
        <v>1.0430942117330089</v>
      </c>
      <c r="AP28" s="13">
        <f t="shared" si="23"/>
        <v>0.78645814614187814</v>
      </c>
      <c r="AQ28">
        <f t="shared" si="24"/>
        <v>0.78645814614187814</v>
      </c>
      <c r="AR28">
        <f t="shared" si="25"/>
        <v>0</v>
      </c>
      <c r="AS28">
        <f t="shared" si="26"/>
        <v>1</v>
      </c>
      <c r="AU28" s="24">
        <f t="shared" si="27"/>
        <v>1.0901337887291991</v>
      </c>
      <c r="AV28" s="13">
        <f t="shared" si="28"/>
        <v>0.74643394211052549</v>
      </c>
      <c r="AW28">
        <f t="shared" si="29"/>
        <v>0.74643394211052549</v>
      </c>
      <c r="AX28">
        <f t="shared" si="30"/>
        <v>0</v>
      </c>
      <c r="AY28">
        <f t="shared" si="14"/>
        <v>1</v>
      </c>
      <c r="BA28" s="24">
        <f t="shared" si="31"/>
        <v>1.0981466589213571</v>
      </c>
      <c r="BB28" s="13">
        <f t="shared" si="32"/>
        <v>0.76537492707204713</v>
      </c>
      <c r="BC28">
        <f t="shared" si="33"/>
        <v>0.76537492707204713</v>
      </c>
      <c r="BD28">
        <f t="shared" si="34"/>
        <v>0</v>
      </c>
      <c r="BE28">
        <f t="shared" si="15"/>
        <v>1</v>
      </c>
    </row>
    <row r="29" spans="3:57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 t="shared" si="0"/>
        <v>0.96924475467695781</v>
      </c>
      <c r="R29" s="13">
        <f t="shared" si="1"/>
        <v>1.5467420870727961</v>
      </c>
      <c r="S29">
        <f t="shared" si="16"/>
        <v>0.96924475467695781</v>
      </c>
      <c r="T29">
        <f t="shared" si="17"/>
        <v>1</v>
      </c>
      <c r="U29">
        <f t="shared" si="18"/>
        <v>0</v>
      </c>
      <c r="W29" s="24">
        <f t="shared" si="2"/>
        <v>0.68049533457898648</v>
      </c>
      <c r="X29" s="13">
        <f t="shared" si="3"/>
        <v>1.125471250461358</v>
      </c>
      <c r="Y29">
        <f t="shared" si="4"/>
        <v>0.68049533457898648</v>
      </c>
      <c r="Z29">
        <f t="shared" si="5"/>
        <v>1</v>
      </c>
      <c r="AA29">
        <f t="shared" si="6"/>
        <v>0</v>
      </c>
      <c r="AC29" s="24">
        <f t="shared" si="7"/>
        <v>0.68511215823426408</v>
      </c>
      <c r="AD29" s="13">
        <f t="shared" si="8"/>
        <v>1.0295305719803025</v>
      </c>
      <c r="AE29">
        <f t="shared" si="9"/>
        <v>0.68511215823426408</v>
      </c>
      <c r="AF29">
        <f t="shared" si="10"/>
        <v>1</v>
      </c>
      <c r="AG29">
        <f t="shared" si="11"/>
        <v>0</v>
      </c>
      <c r="AI29" s="24">
        <f t="shared" si="12"/>
        <v>0.69154757215677476</v>
      </c>
      <c r="AJ29" s="13">
        <f t="shared" si="13"/>
        <v>0.99207310690674277</v>
      </c>
      <c r="AK29">
        <f t="shared" si="19"/>
        <v>0.69154757215677476</v>
      </c>
      <c r="AL29">
        <f t="shared" si="20"/>
        <v>1</v>
      </c>
      <c r="AM29">
        <f t="shared" si="21"/>
        <v>0</v>
      </c>
      <c r="AO29" s="24">
        <f t="shared" si="22"/>
        <v>0.68766659764677673</v>
      </c>
      <c r="AP29" s="13">
        <f t="shared" si="23"/>
        <v>0.92617735146194269</v>
      </c>
      <c r="AQ29">
        <f t="shared" si="24"/>
        <v>0.68766659764677673</v>
      </c>
      <c r="AR29">
        <f t="shared" si="25"/>
        <v>1</v>
      </c>
      <c r="AS29">
        <f t="shared" si="26"/>
        <v>0</v>
      </c>
      <c r="AU29" s="24">
        <f t="shared" si="27"/>
        <v>0.70870600801160488</v>
      </c>
      <c r="AV29" s="13">
        <f t="shared" si="28"/>
        <v>0.85791944673079801</v>
      </c>
      <c r="AW29">
        <f t="shared" si="29"/>
        <v>0.70870600801160488</v>
      </c>
      <c r="AX29">
        <f t="shared" si="30"/>
        <v>1</v>
      </c>
      <c r="AY29">
        <f t="shared" si="14"/>
        <v>0</v>
      </c>
      <c r="BA29" s="24">
        <f t="shared" si="31"/>
        <v>0.71179272057665355</v>
      </c>
      <c r="BB29" s="13">
        <f t="shared" si="32"/>
        <v>0.91018183144667697</v>
      </c>
      <c r="BC29">
        <f t="shared" si="33"/>
        <v>0.71179272057665355</v>
      </c>
      <c r="BD29">
        <f t="shared" si="34"/>
        <v>1</v>
      </c>
      <c r="BE29">
        <f t="shared" si="15"/>
        <v>0</v>
      </c>
    </row>
    <row r="30" spans="3:57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 t="shared" si="0"/>
        <v>0.86675396644468738</v>
      </c>
      <c r="R30" s="13">
        <f t="shared" si="1"/>
        <v>1.3848508564608688</v>
      </c>
      <c r="S30">
        <f t="shared" si="16"/>
        <v>0.86675396644468738</v>
      </c>
      <c r="T30">
        <f t="shared" si="17"/>
        <v>1</v>
      </c>
      <c r="U30">
        <f t="shared" si="18"/>
        <v>0</v>
      </c>
      <c r="W30" s="24">
        <f t="shared" si="2"/>
        <v>0.87604804158217853</v>
      </c>
      <c r="X30" s="13">
        <f t="shared" si="3"/>
        <v>1.1336013885694465</v>
      </c>
      <c r="Y30">
        <f t="shared" si="4"/>
        <v>0.87604804158217853</v>
      </c>
      <c r="Z30">
        <f t="shared" si="5"/>
        <v>1</v>
      </c>
      <c r="AA30">
        <f t="shared" si="6"/>
        <v>0</v>
      </c>
      <c r="AC30" s="24">
        <f t="shared" si="7"/>
        <v>0.86865400289760641</v>
      </c>
      <c r="AD30" s="13">
        <f t="shared" si="8"/>
        <v>1.1258470502212046</v>
      </c>
      <c r="AE30">
        <f t="shared" si="9"/>
        <v>0.86865400289760641</v>
      </c>
      <c r="AF30">
        <f t="shared" si="10"/>
        <v>1</v>
      </c>
      <c r="AG30">
        <f t="shared" si="11"/>
        <v>0</v>
      </c>
      <c r="AI30" s="24">
        <f t="shared" si="12"/>
        <v>0.86764598242540281</v>
      </c>
      <c r="AJ30" s="13">
        <f t="shared" si="13"/>
        <v>1.1172841920027119</v>
      </c>
      <c r="AK30">
        <f t="shared" si="19"/>
        <v>0.86764598242540281</v>
      </c>
      <c r="AL30">
        <f t="shared" si="20"/>
        <v>1</v>
      </c>
      <c r="AM30">
        <f t="shared" si="21"/>
        <v>0</v>
      </c>
      <c r="AO30" s="24">
        <f t="shared" si="22"/>
        <v>0.87824041610943049</v>
      </c>
      <c r="AP30" s="13">
        <f t="shared" si="23"/>
        <v>1.0401876205616751</v>
      </c>
      <c r="AQ30">
        <f t="shared" si="24"/>
        <v>0.87824041610943049</v>
      </c>
      <c r="AR30">
        <f t="shared" si="25"/>
        <v>1</v>
      </c>
      <c r="AS30">
        <f t="shared" si="26"/>
        <v>0</v>
      </c>
      <c r="AU30" s="24">
        <f t="shared" si="27"/>
        <v>0.93417694032009124</v>
      </c>
      <c r="AV30" s="13">
        <f t="shared" si="28"/>
        <v>0.94599993777155233</v>
      </c>
      <c r="AW30">
        <f t="shared" si="29"/>
        <v>0.93417694032009124</v>
      </c>
      <c r="AX30">
        <f t="shared" si="30"/>
        <v>1</v>
      </c>
      <c r="AY30">
        <f t="shared" si="14"/>
        <v>0</v>
      </c>
      <c r="BA30" s="24">
        <f t="shared" si="31"/>
        <v>0.94644795410965499</v>
      </c>
      <c r="BB30" s="13">
        <f t="shared" si="32"/>
        <v>0.95247528435683848</v>
      </c>
      <c r="BC30">
        <f t="shared" si="33"/>
        <v>0.94644795410965499</v>
      </c>
      <c r="BD30">
        <f t="shared" si="34"/>
        <v>1</v>
      </c>
      <c r="BE30">
        <f t="shared" si="15"/>
        <v>0</v>
      </c>
    </row>
    <row r="31" spans="3:57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 t="shared" si="0"/>
        <v>0.95333334117046131</v>
      </c>
      <c r="R31" s="13">
        <f t="shared" si="1"/>
        <v>1.7701649394357957</v>
      </c>
      <c r="S31">
        <f t="shared" si="16"/>
        <v>0.95333334117046131</v>
      </c>
      <c r="T31">
        <f t="shared" si="17"/>
        <v>1</v>
      </c>
      <c r="U31">
        <f t="shared" si="18"/>
        <v>0</v>
      </c>
      <c r="W31" s="24">
        <f t="shared" si="2"/>
        <v>0.95105036898343442</v>
      </c>
      <c r="X31" s="13">
        <f t="shared" si="3"/>
        <v>1.6939160259236263</v>
      </c>
      <c r="Y31">
        <f t="shared" si="4"/>
        <v>0.95105036898343442</v>
      </c>
      <c r="Z31">
        <f t="shared" si="5"/>
        <v>1</v>
      </c>
      <c r="AA31">
        <f t="shared" si="6"/>
        <v>0</v>
      </c>
      <c r="AC31" s="24">
        <f t="shared" si="7"/>
        <v>0.91296320469819447</v>
      </c>
      <c r="AD31" s="13">
        <f t="shared" si="8"/>
        <v>1.6289346467859684</v>
      </c>
      <c r="AE31">
        <f t="shared" si="9"/>
        <v>0.91296320469819447</v>
      </c>
      <c r="AF31">
        <f t="shared" si="10"/>
        <v>1</v>
      </c>
      <c r="AG31">
        <f t="shared" si="11"/>
        <v>0</v>
      </c>
      <c r="AI31" s="24">
        <f t="shared" si="12"/>
        <v>0.84780577277743352</v>
      </c>
      <c r="AJ31" s="13">
        <f t="shared" si="13"/>
        <v>1.606145088296582</v>
      </c>
      <c r="AK31">
        <f t="shared" si="19"/>
        <v>0.84780577277743352</v>
      </c>
      <c r="AL31">
        <f t="shared" si="20"/>
        <v>1</v>
      </c>
      <c r="AM31">
        <f t="shared" si="21"/>
        <v>0</v>
      </c>
      <c r="AO31" s="24">
        <f t="shared" si="22"/>
        <v>0.82056170151612928</v>
      </c>
      <c r="AP31" s="13">
        <f t="shared" si="23"/>
        <v>1.5240669686744195</v>
      </c>
      <c r="AQ31">
        <f t="shared" si="24"/>
        <v>0.82056170151612928</v>
      </c>
      <c r="AR31">
        <f t="shared" si="25"/>
        <v>1</v>
      </c>
      <c r="AS31">
        <f t="shared" si="26"/>
        <v>0</v>
      </c>
      <c r="AU31" s="24">
        <f t="shared" si="27"/>
        <v>0.76661573126319604</v>
      </c>
      <c r="AV31" s="13">
        <f t="shared" si="28"/>
        <v>1.4522653469787572</v>
      </c>
      <c r="AW31">
        <f t="shared" si="29"/>
        <v>0.76661573126319604</v>
      </c>
      <c r="AX31">
        <f t="shared" si="30"/>
        <v>1</v>
      </c>
      <c r="AY31">
        <f t="shared" si="14"/>
        <v>0</v>
      </c>
      <c r="BA31" s="24">
        <f t="shared" si="31"/>
        <v>0.75479129505177178</v>
      </c>
      <c r="BB31" s="13">
        <f t="shared" si="32"/>
        <v>1.4975058912898427</v>
      </c>
      <c r="BC31">
        <f t="shared" si="33"/>
        <v>0.75479129505177178</v>
      </c>
      <c r="BD31">
        <f t="shared" si="34"/>
        <v>1</v>
      </c>
      <c r="BE31">
        <f t="shared" si="15"/>
        <v>0</v>
      </c>
    </row>
    <row r="32" spans="3:57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 t="shared" si="0"/>
        <v>0.97177478300777609</v>
      </c>
      <c r="R32" s="13">
        <f t="shared" si="1"/>
        <v>1.3055700399288841</v>
      </c>
      <c r="S32">
        <f t="shared" si="16"/>
        <v>0.97177478300777609</v>
      </c>
      <c r="T32">
        <f t="shared" si="17"/>
        <v>1</v>
      </c>
      <c r="U32">
        <f t="shared" si="18"/>
        <v>0</v>
      </c>
      <c r="W32" s="24">
        <f t="shared" si="2"/>
        <v>0.68725756256396653</v>
      </c>
      <c r="X32" s="13">
        <f t="shared" si="3"/>
        <v>0.89512767807722682</v>
      </c>
      <c r="Y32">
        <f t="shared" si="4"/>
        <v>0.68725756256396653</v>
      </c>
      <c r="Z32">
        <f t="shared" si="5"/>
        <v>1</v>
      </c>
      <c r="AA32">
        <f t="shared" si="6"/>
        <v>0</v>
      </c>
      <c r="AC32" s="24">
        <f t="shared" si="7"/>
        <v>0.70418380019470905</v>
      </c>
      <c r="AD32" s="13">
        <f t="shared" si="8"/>
        <v>0.81756289498729851</v>
      </c>
      <c r="AE32">
        <f t="shared" si="9"/>
        <v>0.70418380019470905</v>
      </c>
      <c r="AF32">
        <f t="shared" si="10"/>
        <v>1</v>
      </c>
      <c r="AG32">
        <f t="shared" si="11"/>
        <v>0</v>
      </c>
      <c r="AI32" s="24">
        <f t="shared" si="12"/>
        <v>0.7440994411609374</v>
      </c>
      <c r="AJ32" s="13">
        <f t="shared" si="13"/>
        <v>0.75544149666126292</v>
      </c>
      <c r="AK32">
        <f t="shared" si="19"/>
        <v>0.7440994411609374</v>
      </c>
      <c r="AL32">
        <f t="shared" si="20"/>
        <v>1</v>
      </c>
      <c r="AM32">
        <f t="shared" si="21"/>
        <v>0</v>
      </c>
      <c r="AO32" s="24">
        <f t="shared" si="22"/>
        <v>0.76006954619658063</v>
      </c>
      <c r="AP32" s="13">
        <f t="shared" si="23"/>
        <v>0.69372501833762701</v>
      </c>
      <c r="AQ32">
        <f t="shared" si="24"/>
        <v>0.69372501833762701</v>
      </c>
      <c r="AR32">
        <f t="shared" si="25"/>
        <v>0</v>
      </c>
      <c r="AS32">
        <f t="shared" si="26"/>
        <v>1</v>
      </c>
      <c r="AU32" s="24">
        <f t="shared" si="27"/>
        <v>0.82872791613175711</v>
      </c>
      <c r="AV32" s="13">
        <f t="shared" si="28"/>
        <v>0.58973328603267428</v>
      </c>
      <c r="AW32">
        <f t="shared" si="29"/>
        <v>0.58973328603267428</v>
      </c>
      <c r="AX32">
        <f t="shared" si="30"/>
        <v>0</v>
      </c>
      <c r="AY32">
        <f t="shared" si="14"/>
        <v>1</v>
      </c>
      <c r="BA32" s="24">
        <f t="shared" si="31"/>
        <v>0.84342681145600096</v>
      </c>
      <c r="BB32" s="13">
        <f t="shared" si="32"/>
        <v>0.61053157754330878</v>
      </c>
      <c r="BC32">
        <f t="shared" si="33"/>
        <v>0.61053157754330878</v>
      </c>
      <c r="BD32">
        <f t="shared" si="34"/>
        <v>0</v>
      </c>
      <c r="BE32">
        <f t="shared" si="15"/>
        <v>1</v>
      </c>
    </row>
    <row r="33" spans="3:57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 t="shared" si="0"/>
        <v>0.77202176144984591</v>
      </c>
      <c r="R33" s="13">
        <f t="shared" si="1"/>
        <v>1.193996863510854</v>
      </c>
      <c r="S33">
        <f t="shared" si="16"/>
        <v>0.77202176144984591</v>
      </c>
      <c r="T33">
        <f t="shared" si="17"/>
        <v>1</v>
      </c>
      <c r="U33">
        <f t="shared" si="18"/>
        <v>0</v>
      </c>
      <c r="W33" s="24">
        <f t="shared" si="2"/>
        <v>0.66595933181663181</v>
      </c>
      <c r="X33" s="13">
        <f t="shared" si="3"/>
        <v>0.89065658536697256</v>
      </c>
      <c r="Y33">
        <f t="shared" si="4"/>
        <v>0.66595933181663181</v>
      </c>
      <c r="Z33">
        <f t="shared" si="5"/>
        <v>1</v>
      </c>
      <c r="AA33">
        <f t="shared" si="6"/>
        <v>0</v>
      </c>
      <c r="AC33" s="24">
        <f t="shared" si="7"/>
        <v>0.69750995864832854</v>
      </c>
      <c r="AD33" s="13">
        <f t="shared" si="8"/>
        <v>0.74720132991483978</v>
      </c>
      <c r="AE33">
        <f t="shared" si="9"/>
        <v>0.69750995864832854</v>
      </c>
      <c r="AF33">
        <f t="shared" si="10"/>
        <v>1</v>
      </c>
      <c r="AG33">
        <f t="shared" si="11"/>
        <v>0</v>
      </c>
      <c r="AI33" s="24">
        <f t="shared" si="12"/>
        <v>0.75103336192083703</v>
      </c>
      <c r="AJ33" s="13">
        <f t="shared" si="13"/>
        <v>0.65643615131141686</v>
      </c>
      <c r="AK33">
        <f t="shared" si="19"/>
        <v>0.65643615131141686</v>
      </c>
      <c r="AL33">
        <f t="shared" si="20"/>
        <v>0</v>
      </c>
      <c r="AM33">
        <f t="shared" si="21"/>
        <v>1</v>
      </c>
      <c r="AO33" s="24">
        <f t="shared" si="22"/>
        <v>0.77111618249429037</v>
      </c>
      <c r="AP33" s="13">
        <f t="shared" si="23"/>
        <v>0.58333086595856265</v>
      </c>
      <c r="AQ33">
        <f t="shared" si="24"/>
        <v>0.58333086595856265</v>
      </c>
      <c r="AR33">
        <f t="shared" si="25"/>
        <v>0</v>
      </c>
      <c r="AS33">
        <f t="shared" si="26"/>
        <v>1</v>
      </c>
      <c r="AU33" s="24">
        <f t="shared" si="27"/>
        <v>0.78504713046278141</v>
      </c>
      <c r="AV33" s="13">
        <f t="shared" si="28"/>
        <v>0.64220464032552793</v>
      </c>
      <c r="AW33">
        <f t="shared" si="29"/>
        <v>0.64220464032552793</v>
      </c>
      <c r="AX33">
        <f t="shared" si="30"/>
        <v>0</v>
      </c>
      <c r="AY33">
        <f t="shared" si="14"/>
        <v>1</v>
      </c>
      <c r="BA33" s="24">
        <f t="shared" si="31"/>
        <v>0.7947804972051733</v>
      </c>
      <c r="BB33" s="13">
        <f t="shared" si="32"/>
        <v>0.65887546107528006</v>
      </c>
      <c r="BC33">
        <f t="shared" si="33"/>
        <v>0.65887546107528006</v>
      </c>
      <c r="BD33">
        <f t="shared" si="34"/>
        <v>0</v>
      </c>
      <c r="BE33">
        <f t="shared" si="15"/>
        <v>1</v>
      </c>
    </row>
    <row r="34" spans="3:57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 t="shared" si="0"/>
        <v>1.0270508872951882</v>
      </c>
      <c r="R34" s="13">
        <f t="shared" si="1"/>
        <v>1.253520654896187</v>
      </c>
      <c r="S34">
        <f t="shared" si="16"/>
        <v>1.0270508872951882</v>
      </c>
      <c r="T34">
        <f t="shared" si="17"/>
        <v>1</v>
      </c>
      <c r="U34">
        <f t="shared" si="18"/>
        <v>0</v>
      </c>
      <c r="W34" s="24">
        <f t="shared" si="2"/>
        <v>0.88724733408946477</v>
      </c>
      <c r="X34" s="13">
        <f t="shared" si="3"/>
        <v>1.001529001814482</v>
      </c>
      <c r="Y34">
        <f t="shared" si="4"/>
        <v>0.88724733408946477</v>
      </c>
      <c r="Z34">
        <f t="shared" si="5"/>
        <v>1</v>
      </c>
      <c r="AA34">
        <f t="shared" si="6"/>
        <v>0</v>
      </c>
      <c r="AC34" s="24">
        <f t="shared" si="7"/>
        <v>0.88758144637791181</v>
      </c>
      <c r="AD34" s="13">
        <f t="shared" si="8"/>
        <v>1.0100257202263982</v>
      </c>
      <c r="AE34">
        <f t="shared" si="9"/>
        <v>0.88758144637791181</v>
      </c>
      <c r="AF34">
        <f t="shared" si="10"/>
        <v>1</v>
      </c>
      <c r="AG34">
        <f t="shared" si="11"/>
        <v>0</v>
      </c>
      <c r="AI34" s="24">
        <f t="shared" si="12"/>
        <v>0.91517139861547525</v>
      </c>
      <c r="AJ34" s="13">
        <f t="shared" si="13"/>
        <v>0.96377604665295569</v>
      </c>
      <c r="AK34">
        <f t="shared" si="19"/>
        <v>0.91517139861547525</v>
      </c>
      <c r="AL34">
        <f t="shared" si="20"/>
        <v>1</v>
      </c>
      <c r="AM34">
        <f t="shared" si="21"/>
        <v>0</v>
      </c>
      <c r="AO34" s="24">
        <f t="shared" si="22"/>
        <v>0.93692064981646817</v>
      </c>
      <c r="AP34" s="13">
        <f t="shared" si="23"/>
        <v>0.89697929442710456</v>
      </c>
      <c r="AQ34">
        <f t="shared" si="24"/>
        <v>0.89697929442710456</v>
      </c>
      <c r="AR34">
        <f t="shared" si="25"/>
        <v>0</v>
      </c>
      <c r="AS34">
        <f t="shared" si="26"/>
        <v>1</v>
      </c>
      <c r="AU34" s="24">
        <f t="shared" si="27"/>
        <v>1.006120042047097</v>
      </c>
      <c r="AV34" s="13">
        <f t="shared" si="28"/>
        <v>0.80148391379563777</v>
      </c>
      <c r="AW34">
        <f t="shared" si="29"/>
        <v>0.80148391379563777</v>
      </c>
      <c r="AX34">
        <f t="shared" si="30"/>
        <v>0</v>
      </c>
      <c r="AY34">
        <f t="shared" si="14"/>
        <v>1</v>
      </c>
      <c r="BA34" s="24">
        <f t="shared" si="31"/>
        <v>1.0210270539617547</v>
      </c>
      <c r="BB34" s="13">
        <f t="shared" si="32"/>
        <v>0.79177647731824785</v>
      </c>
      <c r="BC34">
        <f t="shared" si="33"/>
        <v>0.79177647731824785</v>
      </c>
      <c r="BD34">
        <f t="shared" si="34"/>
        <v>0</v>
      </c>
      <c r="BE34">
        <f t="shared" si="15"/>
        <v>1</v>
      </c>
    </row>
    <row r="35" spans="3:57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 t="shared" si="0"/>
        <v>0.48364271114351676</v>
      </c>
      <c r="R35" s="13">
        <f t="shared" si="1"/>
        <v>1.4575616917003928</v>
      </c>
      <c r="S35">
        <f t="shared" si="16"/>
        <v>0.48364271114351676</v>
      </c>
      <c r="T35">
        <f t="shared" si="17"/>
        <v>1</v>
      </c>
      <c r="U35">
        <f t="shared" si="18"/>
        <v>0</v>
      </c>
      <c r="W35" s="24">
        <f t="shared" si="2"/>
        <v>0.48575028310211499</v>
      </c>
      <c r="X35" s="13">
        <f t="shared" si="3"/>
        <v>1.1263445909127527</v>
      </c>
      <c r="Y35">
        <f t="shared" si="4"/>
        <v>0.48575028310211499</v>
      </c>
      <c r="Z35">
        <f t="shared" si="5"/>
        <v>1</v>
      </c>
      <c r="AA35">
        <f t="shared" si="6"/>
        <v>0</v>
      </c>
      <c r="AC35" s="24">
        <f t="shared" si="7"/>
        <v>0.4965016598972416</v>
      </c>
      <c r="AD35" s="13">
        <f t="shared" si="8"/>
        <v>0.98220737075654774</v>
      </c>
      <c r="AE35">
        <f t="shared" si="9"/>
        <v>0.4965016598972416</v>
      </c>
      <c r="AF35">
        <f t="shared" si="10"/>
        <v>1</v>
      </c>
      <c r="AG35">
        <f t="shared" si="11"/>
        <v>0</v>
      </c>
      <c r="AI35" s="24">
        <f t="shared" si="12"/>
        <v>0.50384210060503998</v>
      </c>
      <c r="AJ35" s="13">
        <f t="shared" si="13"/>
        <v>0.9243333601367909</v>
      </c>
      <c r="AK35">
        <f t="shared" si="19"/>
        <v>0.50384210060503998</v>
      </c>
      <c r="AL35">
        <f t="shared" si="20"/>
        <v>1</v>
      </c>
      <c r="AM35">
        <f t="shared" si="21"/>
        <v>0</v>
      </c>
      <c r="AO35" s="24">
        <f t="shared" si="22"/>
        <v>0.50527662524278927</v>
      </c>
      <c r="AP35" s="13">
        <f t="shared" si="23"/>
        <v>0.81791090900820973</v>
      </c>
      <c r="AQ35">
        <f t="shared" si="24"/>
        <v>0.50527662524278927</v>
      </c>
      <c r="AR35">
        <f t="shared" si="25"/>
        <v>1</v>
      </c>
      <c r="AS35">
        <f t="shared" si="26"/>
        <v>0</v>
      </c>
      <c r="AU35" s="24">
        <f t="shared" si="27"/>
        <v>0.5016680469660818</v>
      </c>
      <c r="AV35" s="13">
        <f t="shared" si="28"/>
        <v>0.79479747231490316</v>
      </c>
      <c r="AW35">
        <f t="shared" si="29"/>
        <v>0.5016680469660818</v>
      </c>
      <c r="AX35">
        <f t="shared" si="30"/>
        <v>1</v>
      </c>
      <c r="AY35">
        <f t="shared" si="14"/>
        <v>0</v>
      </c>
      <c r="BA35" s="24">
        <f t="shared" si="31"/>
        <v>0.50537161770095118</v>
      </c>
      <c r="BB35" s="13">
        <f t="shared" si="32"/>
        <v>0.84252447593691338</v>
      </c>
      <c r="BC35">
        <f t="shared" si="33"/>
        <v>0.50537161770095118</v>
      </c>
      <c r="BD35">
        <f t="shared" si="34"/>
        <v>1</v>
      </c>
      <c r="BE35">
        <f t="shared" si="15"/>
        <v>0</v>
      </c>
    </row>
    <row r="36" spans="3:57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 t="shared" si="0"/>
        <v>1.3339301615609451</v>
      </c>
      <c r="R36" s="13">
        <f t="shared" si="1"/>
        <v>1.5216300992632867</v>
      </c>
      <c r="S36">
        <f t="shared" si="16"/>
        <v>1.3339301615609451</v>
      </c>
      <c r="T36">
        <f t="shared" si="17"/>
        <v>1</v>
      </c>
      <c r="U36">
        <f t="shared" si="18"/>
        <v>0</v>
      </c>
      <c r="W36" s="24">
        <f t="shared" si="2"/>
        <v>1.0232699696069463</v>
      </c>
      <c r="X36" s="13">
        <f t="shared" si="3"/>
        <v>1.0050934594722516</v>
      </c>
      <c r="Y36">
        <f t="shared" si="4"/>
        <v>1.0050934594722516</v>
      </c>
      <c r="Z36">
        <f t="shared" si="5"/>
        <v>0</v>
      </c>
      <c r="AA36">
        <f t="shared" si="6"/>
        <v>1</v>
      </c>
      <c r="AC36" s="24">
        <f t="shared" si="7"/>
        <v>1.0579866642310205</v>
      </c>
      <c r="AD36" s="13">
        <f t="shared" si="8"/>
        <v>0.87246800196242513</v>
      </c>
      <c r="AE36">
        <f t="shared" si="9"/>
        <v>0.87246800196242513</v>
      </c>
      <c r="AF36">
        <f t="shared" si="10"/>
        <v>0</v>
      </c>
      <c r="AG36">
        <f t="shared" si="11"/>
        <v>1</v>
      </c>
      <c r="AI36" s="24">
        <f t="shared" si="12"/>
        <v>1.1069635494288781</v>
      </c>
      <c r="AJ36" s="13">
        <f t="shared" si="13"/>
        <v>0.82364225427140325</v>
      </c>
      <c r="AK36">
        <f t="shared" si="19"/>
        <v>0.82364225427140325</v>
      </c>
      <c r="AL36">
        <f t="shared" si="20"/>
        <v>0</v>
      </c>
      <c r="AM36">
        <f t="shared" si="21"/>
        <v>1</v>
      </c>
      <c r="AO36" s="24">
        <f t="shared" si="22"/>
        <v>1.1263306405039475</v>
      </c>
      <c r="AP36" s="13">
        <f t="shared" si="23"/>
        <v>0.79396173804852876</v>
      </c>
      <c r="AQ36">
        <f t="shared" si="24"/>
        <v>0.79396173804852876</v>
      </c>
      <c r="AR36">
        <f t="shared" si="25"/>
        <v>0</v>
      </c>
      <c r="AS36">
        <f t="shared" si="26"/>
        <v>1</v>
      </c>
      <c r="AU36" s="24">
        <f t="shared" si="27"/>
        <v>1.1780288125232148</v>
      </c>
      <c r="AV36" s="13">
        <f t="shared" si="28"/>
        <v>0.76708130348414683</v>
      </c>
      <c r="AW36">
        <f t="shared" si="29"/>
        <v>0.76708130348414683</v>
      </c>
      <c r="AX36">
        <f t="shared" si="30"/>
        <v>0</v>
      </c>
      <c r="AY36">
        <f t="shared" si="14"/>
        <v>1</v>
      </c>
      <c r="BA36" s="24">
        <f t="shared" si="31"/>
        <v>1.1908650641313445</v>
      </c>
      <c r="BB36" s="13">
        <f t="shared" si="32"/>
        <v>0.78734628093086867</v>
      </c>
      <c r="BC36">
        <f t="shared" si="33"/>
        <v>0.78734628093086867</v>
      </c>
      <c r="BD36">
        <f t="shared" si="34"/>
        <v>0</v>
      </c>
      <c r="BE36">
        <f t="shared" si="15"/>
        <v>1</v>
      </c>
    </row>
    <row r="37" spans="3:57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 t="shared" si="0"/>
        <v>0.78219215470549031</v>
      </c>
      <c r="R37" s="13">
        <f t="shared" si="1"/>
        <v>1.215781407792462</v>
      </c>
      <c r="S37">
        <f t="shared" si="16"/>
        <v>0.78219215470549031</v>
      </c>
      <c r="T37">
        <f t="shared" si="17"/>
        <v>1</v>
      </c>
      <c r="U37">
        <f t="shared" si="18"/>
        <v>0</v>
      </c>
      <c r="W37" s="24">
        <f t="shared" si="2"/>
        <v>0.5867954330658276</v>
      </c>
      <c r="X37" s="13">
        <f t="shared" si="3"/>
        <v>0.96806311291695135</v>
      </c>
      <c r="Y37">
        <f t="shared" si="4"/>
        <v>0.5867954330658276</v>
      </c>
      <c r="Z37">
        <f t="shared" si="5"/>
        <v>1</v>
      </c>
      <c r="AA37">
        <f t="shared" si="6"/>
        <v>0</v>
      </c>
      <c r="AC37" s="24">
        <f t="shared" si="7"/>
        <v>0.58745595138897</v>
      </c>
      <c r="AD37" s="13">
        <f t="shared" si="8"/>
        <v>0.90977472497408751</v>
      </c>
      <c r="AE37">
        <f t="shared" si="9"/>
        <v>0.58745595138897</v>
      </c>
      <c r="AF37">
        <f t="shared" si="10"/>
        <v>1</v>
      </c>
      <c r="AG37">
        <f t="shared" si="11"/>
        <v>0</v>
      </c>
      <c r="AI37" s="24">
        <f t="shared" si="12"/>
        <v>0.59942964504972929</v>
      </c>
      <c r="AJ37" s="13">
        <f t="shared" si="13"/>
        <v>0.87676641196011784</v>
      </c>
      <c r="AK37">
        <f t="shared" si="19"/>
        <v>0.59942964504972929</v>
      </c>
      <c r="AL37">
        <f t="shared" si="20"/>
        <v>1</v>
      </c>
      <c r="AM37">
        <f t="shared" si="21"/>
        <v>0</v>
      </c>
      <c r="AO37" s="24">
        <f t="shared" si="22"/>
        <v>0.61115342388528382</v>
      </c>
      <c r="AP37" s="13">
        <f t="shared" si="23"/>
        <v>0.80298655448641365</v>
      </c>
      <c r="AQ37">
        <f t="shared" si="24"/>
        <v>0.61115342388528382</v>
      </c>
      <c r="AR37">
        <f t="shared" si="25"/>
        <v>1</v>
      </c>
      <c r="AS37">
        <f t="shared" si="26"/>
        <v>0</v>
      </c>
      <c r="AU37" s="24">
        <f t="shared" si="27"/>
        <v>0.66652634342710293</v>
      </c>
      <c r="AV37" s="13">
        <f t="shared" si="28"/>
        <v>0.70657158425078026</v>
      </c>
      <c r="AW37">
        <f t="shared" si="29"/>
        <v>0.66652634342710293</v>
      </c>
      <c r="AX37">
        <f t="shared" si="30"/>
        <v>1</v>
      </c>
      <c r="AY37">
        <f t="shared" si="14"/>
        <v>0</v>
      </c>
      <c r="BA37" s="24">
        <f t="shared" si="31"/>
        <v>0.67984645844170544</v>
      </c>
      <c r="BB37" s="13">
        <f t="shared" si="32"/>
        <v>0.7237910755393745</v>
      </c>
      <c r="BC37">
        <f t="shared" si="33"/>
        <v>0.67984645844170544</v>
      </c>
      <c r="BD37">
        <f t="shared" si="34"/>
        <v>1</v>
      </c>
      <c r="BE37">
        <f t="shared" si="15"/>
        <v>0</v>
      </c>
    </row>
    <row r="38" spans="3:57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 t="shared" si="0"/>
        <v>0.69367926488891174</v>
      </c>
      <c r="R38" s="13">
        <f t="shared" si="1"/>
        <v>1.2194033738822982</v>
      </c>
      <c r="S38">
        <f t="shared" si="16"/>
        <v>0.69367926488891174</v>
      </c>
      <c r="T38">
        <f t="shared" si="17"/>
        <v>1</v>
      </c>
      <c r="U38">
        <f t="shared" si="18"/>
        <v>0</v>
      </c>
      <c r="W38" s="24">
        <f t="shared" si="2"/>
        <v>0.51389280750925648</v>
      </c>
      <c r="X38" s="13">
        <f t="shared" si="3"/>
        <v>0.90732424267651324</v>
      </c>
      <c r="Y38">
        <f t="shared" si="4"/>
        <v>0.51389280750925648</v>
      </c>
      <c r="Z38">
        <f t="shared" si="5"/>
        <v>1</v>
      </c>
      <c r="AA38">
        <f t="shared" si="6"/>
        <v>0</v>
      </c>
      <c r="AC38" s="24">
        <f t="shared" si="7"/>
        <v>0.52924991943528343</v>
      </c>
      <c r="AD38" s="13">
        <f t="shared" si="8"/>
        <v>0.8065213247769335</v>
      </c>
      <c r="AE38">
        <f t="shared" si="9"/>
        <v>0.52924991943528343</v>
      </c>
      <c r="AF38">
        <f t="shared" si="10"/>
        <v>1</v>
      </c>
      <c r="AG38">
        <f t="shared" si="11"/>
        <v>0</v>
      </c>
      <c r="AI38" s="24">
        <f t="shared" si="12"/>
        <v>0.57354423358008255</v>
      </c>
      <c r="AJ38" s="13">
        <f t="shared" si="13"/>
        <v>0.72073629521691873</v>
      </c>
      <c r="AK38">
        <f t="shared" si="19"/>
        <v>0.57354423358008255</v>
      </c>
      <c r="AL38">
        <f t="shared" si="20"/>
        <v>1</v>
      </c>
      <c r="AM38">
        <f t="shared" si="21"/>
        <v>0</v>
      </c>
      <c r="AO38" s="24">
        <f t="shared" si="22"/>
        <v>0.59928796221220493</v>
      </c>
      <c r="AP38" s="13">
        <f t="shared" si="23"/>
        <v>0.61227732508097044</v>
      </c>
      <c r="AQ38">
        <f t="shared" si="24"/>
        <v>0.59928796221220493</v>
      </c>
      <c r="AR38">
        <f t="shared" si="25"/>
        <v>1</v>
      </c>
      <c r="AS38">
        <f t="shared" si="26"/>
        <v>0</v>
      </c>
      <c r="AU38" s="24">
        <f t="shared" si="27"/>
        <v>0.66344780956169969</v>
      </c>
      <c r="AV38" s="13">
        <f t="shared" si="28"/>
        <v>0.53347728527527727</v>
      </c>
      <c r="AW38">
        <f t="shared" si="29"/>
        <v>0.53347728527527727</v>
      </c>
      <c r="AX38">
        <f t="shared" si="30"/>
        <v>0</v>
      </c>
      <c r="AY38">
        <f t="shared" si="14"/>
        <v>1</v>
      </c>
      <c r="BA38" s="24">
        <f t="shared" si="31"/>
        <v>0.68355228863932704</v>
      </c>
      <c r="BB38" s="13">
        <f t="shared" si="32"/>
        <v>0.54110348918092366</v>
      </c>
      <c r="BC38">
        <f t="shared" si="33"/>
        <v>0.54110348918092366</v>
      </c>
      <c r="BD38">
        <f t="shared" si="34"/>
        <v>0</v>
      </c>
      <c r="BE38">
        <f t="shared" si="15"/>
        <v>1</v>
      </c>
    </row>
    <row r="39" spans="3:57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 t="shared" si="0"/>
        <v>0</v>
      </c>
      <c r="R39" s="13">
        <f t="shared" si="1"/>
        <v>1.4091118800565123</v>
      </c>
      <c r="S39">
        <f t="shared" si="16"/>
        <v>0</v>
      </c>
      <c r="T39">
        <f t="shared" si="17"/>
        <v>1</v>
      </c>
      <c r="U39">
        <f t="shared" si="18"/>
        <v>0</v>
      </c>
      <c r="W39" s="24">
        <f t="shared" si="2"/>
        <v>0.43248127833900074</v>
      </c>
      <c r="X39" s="13">
        <f t="shared" si="3"/>
        <v>1.1835347793263689</v>
      </c>
      <c r="Y39">
        <f t="shared" si="4"/>
        <v>0.43248127833900074</v>
      </c>
      <c r="Z39">
        <f t="shared" si="5"/>
        <v>1</v>
      </c>
      <c r="AA39">
        <f t="shared" si="6"/>
        <v>0</v>
      </c>
      <c r="AC39" s="24">
        <f t="shared" si="7"/>
        <v>0.41526544064821802</v>
      </c>
      <c r="AD39" s="13">
        <f t="shared" si="8"/>
        <v>1.0767898173041144</v>
      </c>
      <c r="AE39">
        <f t="shared" si="9"/>
        <v>0.41526544064821802</v>
      </c>
      <c r="AF39">
        <f t="shared" si="10"/>
        <v>1</v>
      </c>
      <c r="AG39">
        <f t="shared" si="11"/>
        <v>0</v>
      </c>
      <c r="AI39" s="24">
        <f t="shared" si="12"/>
        <v>0.39597388040119036</v>
      </c>
      <c r="AJ39" s="13">
        <f t="shared" si="13"/>
        <v>1.0184169621950552</v>
      </c>
      <c r="AK39">
        <f t="shared" si="19"/>
        <v>0.39597388040119036</v>
      </c>
      <c r="AL39">
        <f t="shared" si="20"/>
        <v>1</v>
      </c>
      <c r="AM39">
        <f t="shared" si="21"/>
        <v>0</v>
      </c>
      <c r="AO39" s="24">
        <f t="shared" si="22"/>
        <v>0.39880486614875099</v>
      </c>
      <c r="AP39" s="13">
        <f t="shared" si="23"/>
        <v>0.89781925860826572</v>
      </c>
      <c r="AQ39">
        <f t="shared" si="24"/>
        <v>0.39880486614875099</v>
      </c>
      <c r="AR39">
        <f t="shared" si="25"/>
        <v>1</v>
      </c>
      <c r="AS39">
        <f t="shared" si="26"/>
        <v>0</v>
      </c>
      <c r="AU39" s="24">
        <f t="shared" si="27"/>
        <v>0.3904868919095244</v>
      </c>
      <c r="AV39" s="13">
        <f t="shared" si="28"/>
        <v>0.85664109595120308</v>
      </c>
      <c r="AW39">
        <f t="shared" si="29"/>
        <v>0.3904868919095244</v>
      </c>
      <c r="AX39">
        <f t="shared" si="30"/>
        <v>1</v>
      </c>
      <c r="AY39">
        <f t="shared" si="14"/>
        <v>0</v>
      </c>
      <c r="BA39" s="24">
        <f t="shared" si="31"/>
        <v>0.39529930278013797</v>
      </c>
      <c r="BB39" s="13">
        <f t="shared" si="32"/>
        <v>0.89337072479087187</v>
      </c>
      <c r="BC39">
        <f t="shared" si="33"/>
        <v>0.39529930278013797</v>
      </c>
      <c r="BD39">
        <f t="shared" si="34"/>
        <v>1</v>
      </c>
      <c r="BE39">
        <f t="shared" si="15"/>
        <v>0</v>
      </c>
    </row>
    <row r="40" spans="3:57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 t="shared" si="0"/>
        <v>0.67043655445523864</v>
      </c>
      <c r="R40" s="13">
        <f t="shared" si="1"/>
        <v>1.5022690777480829</v>
      </c>
      <c r="S40">
        <f t="shared" si="16"/>
        <v>0.67043655445523864</v>
      </c>
      <c r="T40">
        <f t="shared" si="17"/>
        <v>1</v>
      </c>
      <c r="U40">
        <f t="shared" si="18"/>
        <v>0</v>
      </c>
      <c r="W40" s="24">
        <f t="shared" si="2"/>
        <v>0.60057032133090915</v>
      </c>
      <c r="X40" s="13">
        <f t="shared" si="3"/>
        <v>1.1241708274541633</v>
      </c>
      <c r="Y40">
        <f t="shared" si="4"/>
        <v>0.60057032133090915</v>
      </c>
      <c r="Z40">
        <f t="shared" si="5"/>
        <v>1</v>
      </c>
      <c r="AA40">
        <f t="shared" si="6"/>
        <v>0</v>
      </c>
      <c r="AC40" s="24">
        <f t="shared" si="7"/>
        <v>0.62334234352495344</v>
      </c>
      <c r="AD40" s="13">
        <f t="shared" si="8"/>
        <v>0.95834148495759042</v>
      </c>
      <c r="AE40">
        <f t="shared" si="9"/>
        <v>0.62334234352495344</v>
      </c>
      <c r="AF40">
        <f t="shared" si="10"/>
        <v>1</v>
      </c>
      <c r="AG40">
        <f t="shared" si="11"/>
        <v>0</v>
      </c>
      <c r="AI40" s="24">
        <f t="shared" si="12"/>
        <v>0.64394610346672843</v>
      </c>
      <c r="AJ40" s="13">
        <f t="shared" si="13"/>
        <v>0.89904783961478685</v>
      </c>
      <c r="AK40">
        <f t="shared" si="19"/>
        <v>0.64394610346672843</v>
      </c>
      <c r="AL40">
        <f t="shared" si="20"/>
        <v>1</v>
      </c>
      <c r="AM40">
        <f t="shared" si="21"/>
        <v>0</v>
      </c>
      <c r="AO40" s="24">
        <f t="shared" si="22"/>
        <v>0.6461657454298747</v>
      </c>
      <c r="AP40" s="13">
        <f t="shared" si="23"/>
        <v>0.80772799676187712</v>
      </c>
      <c r="AQ40">
        <f t="shared" si="24"/>
        <v>0.6461657454298747</v>
      </c>
      <c r="AR40">
        <f t="shared" si="25"/>
        <v>1</v>
      </c>
      <c r="AS40">
        <f t="shared" si="26"/>
        <v>0</v>
      </c>
      <c r="AU40" s="24">
        <f t="shared" si="27"/>
        <v>0.63121080494885873</v>
      </c>
      <c r="AV40" s="13">
        <f t="shared" si="28"/>
        <v>0.82475281906646236</v>
      </c>
      <c r="AW40">
        <f t="shared" si="29"/>
        <v>0.63121080494885873</v>
      </c>
      <c r="AX40">
        <f t="shared" si="30"/>
        <v>1</v>
      </c>
      <c r="AY40">
        <f t="shared" si="14"/>
        <v>0</v>
      </c>
      <c r="BA40" s="24">
        <f t="shared" si="31"/>
        <v>0.63375627965184345</v>
      </c>
      <c r="BB40" s="13">
        <f t="shared" si="32"/>
        <v>0.87188977852135796</v>
      </c>
      <c r="BC40">
        <f t="shared" si="33"/>
        <v>0.63375627965184345</v>
      </c>
      <c r="BD40">
        <f t="shared" si="34"/>
        <v>1</v>
      </c>
      <c r="BE40">
        <f t="shared" si="15"/>
        <v>0</v>
      </c>
    </row>
    <row r="41" spans="3:57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 t="shared" si="0"/>
        <v>0.59864644671540757</v>
      </c>
      <c r="R41" s="13">
        <f t="shared" si="1"/>
        <v>1.2504429109870858</v>
      </c>
      <c r="S41">
        <f t="shared" si="16"/>
        <v>0.59864644671540757</v>
      </c>
      <c r="T41">
        <f t="shared" si="17"/>
        <v>1</v>
      </c>
      <c r="U41">
        <f t="shared" si="18"/>
        <v>0</v>
      </c>
      <c r="W41" s="24">
        <f t="shared" si="2"/>
        <v>0.65267011224184346</v>
      </c>
      <c r="X41" s="13">
        <f t="shared" si="3"/>
        <v>1.0992534100656115</v>
      </c>
      <c r="Y41">
        <f t="shared" si="4"/>
        <v>0.65267011224184346</v>
      </c>
      <c r="Z41">
        <f t="shared" si="5"/>
        <v>1</v>
      </c>
      <c r="AA41">
        <f t="shared" si="6"/>
        <v>0</v>
      </c>
      <c r="AC41" s="24">
        <f t="shared" si="7"/>
        <v>0.66421487989075478</v>
      </c>
      <c r="AD41" s="13">
        <f t="shared" si="8"/>
        <v>0.98243569855728841</v>
      </c>
      <c r="AE41">
        <f t="shared" si="9"/>
        <v>0.66421487989075478</v>
      </c>
      <c r="AF41">
        <f t="shared" si="10"/>
        <v>1</v>
      </c>
      <c r="AG41">
        <f t="shared" si="11"/>
        <v>0</v>
      </c>
      <c r="AI41" s="24">
        <f t="shared" si="12"/>
        <v>0.69988197188492141</v>
      </c>
      <c r="AJ41" s="13">
        <f t="shared" si="13"/>
        <v>0.88740716577265355</v>
      </c>
      <c r="AK41">
        <f t="shared" si="19"/>
        <v>0.69988197188492141</v>
      </c>
      <c r="AL41">
        <f t="shared" si="20"/>
        <v>1</v>
      </c>
      <c r="AM41">
        <f t="shared" si="21"/>
        <v>0</v>
      </c>
      <c r="AO41" s="24">
        <f t="shared" si="22"/>
        <v>0.72310907468137242</v>
      </c>
      <c r="AP41" s="13">
        <f t="shared" si="23"/>
        <v>0.77979917258222109</v>
      </c>
      <c r="AQ41">
        <f t="shared" si="24"/>
        <v>0.72310907468137242</v>
      </c>
      <c r="AR41">
        <f t="shared" si="25"/>
        <v>1</v>
      </c>
      <c r="AS41">
        <f t="shared" si="26"/>
        <v>0</v>
      </c>
      <c r="AU41" s="24">
        <f t="shared" si="27"/>
        <v>0.75259662344009837</v>
      </c>
      <c r="AV41" s="13">
        <f t="shared" si="28"/>
        <v>0.76712859200236416</v>
      </c>
      <c r="AW41">
        <f t="shared" si="29"/>
        <v>0.75259662344009837</v>
      </c>
      <c r="AX41">
        <f t="shared" si="30"/>
        <v>1</v>
      </c>
      <c r="AY41">
        <f t="shared" si="14"/>
        <v>0</v>
      </c>
      <c r="BA41" s="24">
        <f t="shared" si="31"/>
        <v>0.76592536123149579</v>
      </c>
      <c r="BB41" s="13">
        <f t="shared" si="32"/>
        <v>0.76926582833220136</v>
      </c>
      <c r="BC41">
        <f t="shared" si="33"/>
        <v>0.76592536123149579</v>
      </c>
      <c r="BD41">
        <f t="shared" si="34"/>
        <v>1</v>
      </c>
      <c r="BE41">
        <f t="shared" si="15"/>
        <v>0</v>
      </c>
    </row>
    <row r="42" spans="3:57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 t="shared" ref="Q42:Q60" si="35"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 t="shared" ref="R42:R60" si="36"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16"/>
        <v>0.9936218634220676</v>
      </c>
      <c r="T42">
        <f t="shared" si="17"/>
        <v>1</v>
      </c>
      <c r="U42">
        <f t="shared" si="18"/>
        <v>0</v>
      </c>
      <c r="W42" s="24">
        <f t="shared" ref="W42:W60" si="37">SQRT(
($D$62 - D42)^2 +
($E$62 -E42)^2 +
($F$62- F42)^2 +
($G$62 - G42)^2 +
($H$62 - H42)^2 +
($I$62 - I42)^2 +
($J$62 - J42)^2 +
($K$62 - K42)^2 +
($L$62 - L42)^2 +
($M$62 - M42)^2 +
($N$62 - N42)^2 +
($O$62 - O42)^2)</f>
        <v>0.77196367085123285</v>
      </c>
      <c r="X42" s="13">
        <f t="shared" ref="X42:X60" si="38">SQRT(
($D$63 - D42)^2 +
($E$63 -E42)^2 +
($F$63- F42)^2 +
($G$63 - G42)^2 +
($H$63 - H42)^2 +
($I$63 - I42)^2 +
($J$63 - J42)^2 +
($K$63 - K42)^2 +
($L$63 - L42)^2 +
($M$63 - M42)^2 +
($N$63 - N42)^2 +
($O$63 - O42)^2)</f>
        <v>0.78115837587822112</v>
      </c>
      <c r="Y42">
        <f t="shared" ref="Y42:Y73" si="39">MIN(W42:X42)</f>
        <v>0.77196367085123285</v>
      </c>
      <c r="Z42">
        <f t="shared" ref="Z42:Z73" si="40">IF(Y42 =W42,1,0)</f>
        <v>1</v>
      </c>
      <c r="AA42">
        <f t="shared" ref="AA42:AA60" si="41">IF(Y42 = X42, 1, 0)</f>
        <v>0</v>
      </c>
      <c r="AC42" s="24">
        <f t="shared" ref="AC42:AC60" si="42">SQRT(
($D$66 - D42)^2 +
($E$66 -E42)^2 +
($F$66- F42)^2 +
($G$66 - G42)^2 +
($H$66 - H42)^2 +
($I$66 - I42)^2 +
($J$66 - J42)^2 +
($K$66 - K42)^2 +
($L$66 - L42)^2 +
($M$66 - M42)^2 +
($N$66 - N42)^2 +
($O$66 - O42)^2)</f>
        <v>0.80236397074267218</v>
      </c>
      <c r="AD42" s="13">
        <f t="shared" ref="AD42:AD60" si="43">SQRT(
($D$67 - D42)^2 +
($E$67 -E42)^2 +
($F$67- F42)^2 +
($G$67 - G42)^2 +
($H$67 - H42)^2 +
($I$67 - I42)^2 +
($J$67 - J42)^2 +
($K$67 - K42)^2 +
($L$67 - L42)^2 +
($M$67 - M42)^2 +
($N$67 - N42)^2 +
($O$67 - O42)^2)</f>
        <v>0.68074032065418388</v>
      </c>
      <c r="AE42">
        <f t="shared" ref="AE42:AE73" si="44">MIN(AC42:AD42)</f>
        <v>0.68074032065418388</v>
      </c>
      <c r="AF42">
        <f t="shared" ref="AF42:AF73" si="45">IF(AE42 =AC42,1,0)</f>
        <v>0</v>
      </c>
      <c r="AG42">
        <f t="shared" ref="AG42:AG60" si="46">IF(AE42 = AD42, 1, 0)</f>
        <v>1</v>
      </c>
      <c r="AI42" s="24">
        <f t="shared" ref="AI42:AI60" si="47">SQRT(
($D$70 - D42)^2 +
($E$70 -E42)^2 +
($F$70 - F42)^2 +
($G$70 - G42)^2 +
($H$70 - H42)^2 +
($I$70 - I42)^2 +
($J$70 - J42)^2 +
($K$70 - K42)^2 +
($L$70 - L42)^2 +
($M$70 - M42)^2 +
($N$70 - N42)^2 +
($O$70 - O42)^2)</f>
        <v>0.87011905056176175</v>
      </c>
      <c r="AJ42" s="13">
        <f t="shared" ref="AJ42:AJ60" si="48">SQRT(
($D$71 - D42)^2 +
($E$71 -E42)^2 +
($F$71 - F42)^2 +
($G$71 - G42)^2 +
($H$71 - H42)^2 +
($I$71 - I42)^2 +
($J$71 - J42)^2 +
($K$71 - K42)^2 +
($L$71 - L42)^2 +
($M$71 - M42)^2 +
($N$71 - N42)^2 +
($O$71 - O42)^2)</f>
        <v>0.55088939172521711</v>
      </c>
      <c r="AK42">
        <f t="shared" si="19"/>
        <v>0.55088939172521711</v>
      </c>
      <c r="AL42">
        <f t="shared" si="20"/>
        <v>0</v>
      </c>
      <c r="AM42">
        <f t="shared" si="21"/>
        <v>1</v>
      </c>
      <c r="AO42" s="24">
        <f t="shared" si="22"/>
        <v>0.89916083481423392</v>
      </c>
      <c r="AP42" s="13">
        <f t="shared" si="23"/>
        <v>0.46124511237490046</v>
      </c>
      <c r="AQ42">
        <f t="shared" si="24"/>
        <v>0.46124511237490046</v>
      </c>
      <c r="AR42">
        <f t="shared" si="25"/>
        <v>0</v>
      </c>
      <c r="AS42">
        <f t="shared" si="26"/>
        <v>1</v>
      </c>
      <c r="AU42" s="24">
        <f t="shared" si="27"/>
        <v>0.96370227183769297</v>
      </c>
      <c r="AV42" s="13">
        <f t="shared" si="28"/>
        <v>0.4436273721990418</v>
      </c>
      <c r="AW42">
        <f t="shared" si="29"/>
        <v>0.4436273721990418</v>
      </c>
      <c r="AX42">
        <f t="shared" si="30"/>
        <v>0</v>
      </c>
      <c r="AY42">
        <f t="shared" si="14"/>
        <v>1</v>
      </c>
      <c r="BA42" s="24">
        <f t="shared" si="31"/>
        <v>0.97678539877407622</v>
      </c>
      <c r="BB42" s="13">
        <f t="shared" si="32"/>
        <v>0.4531935188983906</v>
      </c>
      <c r="BC42">
        <f t="shared" si="33"/>
        <v>0.4531935188983906</v>
      </c>
      <c r="BD42">
        <f t="shared" si="34"/>
        <v>0</v>
      </c>
      <c r="BE42">
        <f t="shared" si="15"/>
        <v>1</v>
      </c>
    </row>
    <row r="43" spans="3:57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 t="shared" si="35"/>
        <v>1.0339992313417994</v>
      </c>
      <c r="R43" s="13">
        <f t="shared" si="36"/>
        <v>1.0385801872669349</v>
      </c>
      <c r="S43">
        <f t="shared" si="16"/>
        <v>1.0339992313417994</v>
      </c>
      <c r="T43">
        <f t="shared" si="17"/>
        <v>1</v>
      </c>
      <c r="U43">
        <f t="shared" si="18"/>
        <v>0</v>
      </c>
      <c r="W43" s="24">
        <f t="shared" si="37"/>
        <v>0.82125975311266641</v>
      </c>
      <c r="X43" s="13">
        <f t="shared" si="38"/>
        <v>0.84302727800248123</v>
      </c>
      <c r="Y43">
        <f t="shared" si="39"/>
        <v>0.82125975311266641</v>
      </c>
      <c r="Z43">
        <f t="shared" si="40"/>
        <v>1</v>
      </c>
      <c r="AA43">
        <f t="shared" si="41"/>
        <v>0</v>
      </c>
      <c r="AC43" s="24">
        <f t="shared" si="42"/>
        <v>0.85193956430366358</v>
      </c>
      <c r="AD43" s="13">
        <f t="shared" si="43"/>
        <v>0.73457282224226739</v>
      </c>
      <c r="AE43">
        <f t="shared" si="44"/>
        <v>0.73457282224226739</v>
      </c>
      <c r="AF43">
        <f t="shared" si="45"/>
        <v>0</v>
      </c>
      <c r="AG43">
        <f t="shared" si="46"/>
        <v>1</v>
      </c>
      <c r="AI43" s="24">
        <f t="shared" si="47"/>
        <v>0.90301975337009666</v>
      </c>
      <c r="AJ43" s="13">
        <f t="shared" si="48"/>
        <v>0.67402420641811922</v>
      </c>
      <c r="AK43">
        <f t="shared" si="19"/>
        <v>0.67402420641811922</v>
      </c>
      <c r="AL43">
        <f t="shared" si="20"/>
        <v>0</v>
      </c>
      <c r="AM43">
        <f t="shared" si="21"/>
        <v>1</v>
      </c>
      <c r="AO43" s="24">
        <f t="shared" si="22"/>
        <v>0.92663855814552509</v>
      </c>
      <c r="AP43" s="13">
        <f t="shared" si="23"/>
        <v>0.64553383509187889</v>
      </c>
      <c r="AQ43">
        <f t="shared" si="24"/>
        <v>0.64553383509187889</v>
      </c>
      <c r="AR43">
        <f t="shared" si="25"/>
        <v>0</v>
      </c>
      <c r="AS43">
        <f t="shared" si="26"/>
        <v>1</v>
      </c>
      <c r="AU43" s="24">
        <f t="shared" si="27"/>
        <v>0.97901353308666261</v>
      </c>
      <c r="AV43" s="13">
        <f t="shared" si="28"/>
        <v>0.6224683981068081</v>
      </c>
      <c r="AW43">
        <f t="shared" si="29"/>
        <v>0.6224683981068081</v>
      </c>
      <c r="AX43">
        <f t="shared" si="30"/>
        <v>0</v>
      </c>
      <c r="AY43">
        <f t="shared" si="14"/>
        <v>1</v>
      </c>
      <c r="BA43" s="24">
        <f t="shared" si="31"/>
        <v>0.99368313784299012</v>
      </c>
      <c r="BB43" s="13">
        <f t="shared" si="32"/>
        <v>0.60428421109932318</v>
      </c>
      <c r="BC43">
        <f t="shared" si="33"/>
        <v>0.60428421109932318</v>
      </c>
      <c r="BD43">
        <f t="shared" si="34"/>
        <v>0</v>
      </c>
      <c r="BE43">
        <f t="shared" si="15"/>
        <v>1</v>
      </c>
    </row>
    <row r="44" spans="3:57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 t="shared" si="35"/>
        <v>0.74305418946073543</v>
      </c>
      <c r="R44" s="13">
        <f t="shared" si="36"/>
        <v>1.6687964804098965</v>
      </c>
      <c r="S44">
        <f t="shared" si="16"/>
        <v>0.74305418946073543</v>
      </c>
      <c r="T44">
        <f t="shared" si="17"/>
        <v>1</v>
      </c>
      <c r="U44">
        <f t="shared" si="18"/>
        <v>0</v>
      </c>
      <c r="W44" s="24">
        <f t="shared" si="37"/>
        <v>0.67513462784219247</v>
      </c>
      <c r="X44" s="13">
        <f t="shared" si="38"/>
        <v>1.3821471955545674</v>
      </c>
      <c r="Y44">
        <f t="shared" si="39"/>
        <v>0.67513462784219247</v>
      </c>
      <c r="Z44">
        <f t="shared" si="40"/>
        <v>1</v>
      </c>
      <c r="AA44">
        <f t="shared" si="41"/>
        <v>0</v>
      </c>
      <c r="AC44" s="24">
        <f t="shared" si="42"/>
        <v>0.67170380636578109</v>
      </c>
      <c r="AD44" s="13">
        <f t="shared" si="43"/>
        <v>1.2409759942183203</v>
      </c>
      <c r="AE44">
        <f t="shared" si="44"/>
        <v>0.67170380636578109</v>
      </c>
      <c r="AF44">
        <f t="shared" si="45"/>
        <v>1</v>
      </c>
      <c r="AG44">
        <f t="shared" si="46"/>
        <v>0</v>
      </c>
      <c r="AI44" s="24">
        <f t="shared" si="47"/>
        <v>0.65187664269083012</v>
      </c>
      <c r="AJ44" s="13">
        <f t="shared" si="48"/>
        <v>1.1912123692148502</v>
      </c>
      <c r="AK44">
        <f t="shared" si="19"/>
        <v>0.65187664269083012</v>
      </c>
      <c r="AL44">
        <f t="shared" si="20"/>
        <v>1</v>
      </c>
      <c r="AM44">
        <f t="shared" si="21"/>
        <v>0</v>
      </c>
      <c r="AO44" s="24">
        <f t="shared" si="22"/>
        <v>0.6368298162988616</v>
      </c>
      <c r="AP44" s="13">
        <f t="shared" si="23"/>
        <v>1.1004928172596489</v>
      </c>
      <c r="AQ44">
        <f t="shared" si="24"/>
        <v>0.6368298162988616</v>
      </c>
      <c r="AR44">
        <f t="shared" si="25"/>
        <v>1</v>
      </c>
      <c r="AS44">
        <f t="shared" si="26"/>
        <v>0</v>
      </c>
      <c r="AU44" s="24">
        <f t="shared" si="27"/>
        <v>0.58810146442508793</v>
      </c>
      <c r="AV44" s="13">
        <f t="shared" si="28"/>
        <v>1.0778123571282543</v>
      </c>
      <c r="AW44">
        <f t="shared" si="29"/>
        <v>0.58810146442508793</v>
      </c>
      <c r="AX44">
        <f t="shared" si="30"/>
        <v>1</v>
      </c>
      <c r="AY44">
        <f t="shared" si="14"/>
        <v>0</v>
      </c>
      <c r="BA44" s="24">
        <f t="shared" si="31"/>
        <v>0.57451661150752209</v>
      </c>
      <c r="BB44" s="13">
        <f t="shared" si="32"/>
        <v>1.1383334491537529</v>
      </c>
      <c r="BC44">
        <f t="shared" si="33"/>
        <v>0.57451661150752209</v>
      </c>
      <c r="BD44">
        <f t="shared" si="34"/>
        <v>1</v>
      </c>
      <c r="BE44">
        <f t="shared" si="15"/>
        <v>0</v>
      </c>
    </row>
    <row r="45" spans="3:57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 t="shared" si="35"/>
        <v>0.702214678351611</v>
      </c>
      <c r="R45" s="13">
        <f t="shared" si="36"/>
        <v>1.5995397033031862</v>
      </c>
      <c r="S45">
        <f t="shared" si="16"/>
        <v>0.702214678351611</v>
      </c>
      <c r="T45">
        <f t="shared" si="17"/>
        <v>1</v>
      </c>
      <c r="U45">
        <f t="shared" si="18"/>
        <v>0</v>
      </c>
      <c r="W45" s="24">
        <f t="shared" si="37"/>
        <v>0.74165905917747588</v>
      </c>
      <c r="X45" s="13">
        <f t="shared" si="38"/>
        <v>1.4112621171752568</v>
      </c>
      <c r="Y45">
        <f t="shared" si="39"/>
        <v>0.74165905917747588</v>
      </c>
      <c r="Z45">
        <f t="shared" si="40"/>
        <v>1</v>
      </c>
      <c r="AA45">
        <f t="shared" si="41"/>
        <v>0</v>
      </c>
      <c r="AC45" s="24">
        <f t="shared" si="42"/>
        <v>0.7228165337419441</v>
      </c>
      <c r="AD45" s="13">
        <f t="shared" si="43"/>
        <v>1.3183224688613722</v>
      </c>
      <c r="AE45">
        <f t="shared" si="44"/>
        <v>0.7228165337419441</v>
      </c>
      <c r="AF45">
        <f t="shared" si="45"/>
        <v>1</v>
      </c>
      <c r="AG45">
        <f t="shared" si="46"/>
        <v>0</v>
      </c>
      <c r="AI45" s="24">
        <f t="shared" si="47"/>
        <v>0.70411512898721684</v>
      </c>
      <c r="AJ45" s="13">
        <f t="shared" si="48"/>
        <v>1.2567120226284629</v>
      </c>
      <c r="AK45">
        <f t="shared" si="19"/>
        <v>0.70411512898721684</v>
      </c>
      <c r="AL45">
        <f t="shared" si="20"/>
        <v>1</v>
      </c>
      <c r="AM45">
        <f t="shared" si="21"/>
        <v>0</v>
      </c>
      <c r="AO45" s="24">
        <f t="shared" si="22"/>
        <v>0.69441058786955678</v>
      </c>
      <c r="AP45" s="13">
        <f t="shared" si="23"/>
        <v>1.1644324963190889</v>
      </c>
      <c r="AQ45">
        <f t="shared" si="24"/>
        <v>0.69441058786955678</v>
      </c>
      <c r="AR45">
        <f t="shared" si="25"/>
        <v>1</v>
      </c>
      <c r="AS45">
        <f t="shared" si="26"/>
        <v>0</v>
      </c>
      <c r="AU45" s="24">
        <f t="shared" si="27"/>
        <v>0.65900535612969835</v>
      </c>
      <c r="AV45" s="13">
        <f t="shared" si="28"/>
        <v>1.134973838088253</v>
      </c>
      <c r="AW45">
        <f t="shared" si="29"/>
        <v>0.65900535612969835</v>
      </c>
      <c r="AX45">
        <f t="shared" si="30"/>
        <v>1</v>
      </c>
      <c r="AY45">
        <f t="shared" si="14"/>
        <v>0</v>
      </c>
      <c r="BA45" s="24">
        <f t="shared" si="31"/>
        <v>0.64889249886850675</v>
      </c>
      <c r="BB45" s="13">
        <f t="shared" si="32"/>
        <v>1.1796422161513047</v>
      </c>
      <c r="BC45">
        <f t="shared" si="33"/>
        <v>0.64889249886850675</v>
      </c>
      <c r="BD45">
        <f t="shared" si="34"/>
        <v>1</v>
      </c>
      <c r="BE45">
        <f t="shared" si="15"/>
        <v>0</v>
      </c>
    </row>
    <row r="46" spans="3:57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 t="shared" si="35"/>
        <v>1.2252574145911417</v>
      </c>
      <c r="R46" s="13">
        <f t="shared" si="36"/>
        <v>1.4702937619695247</v>
      </c>
      <c r="S46">
        <f t="shared" si="16"/>
        <v>1.2252574145911417</v>
      </c>
      <c r="T46">
        <f t="shared" si="17"/>
        <v>1</v>
      </c>
      <c r="U46">
        <f t="shared" si="18"/>
        <v>0</v>
      </c>
      <c r="W46" s="24">
        <f t="shared" si="37"/>
        <v>0.98710535359237106</v>
      </c>
      <c r="X46" s="13">
        <f t="shared" si="38"/>
        <v>1.0069814275965738</v>
      </c>
      <c r="Y46">
        <f t="shared" si="39"/>
        <v>0.98710535359237106</v>
      </c>
      <c r="Z46">
        <f t="shared" si="40"/>
        <v>1</v>
      </c>
      <c r="AA46">
        <f t="shared" si="41"/>
        <v>0</v>
      </c>
      <c r="AC46" s="24">
        <f t="shared" si="42"/>
        <v>1.0238168147953823</v>
      </c>
      <c r="AD46" s="13">
        <f t="shared" si="43"/>
        <v>0.85546757890241487</v>
      </c>
      <c r="AE46">
        <f t="shared" si="44"/>
        <v>0.85546757890241487</v>
      </c>
      <c r="AF46">
        <f t="shared" si="45"/>
        <v>0</v>
      </c>
      <c r="AG46">
        <f t="shared" si="46"/>
        <v>1</v>
      </c>
      <c r="AI46" s="24">
        <f t="shared" si="47"/>
        <v>1.0977554258642763</v>
      </c>
      <c r="AJ46" s="13">
        <f t="shared" si="48"/>
        <v>0.69264051521698589</v>
      </c>
      <c r="AK46">
        <f t="shared" si="19"/>
        <v>0.69264051521698589</v>
      </c>
      <c r="AL46">
        <f t="shared" si="20"/>
        <v>0</v>
      </c>
      <c r="AM46">
        <f t="shared" si="21"/>
        <v>1</v>
      </c>
      <c r="AO46" s="24">
        <f t="shared" si="22"/>
        <v>1.1237557762740655</v>
      </c>
      <c r="AP46" s="13">
        <f t="shared" si="23"/>
        <v>0.6406742079948623</v>
      </c>
      <c r="AQ46">
        <f t="shared" si="24"/>
        <v>0.6406742079948623</v>
      </c>
      <c r="AR46">
        <f t="shared" si="25"/>
        <v>0</v>
      </c>
      <c r="AS46">
        <f t="shared" si="26"/>
        <v>1</v>
      </c>
      <c r="AU46" s="24">
        <f t="shared" si="27"/>
        <v>1.1650160061799215</v>
      </c>
      <c r="AV46" s="13">
        <f t="shared" si="28"/>
        <v>0.70606495143745185</v>
      </c>
      <c r="AW46">
        <f t="shared" si="29"/>
        <v>0.70606495143745185</v>
      </c>
      <c r="AX46">
        <f t="shared" si="30"/>
        <v>0</v>
      </c>
      <c r="AY46">
        <f t="shared" si="14"/>
        <v>1</v>
      </c>
      <c r="BA46" s="24">
        <f t="shared" si="31"/>
        <v>1.1761059653151902</v>
      </c>
      <c r="BB46" s="13">
        <f t="shared" si="32"/>
        <v>0.71262894809717003</v>
      </c>
      <c r="BC46">
        <f t="shared" si="33"/>
        <v>0.71262894809717003</v>
      </c>
      <c r="BD46">
        <f t="shared" si="34"/>
        <v>0</v>
      </c>
      <c r="BE46">
        <f t="shared" si="15"/>
        <v>1</v>
      </c>
    </row>
    <row r="47" spans="3:57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 t="shared" si="35"/>
        <v>0.65226434889175378</v>
      </c>
      <c r="R47" s="13">
        <f t="shared" si="36"/>
        <v>1.7203130623694967</v>
      </c>
      <c r="S47">
        <f t="shared" si="16"/>
        <v>0.65226434889175378</v>
      </c>
      <c r="T47">
        <f t="shared" si="17"/>
        <v>1</v>
      </c>
      <c r="U47">
        <f t="shared" si="18"/>
        <v>0</v>
      </c>
      <c r="W47" s="24">
        <f t="shared" si="37"/>
        <v>0.77135061821521633</v>
      </c>
      <c r="X47" s="13">
        <f t="shared" si="38"/>
        <v>1.5248961592641843</v>
      </c>
      <c r="Y47">
        <f t="shared" si="39"/>
        <v>0.77135061821521633</v>
      </c>
      <c r="Z47">
        <f t="shared" si="40"/>
        <v>1</v>
      </c>
      <c r="AA47">
        <f t="shared" si="41"/>
        <v>0</v>
      </c>
      <c r="AC47" s="24">
        <f t="shared" si="42"/>
        <v>0.73517162802952141</v>
      </c>
      <c r="AD47" s="13">
        <f t="shared" si="43"/>
        <v>1.4515304096981743</v>
      </c>
      <c r="AE47">
        <f t="shared" si="44"/>
        <v>0.73517162802952141</v>
      </c>
      <c r="AF47">
        <f t="shared" si="45"/>
        <v>1</v>
      </c>
      <c r="AG47">
        <f t="shared" si="46"/>
        <v>0</v>
      </c>
      <c r="AI47" s="24">
        <f t="shared" si="47"/>
        <v>0.691766789452677</v>
      </c>
      <c r="AJ47" s="13">
        <f t="shared" si="48"/>
        <v>1.3959830976318834</v>
      </c>
      <c r="AK47">
        <f t="shared" si="19"/>
        <v>0.691766789452677</v>
      </c>
      <c r="AL47">
        <f t="shared" si="20"/>
        <v>1</v>
      </c>
      <c r="AM47">
        <f t="shared" si="21"/>
        <v>0</v>
      </c>
      <c r="AO47" s="24">
        <f t="shared" si="22"/>
        <v>0.67567744374872929</v>
      </c>
      <c r="AP47" s="13">
        <f t="shared" si="23"/>
        <v>1.2899236267084813</v>
      </c>
      <c r="AQ47">
        <f t="shared" si="24"/>
        <v>0.67567744374872929</v>
      </c>
      <c r="AR47">
        <f t="shared" si="25"/>
        <v>1</v>
      </c>
      <c r="AS47">
        <f t="shared" si="26"/>
        <v>0</v>
      </c>
      <c r="AU47" s="24">
        <f t="shared" si="27"/>
        <v>0.65250222846056871</v>
      </c>
      <c r="AV47" s="13">
        <f t="shared" si="28"/>
        <v>1.2238511596991994</v>
      </c>
      <c r="AW47">
        <f t="shared" si="29"/>
        <v>0.65250222846056871</v>
      </c>
      <c r="AX47">
        <f t="shared" si="30"/>
        <v>1</v>
      </c>
      <c r="AY47">
        <f t="shared" si="14"/>
        <v>0</v>
      </c>
      <c r="BA47" s="24">
        <f t="shared" si="31"/>
        <v>0.64546183253873846</v>
      </c>
      <c r="BB47" s="13">
        <f t="shared" si="32"/>
        <v>1.2667072816807032</v>
      </c>
      <c r="BC47">
        <f t="shared" si="33"/>
        <v>0.64546183253873846</v>
      </c>
      <c r="BD47">
        <f t="shared" si="34"/>
        <v>1</v>
      </c>
      <c r="BE47">
        <f t="shared" si="15"/>
        <v>0</v>
      </c>
    </row>
    <row r="48" spans="3:57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 t="shared" si="35"/>
        <v>1.4193422831998526</v>
      </c>
      <c r="R48" s="13">
        <f t="shared" si="36"/>
        <v>2.0603241485329091</v>
      </c>
      <c r="S48">
        <f t="shared" si="16"/>
        <v>1.4193422831998526</v>
      </c>
      <c r="T48">
        <f t="shared" si="17"/>
        <v>1</v>
      </c>
      <c r="U48">
        <f t="shared" si="18"/>
        <v>0</v>
      </c>
      <c r="W48" s="24">
        <f t="shared" si="37"/>
        <v>1.2760166229011021</v>
      </c>
      <c r="X48" s="13">
        <f t="shared" si="38"/>
        <v>1.8667144222156258</v>
      </c>
      <c r="Y48">
        <f t="shared" si="39"/>
        <v>1.2760166229011021</v>
      </c>
      <c r="Z48">
        <f t="shared" si="40"/>
        <v>1</v>
      </c>
      <c r="AA48">
        <f t="shared" si="41"/>
        <v>0</v>
      </c>
      <c r="AC48" s="24">
        <f t="shared" si="42"/>
        <v>1.2574217645758643</v>
      </c>
      <c r="AD48" s="13">
        <f t="shared" si="43"/>
        <v>1.7855176095311898</v>
      </c>
      <c r="AE48">
        <f t="shared" si="44"/>
        <v>1.2574217645758643</v>
      </c>
      <c r="AF48">
        <f t="shared" si="45"/>
        <v>1</v>
      </c>
      <c r="AG48">
        <f t="shared" si="46"/>
        <v>0</v>
      </c>
      <c r="AI48" s="24">
        <f t="shared" si="47"/>
        <v>1.2330624526430498</v>
      </c>
      <c r="AJ48" s="13">
        <f t="shared" si="48"/>
        <v>1.7359531773969339</v>
      </c>
      <c r="AK48">
        <f t="shared" si="19"/>
        <v>1.2330624526430498</v>
      </c>
      <c r="AL48">
        <f t="shared" si="20"/>
        <v>1</v>
      </c>
      <c r="AM48">
        <f t="shared" si="21"/>
        <v>0</v>
      </c>
      <c r="AO48" s="24">
        <f t="shared" si="22"/>
        <v>1.2209766877225496</v>
      </c>
      <c r="AP48" s="13">
        <f t="shared" si="23"/>
        <v>1.6629071763039811</v>
      </c>
      <c r="AQ48">
        <f t="shared" si="24"/>
        <v>1.2209766877225496</v>
      </c>
      <c r="AR48">
        <f t="shared" si="25"/>
        <v>1</v>
      </c>
      <c r="AS48">
        <f t="shared" si="26"/>
        <v>0</v>
      </c>
      <c r="AU48" s="24">
        <f t="shared" si="27"/>
        <v>1.1890914279117042</v>
      </c>
      <c r="AV48" s="13">
        <f t="shared" si="28"/>
        <v>1.6147032605882234</v>
      </c>
      <c r="AW48">
        <f t="shared" si="29"/>
        <v>1.1890914279117042</v>
      </c>
      <c r="AX48">
        <f t="shared" si="30"/>
        <v>1</v>
      </c>
      <c r="AY48">
        <f t="shared" si="14"/>
        <v>0</v>
      </c>
      <c r="BA48" s="24">
        <f t="shared" si="31"/>
        <v>1.1788214916413509</v>
      </c>
      <c r="BB48" s="13">
        <f t="shared" si="32"/>
        <v>1.665832890330109</v>
      </c>
      <c r="BC48">
        <f t="shared" si="33"/>
        <v>1.1788214916413509</v>
      </c>
      <c r="BD48">
        <f t="shared" si="34"/>
        <v>1</v>
      </c>
      <c r="BE48">
        <f t="shared" si="15"/>
        <v>0</v>
      </c>
    </row>
    <row r="49" spans="2:57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 t="shared" si="35"/>
        <v>1.3741023153457614</v>
      </c>
      <c r="R49" s="13">
        <f t="shared" si="36"/>
        <v>1.3614453032900904</v>
      </c>
      <c r="S49">
        <f t="shared" si="16"/>
        <v>1.3614453032900904</v>
      </c>
      <c r="T49">
        <f t="shared" si="17"/>
        <v>0</v>
      </c>
      <c r="U49">
        <f t="shared" si="18"/>
        <v>1</v>
      </c>
      <c r="W49" s="24">
        <f t="shared" si="37"/>
        <v>1.1305299369734265</v>
      </c>
      <c r="X49" s="13">
        <f t="shared" si="38"/>
        <v>0.84098677108073538</v>
      </c>
      <c r="Y49">
        <f t="shared" si="39"/>
        <v>0.84098677108073538</v>
      </c>
      <c r="Z49">
        <f t="shared" si="40"/>
        <v>0</v>
      </c>
      <c r="AA49">
        <f t="shared" si="41"/>
        <v>1</v>
      </c>
      <c r="AC49" s="24">
        <f t="shared" si="42"/>
        <v>1.1648048058343055</v>
      </c>
      <c r="AD49" s="13">
        <f t="shared" si="43"/>
        <v>0.77772738272891972</v>
      </c>
      <c r="AE49">
        <f t="shared" si="44"/>
        <v>0.77772738272891972</v>
      </c>
      <c r="AF49">
        <f t="shared" si="45"/>
        <v>0</v>
      </c>
      <c r="AG49">
        <f t="shared" si="46"/>
        <v>1</v>
      </c>
      <c r="AI49" s="24">
        <f t="shared" si="47"/>
        <v>1.2220967672657019</v>
      </c>
      <c r="AJ49" s="13">
        <f t="shared" si="48"/>
        <v>0.74073706277296703</v>
      </c>
      <c r="AK49">
        <f t="shared" si="19"/>
        <v>0.74073706277296703</v>
      </c>
      <c r="AL49">
        <f t="shared" si="20"/>
        <v>0</v>
      </c>
      <c r="AM49">
        <f t="shared" si="21"/>
        <v>1</v>
      </c>
      <c r="AO49" s="24">
        <f t="shared" si="22"/>
        <v>1.2453667451551331</v>
      </c>
      <c r="AP49" s="13">
        <f t="shared" si="23"/>
        <v>0.74557461757917032</v>
      </c>
      <c r="AQ49">
        <f t="shared" si="24"/>
        <v>0.74557461757917032</v>
      </c>
      <c r="AR49">
        <f t="shared" si="25"/>
        <v>0</v>
      </c>
      <c r="AS49">
        <f t="shared" si="26"/>
        <v>1</v>
      </c>
      <c r="AU49" s="24">
        <f t="shared" si="27"/>
        <v>1.3104584528536172</v>
      </c>
      <c r="AV49" s="13">
        <f t="shared" si="28"/>
        <v>0.73627333017781382</v>
      </c>
      <c r="AW49">
        <f t="shared" si="29"/>
        <v>0.73627333017781382</v>
      </c>
      <c r="AX49">
        <f t="shared" si="30"/>
        <v>0</v>
      </c>
      <c r="AY49">
        <f t="shared" si="14"/>
        <v>1</v>
      </c>
      <c r="BA49" s="24">
        <f t="shared" si="31"/>
        <v>1.3218112701710876</v>
      </c>
      <c r="BB49" s="13">
        <f t="shared" si="32"/>
        <v>0.72734088350104764</v>
      </c>
      <c r="BC49">
        <f t="shared" si="33"/>
        <v>0.72734088350104764</v>
      </c>
      <c r="BD49">
        <f t="shared" si="34"/>
        <v>0</v>
      </c>
      <c r="BE49">
        <f t="shared" si="15"/>
        <v>1</v>
      </c>
    </row>
    <row r="50" spans="2:57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 t="shared" si="35"/>
        <v>0.83975598194566248</v>
      </c>
      <c r="R50" s="13">
        <f t="shared" si="36"/>
        <v>1.8052053833124078</v>
      </c>
      <c r="S50">
        <f t="shared" si="16"/>
        <v>0.83975598194566248</v>
      </c>
      <c r="T50">
        <f t="shared" si="17"/>
        <v>1</v>
      </c>
      <c r="U50">
        <f t="shared" si="18"/>
        <v>0</v>
      </c>
      <c r="W50" s="24">
        <f t="shared" si="37"/>
        <v>0.80538300621265058</v>
      </c>
      <c r="X50" s="13">
        <f t="shared" si="38"/>
        <v>1.5146577705940651</v>
      </c>
      <c r="Y50">
        <f t="shared" si="39"/>
        <v>0.80538300621265058</v>
      </c>
      <c r="Z50">
        <f t="shared" si="40"/>
        <v>1</v>
      </c>
      <c r="AA50">
        <f t="shared" si="41"/>
        <v>0</v>
      </c>
      <c r="AC50" s="24">
        <f t="shared" si="42"/>
        <v>0.77706864194289038</v>
      </c>
      <c r="AD50" s="13">
        <f t="shared" si="43"/>
        <v>1.4341082008594428</v>
      </c>
      <c r="AE50">
        <f t="shared" si="44"/>
        <v>0.77706864194289038</v>
      </c>
      <c r="AF50">
        <f t="shared" si="45"/>
        <v>1</v>
      </c>
      <c r="AG50">
        <f t="shared" si="46"/>
        <v>0</v>
      </c>
      <c r="AI50" s="24">
        <f t="shared" si="47"/>
        <v>0.75521175707965083</v>
      </c>
      <c r="AJ50" s="13">
        <f t="shared" si="48"/>
        <v>1.3586518747787937</v>
      </c>
      <c r="AK50">
        <f t="shared" si="19"/>
        <v>0.75521175707965083</v>
      </c>
      <c r="AL50">
        <f t="shared" si="20"/>
        <v>1</v>
      </c>
      <c r="AM50">
        <f t="shared" si="21"/>
        <v>0</v>
      </c>
      <c r="AO50" s="24">
        <f t="shared" si="22"/>
        <v>0.75514747027655604</v>
      </c>
      <c r="AP50" s="13">
        <f t="shared" si="23"/>
        <v>1.237023407057219</v>
      </c>
      <c r="AQ50">
        <f t="shared" si="24"/>
        <v>0.75514747027655604</v>
      </c>
      <c r="AR50">
        <f t="shared" si="25"/>
        <v>1</v>
      </c>
      <c r="AS50">
        <f t="shared" si="26"/>
        <v>0</v>
      </c>
      <c r="AU50" s="24">
        <f t="shared" si="27"/>
        <v>0.75753292332236877</v>
      </c>
      <c r="AV50" s="13">
        <f t="shared" si="28"/>
        <v>1.1633746184072862</v>
      </c>
      <c r="AW50">
        <f t="shared" si="29"/>
        <v>0.75753292332236877</v>
      </c>
      <c r="AX50">
        <f t="shared" si="30"/>
        <v>1</v>
      </c>
      <c r="AY50">
        <f t="shared" si="14"/>
        <v>0</v>
      </c>
      <c r="BA50" s="24">
        <f t="shared" si="31"/>
        <v>0.75569839639925496</v>
      </c>
      <c r="BB50" s="13">
        <f t="shared" si="32"/>
        <v>1.2109726771407932</v>
      </c>
      <c r="BC50">
        <f t="shared" si="33"/>
        <v>0.75569839639925496</v>
      </c>
      <c r="BD50">
        <f t="shared" si="34"/>
        <v>1</v>
      </c>
      <c r="BE50">
        <f t="shared" si="15"/>
        <v>0</v>
      </c>
    </row>
    <row r="51" spans="2:57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 t="shared" si="35"/>
        <v>1.2022582155065511</v>
      </c>
      <c r="R51" s="13">
        <f t="shared" si="36"/>
        <v>1.4577777042348152</v>
      </c>
      <c r="S51">
        <f t="shared" si="16"/>
        <v>1.2022582155065511</v>
      </c>
      <c r="T51">
        <f t="shared" si="17"/>
        <v>1</v>
      </c>
      <c r="U51">
        <f t="shared" si="18"/>
        <v>0</v>
      </c>
      <c r="W51" s="24">
        <f t="shared" si="37"/>
        <v>0.97045642494962314</v>
      </c>
      <c r="X51" s="13">
        <f t="shared" si="38"/>
        <v>0.98512304492803593</v>
      </c>
      <c r="Y51">
        <f t="shared" si="39"/>
        <v>0.97045642494962314</v>
      </c>
      <c r="Z51">
        <f t="shared" si="40"/>
        <v>1</v>
      </c>
      <c r="AA51">
        <f t="shared" si="41"/>
        <v>0</v>
      </c>
      <c r="AC51" s="24">
        <f t="shared" si="42"/>
        <v>1.0113037722374887</v>
      </c>
      <c r="AD51" s="13">
        <f t="shared" si="43"/>
        <v>0.81061367283499464</v>
      </c>
      <c r="AE51">
        <f t="shared" si="44"/>
        <v>0.81061367283499464</v>
      </c>
      <c r="AF51">
        <f t="shared" si="45"/>
        <v>0</v>
      </c>
      <c r="AG51">
        <f t="shared" si="46"/>
        <v>1</v>
      </c>
      <c r="AI51" s="24">
        <f t="shared" si="47"/>
        <v>1.086833417700714</v>
      </c>
      <c r="AJ51" s="13">
        <f t="shared" si="48"/>
        <v>0.64439052182901324</v>
      </c>
      <c r="AK51">
        <f t="shared" si="19"/>
        <v>0.64439052182901324</v>
      </c>
      <c r="AL51">
        <f t="shared" si="20"/>
        <v>0</v>
      </c>
      <c r="AM51">
        <f t="shared" si="21"/>
        <v>1</v>
      </c>
      <c r="AO51" s="24">
        <f t="shared" si="22"/>
        <v>1.1134871331979095</v>
      </c>
      <c r="AP51" s="13">
        <f t="shared" si="23"/>
        <v>0.5897854511809637</v>
      </c>
      <c r="AQ51">
        <f t="shared" si="24"/>
        <v>0.5897854511809637</v>
      </c>
      <c r="AR51">
        <f t="shared" si="25"/>
        <v>0</v>
      </c>
      <c r="AS51">
        <f t="shared" si="26"/>
        <v>1</v>
      </c>
      <c r="AU51" s="24">
        <f t="shared" si="27"/>
        <v>1.1559726154714074</v>
      </c>
      <c r="AV51" s="13">
        <f t="shared" si="28"/>
        <v>0.66641961419178652</v>
      </c>
      <c r="AW51">
        <f t="shared" si="29"/>
        <v>0.66641961419178652</v>
      </c>
      <c r="AX51">
        <f t="shared" si="30"/>
        <v>0</v>
      </c>
      <c r="AY51">
        <f t="shared" si="14"/>
        <v>1</v>
      </c>
      <c r="BA51" s="24">
        <f t="shared" si="31"/>
        <v>1.1675969346808408</v>
      </c>
      <c r="BB51" s="13">
        <f t="shared" si="32"/>
        <v>0.6716342373442955</v>
      </c>
      <c r="BC51">
        <f t="shared" si="33"/>
        <v>0.6716342373442955</v>
      </c>
      <c r="BD51">
        <f t="shared" si="34"/>
        <v>0</v>
      </c>
      <c r="BE51">
        <f t="shared" si="15"/>
        <v>1</v>
      </c>
    </row>
    <row r="52" spans="2:57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 t="shared" si="35"/>
        <v>1.1611346355392544</v>
      </c>
      <c r="R52" s="13">
        <f t="shared" si="36"/>
        <v>1.5724659638740317</v>
      </c>
      <c r="S52">
        <f t="shared" si="16"/>
        <v>1.1611346355392544</v>
      </c>
      <c r="T52">
        <f t="shared" si="17"/>
        <v>1</v>
      </c>
      <c r="U52">
        <f t="shared" si="18"/>
        <v>0</v>
      </c>
      <c r="W52" s="24">
        <f t="shared" si="37"/>
        <v>0.99957474169904281</v>
      </c>
      <c r="X52" s="13">
        <f t="shared" si="38"/>
        <v>1.2186104631880204</v>
      </c>
      <c r="Y52">
        <f t="shared" si="39"/>
        <v>0.99957474169904281</v>
      </c>
      <c r="Z52">
        <f t="shared" si="40"/>
        <v>1</v>
      </c>
      <c r="AA52">
        <f t="shared" si="41"/>
        <v>0</v>
      </c>
      <c r="AC52" s="24">
        <f t="shared" si="42"/>
        <v>1.009942989294826</v>
      </c>
      <c r="AD52" s="13">
        <f t="shared" si="43"/>
        <v>1.1459224164998123</v>
      </c>
      <c r="AE52">
        <f t="shared" si="44"/>
        <v>1.009942989294826</v>
      </c>
      <c r="AF52">
        <f t="shared" si="45"/>
        <v>1</v>
      </c>
      <c r="AG52">
        <f t="shared" si="46"/>
        <v>0</v>
      </c>
      <c r="AI52" s="24">
        <f t="shared" si="47"/>
        <v>1.0527904401071067</v>
      </c>
      <c r="AJ52" s="13">
        <f t="shared" si="48"/>
        <v>1.0412657773279599</v>
      </c>
      <c r="AK52">
        <f t="shared" si="19"/>
        <v>1.0412657773279599</v>
      </c>
      <c r="AL52">
        <f t="shared" si="20"/>
        <v>0</v>
      </c>
      <c r="AM52">
        <f t="shared" si="21"/>
        <v>1</v>
      </c>
      <c r="AO52" s="24">
        <f t="shared" si="22"/>
        <v>1.0805484760416515</v>
      </c>
      <c r="AP52" s="13">
        <f t="shared" si="23"/>
        <v>0.94172029851911054</v>
      </c>
      <c r="AQ52">
        <f t="shared" si="24"/>
        <v>0.94172029851911054</v>
      </c>
      <c r="AR52">
        <f t="shared" si="25"/>
        <v>0</v>
      </c>
      <c r="AS52">
        <f t="shared" si="26"/>
        <v>1</v>
      </c>
      <c r="AU52" s="24">
        <f t="shared" si="27"/>
        <v>1.150115546009167</v>
      </c>
      <c r="AV52" s="13">
        <f t="shared" si="28"/>
        <v>0.8653012849312155</v>
      </c>
      <c r="AW52">
        <f t="shared" si="29"/>
        <v>0.8653012849312155</v>
      </c>
      <c r="AX52">
        <f t="shared" si="30"/>
        <v>0</v>
      </c>
      <c r="AY52">
        <f t="shared" si="14"/>
        <v>1</v>
      </c>
      <c r="BA52" s="24">
        <f t="shared" si="31"/>
        <v>1.1646714356107435</v>
      </c>
      <c r="BB52" s="13">
        <f t="shared" si="32"/>
        <v>0.8669020554856548</v>
      </c>
      <c r="BC52">
        <f t="shared" si="33"/>
        <v>0.8669020554856548</v>
      </c>
      <c r="BD52">
        <f t="shared" si="34"/>
        <v>0</v>
      </c>
      <c r="BE52">
        <f t="shared" si="15"/>
        <v>1</v>
      </c>
    </row>
    <row r="53" spans="2:57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 t="shared" si="35"/>
        <v>1.3579839098308712</v>
      </c>
      <c r="R53" s="13">
        <f t="shared" si="36"/>
        <v>1.4129111813525144</v>
      </c>
      <c r="S53">
        <f t="shared" si="16"/>
        <v>1.3579839098308712</v>
      </c>
      <c r="T53">
        <f t="shared" si="17"/>
        <v>1</v>
      </c>
      <c r="U53">
        <f t="shared" si="18"/>
        <v>0</v>
      </c>
      <c r="W53" s="24">
        <f t="shared" si="37"/>
        <v>1.227657412810419</v>
      </c>
      <c r="X53" s="13">
        <f t="shared" si="38"/>
        <v>1.1746762822945105</v>
      </c>
      <c r="Y53">
        <f t="shared" si="39"/>
        <v>1.1746762822945105</v>
      </c>
      <c r="Z53">
        <f t="shared" si="40"/>
        <v>0</v>
      </c>
      <c r="AA53">
        <f t="shared" si="41"/>
        <v>1</v>
      </c>
      <c r="AC53" s="24">
        <f t="shared" si="42"/>
        <v>1.2691681681443365</v>
      </c>
      <c r="AD53" s="13">
        <f t="shared" si="43"/>
        <v>1.0037542301777227</v>
      </c>
      <c r="AE53">
        <f t="shared" si="44"/>
        <v>1.0037542301777227</v>
      </c>
      <c r="AF53">
        <f t="shared" si="45"/>
        <v>0</v>
      </c>
      <c r="AG53">
        <f t="shared" si="46"/>
        <v>1</v>
      </c>
      <c r="AI53" s="24">
        <f t="shared" si="47"/>
        <v>1.3051458950294599</v>
      </c>
      <c r="AJ53" s="13">
        <f t="shared" si="48"/>
        <v>1.0204944051285805</v>
      </c>
      <c r="AK53">
        <f t="shared" si="19"/>
        <v>1.0204944051285805</v>
      </c>
      <c r="AL53">
        <f t="shared" si="20"/>
        <v>0</v>
      </c>
      <c r="AM53">
        <f t="shared" si="21"/>
        <v>1</v>
      </c>
      <c r="AO53" s="24">
        <f t="shared" si="22"/>
        <v>1.3123828694592041</v>
      </c>
      <c r="AP53" s="13">
        <f t="shared" si="23"/>
        <v>1.0468537617955411</v>
      </c>
      <c r="AQ53">
        <f t="shared" si="24"/>
        <v>1.0468537617955411</v>
      </c>
      <c r="AR53">
        <f t="shared" si="25"/>
        <v>0</v>
      </c>
      <c r="AS53">
        <f t="shared" si="26"/>
        <v>1</v>
      </c>
      <c r="AU53" s="24">
        <f t="shared" si="27"/>
        <v>1.3046964375336167</v>
      </c>
      <c r="AV53" s="13">
        <f t="shared" si="28"/>
        <v>1.1438206526527281</v>
      </c>
      <c r="AW53">
        <f t="shared" si="29"/>
        <v>1.1438206526527281</v>
      </c>
      <c r="AX53">
        <f t="shared" si="30"/>
        <v>0</v>
      </c>
      <c r="AY53">
        <f t="shared" si="14"/>
        <v>1</v>
      </c>
      <c r="BA53" s="24">
        <f t="shared" si="31"/>
        <v>1.3061380269846812</v>
      </c>
      <c r="BB53" s="13">
        <f t="shared" si="32"/>
        <v>1.1562969760302917</v>
      </c>
      <c r="BC53">
        <f t="shared" si="33"/>
        <v>1.1562969760302917</v>
      </c>
      <c r="BD53">
        <f t="shared" si="34"/>
        <v>0</v>
      </c>
      <c r="BE53">
        <f t="shared" si="15"/>
        <v>1</v>
      </c>
    </row>
    <row r="54" spans="2:57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 t="shared" si="35"/>
        <v>1.0002991205016514</v>
      </c>
      <c r="R54" s="13">
        <f t="shared" si="36"/>
        <v>1.2078887587832225</v>
      </c>
      <c r="S54">
        <f t="shared" si="16"/>
        <v>1.0002991205016514</v>
      </c>
      <c r="T54">
        <f t="shared" si="17"/>
        <v>1</v>
      </c>
      <c r="U54">
        <f t="shared" si="18"/>
        <v>0</v>
      </c>
      <c r="W54" s="24">
        <f t="shared" si="37"/>
        <v>0.86446967868370894</v>
      </c>
      <c r="X54" s="13">
        <f t="shared" si="38"/>
        <v>0.85076546474957249</v>
      </c>
      <c r="Y54">
        <f t="shared" si="39"/>
        <v>0.85076546474957249</v>
      </c>
      <c r="Z54">
        <f t="shared" si="40"/>
        <v>0</v>
      </c>
      <c r="AA54">
        <f t="shared" si="41"/>
        <v>1</v>
      </c>
      <c r="AC54" s="24">
        <f t="shared" si="42"/>
        <v>0.90447875268910283</v>
      </c>
      <c r="AD54" s="13">
        <f t="shared" si="43"/>
        <v>0.69106624036520803</v>
      </c>
      <c r="AE54">
        <f t="shared" si="44"/>
        <v>0.69106624036520803</v>
      </c>
      <c r="AF54">
        <f t="shared" si="45"/>
        <v>0</v>
      </c>
      <c r="AG54">
        <f t="shared" si="46"/>
        <v>1</v>
      </c>
      <c r="AI54" s="24">
        <f t="shared" si="47"/>
        <v>0.97421433730976892</v>
      </c>
      <c r="AJ54" s="13">
        <f t="shared" si="48"/>
        <v>0.55899559243347241</v>
      </c>
      <c r="AK54">
        <f t="shared" si="19"/>
        <v>0.55899559243347241</v>
      </c>
      <c r="AL54">
        <f t="shared" si="20"/>
        <v>0</v>
      </c>
      <c r="AM54">
        <f t="shared" si="21"/>
        <v>1</v>
      </c>
      <c r="AO54" s="24">
        <f t="shared" si="22"/>
        <v>1.0032361102715495</v>
      </c>
      <c r="AP54" s="13">
        <f t="shared" si="23"/>
        <v>0.49575797372586827</v>
      </c>
      <c r="AQ54">
        <f t="shared" si="24"/>
        <v>0.49575797372586827</v>
      </c>
      <c r="AR54">
        <f t="shared" si="25"/>
        <v>0</v>
      </c>
      <c r="AS54">
        <f t="shared" si="26"/>
        <v>1</v>
      </c>
      <c r="AU54" s="24">
        <f t="shared" si="27"/>
        <v>1.0539180254856391</v>
      </c>
      <c r="AV54" s="13">
        <f t="shared" si="28"/>
        <v>0.56113347828282945</v>
      </c>
      <c r="AW54">
        <f t="shared" si="29"/>
        <v>0.56113347828282945</v>
      </c>
      <c r="AX54">
        <f t="shared" si="30"/>
        <v>0</v>
      </c>
      <c r="AY54">
        <f t="shared" si="14"/>
        <v>1</v>
      </c>
      <c r="BA54" s="24">
        <f t="shared" si="31"/>
        <v>1.0671386814220953</v>
      </c>
      <c r="BB54" s="13">
        <f t="shared" si="32"/>
        <v>0.5389722130002792</v>
      </c>
      <c r="BC54">
        <f t="shared" si="33"/>
        <v>0.5389722130002792</v>
      </c>
      <c r="BD54">
        <f t="shared" si="34"/>
        <v>0</v>
      </c>
      <c r="BE54">
        <f t="shared" si="15"/>
        <v>1</v>
      </c>
    </row>
    <row r="55" spans="2:57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 t="shared" si="35"/>
        <v>1.0903716959244902</v>
      </c>
      <c r="R55" s="13">
        <f t="shared" si="36"/>
        <v>1.621852328561872</v>
      </c>
      <c r="S55">
        <f t="shared" si="16"/>
        <v>1.0903716959244902</v>
      </c>
      <c r="T55">
        <f t="shared" si="17"/>
        <v>1</v>
      </c>
      <c r="U55">
        <f t="shared" si="18"/>
        <v>0</v>
      </c>
      <c r="W55" s="24">
        <f t="shared" si="37"/>
        <v>0.84536947344100044</v>
      </c>
      <c r="X55" s="13">
        <f t="shared" si="38"/>
        <v>1.2519242565180411</v>
      </c>
      <c r="Y55">
        <f t="shared" si="39"/>
        <v>0.84536947344100044</v>
      </c>
      <c r="Z55">
        <f t="shared" si="40"/>
        <v>1</v>
      </c>
      <c r="AA55">
        <f t="shared" si="41"/>
        <v>0</v>
      </c>
      <c r="AC55" s="24">
        <f t="shared" si="42"/>
        <v>0.86624612509272658</v>
      </c>
      <c r="AD55" s="13">
        <f t="shared" si="43"/>
        <v>1.0956005505453683</v>
      </c>
      <c r="AE55">
        <f t="shared" si="44"/>
        <v>0.86624612509272658</v>
      </c>
      <c r="AF55">
        <f t="shared" si="45"/>
        <v>1</v>
      </c>
      <c r="AG55">
        <f t="shared" si="46"/>
        <v>0</v>
      </c>
      <c r="AI55" s="24">
        <f t="shared" si="47"/>
        <v>0.88382509790653929</v>
      </c>
      <c r="AJ55" s="13">
        <f t="shared" si="48"/>
        <v>1.0490360227559812</v>
      </c>
      <c r="AK55">
        <f t="shared" si="19"/>
        <v>0.88382509790653929</v>
      </c>
      <c r="AL55">
        <f t="shared" si="20"/>
        <v>1</v>
      </c>
      <c r="AM55">
        <f t="shared" si="21"/>
        <v>0</v>
      </c>
      <c r="AO55" s="24">
        <f t="shared" si="22"/>
        <v>0.89221114217732123</v>
      </c>
      <c r="AP55" s="13">
        <f t="shared" si="23"/>
        <v>0.97387447875938993</v>
      </c>
      <c r="AQ55">
        <f t="shared" si="24"/>
        <v>0.89221114217732123</v>
      </c>
      <c r="AR55">
        <f t="shared" si="25"/>
        <v>1</v>
      </c>
      <c r="AS55">
        <f t="shared" si="26"/>
        <v>0</v>
      </c>
      <c r="AU55" s="24">
        <f t="shared" si="27"/>
        <v>0.91672277690478599</v>
      </c>
      <c r="AV55" s="13">
        <f t="shared" si="28"/>
        <v>0.92630529360315539</v>
      </c>
      <c r="AW55">
        <f t="shared" si="29"/>
        <v>0.91672277690478599</v>
      </c>
      <c r="AX55">
        <f t="shared" si="30"/>
        <v>1</v>
      </c>
      <c r="AY55">
        <f t="shared" si="14"/>
        <v>0</v>
      </c>
      <c r="BA55" s="24">
        <f t="shared" si="31"/>
        <v>0.92563524201189673</v>
      </c>
      <c r="BB55" s="13">
        <f t="shared" si="32"/>
        <v>0.96543877723374794</v>
      </c>
      <c r="BC55">
        <f t="shared" si="33"/>
        <v>0.92563524201189673</v>
      </c>
      <c r="BD55">
        <f t="shared" si="34"/>
        <v>1</v>
      </c>
      <c r="BE55">
        <f t="shared" si="15"/>
        <v>0</v>
      </c>
    </row>
    <row r="56" spans="2:57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 t="shared" si="35"/>
        <v>0.74714541197671858</v>
      </c>
      <c r="R56" s="13">
        <f t="shared" si="36"/>
        <v>1.7431851599854478</v>
      </c>
      <c r="S56">
        <f t="shared" si="16"/>
        <v>0.74714541197671858</v>
      </c>
      <c r="T56">
        <f t="shared" si="17"/>
        <v>1</v>
      </c>
      <c r="U56">
        <f t="shared" si="18"/>
        <v>0</v>
      </c>
      <c r="W56" s="24">
        <f t="shared" si="37"/>
        <v>0.87037722910391557</v>
      </c>
      <c r="X56" s="13">
        <f t="shared" si="38"/>
        <v>1.5685026373773845</v>
      </c>
      <c r="Y56">
        <f t="shared" si="39"/>
        <v>0.87037722910391557</v>
      </c>
      <c r="Z56">
        <f t="shared" si="40"/>
        <v>1</v>
      </c>
      <c r="AA56">
        <f t="shared" si="41"/>
        <v>0</v>
      </c>
      <c r="AC56" s="24">
        <f t="shared" si="42"/>
        <v>0.8460028364455543</v>
      </c>
      <c r="AD56" s="13">
        <f t="shared" si="43"/>
        <v>1.4795689374093026</v>
      </c>
      <c r="AE56">
        <f t="shared" si="44"/>
        <v>0.8460028364455543</v>
      </c>
      <c r="AF56">
        <f t="shared" si="45"/>
        <v>1</v>
      </c>
      <c r="AG56">
        <f t="shared" si="46"/>
        <v>0</v>
      </c>
      <c r="AI56" s="24">
        <f t="shared" si="47"/>
        <v>0.82950992761394193</v>
      </c>
      <c r="AJ56" s="13">
        <f t="shared" si="48"/>
        <v>1.3978704605436481</v>
      </c>
      <c r="AK56">
        <f t="shared" si="19"/>
        <v>0.82950992761394193</v>
      </c>
      <c r="AL56">
        <f t="shared" si="20"/>
        <v>1</v>
      </c>
      <c r="AM56">
        <f t="shared" si="21"/>
        <v>0</v>
      </c>
      <c r="AO56" s="24">
        <f t="shared" si="22"/>
        <v>0.82740881904748653</v>
      </c>
      <c r="AP56" s="13">
        <f t="shared" si="23"/>
        <v>1.2857160826752374</v>
      </c>
      <c r="AQ56">
        <f t="shared" si="24"/>
        <v>0.82740881904748653</v>
      </c>
      <c r="AR56">
        <f t="shared" si="25"/>
        <v>1</v>
      </c>
      <c r="AS56">
        <f t="shared" si="26"/>
        <v>0</v>
      </c>
      <c r="AU56" s="24">
        <f t="shared" si="27"/>
        <v>0.80822347845493614</v>
      </c>
      <c r="AV56" s="13">
        <f t="shared" si="28"/>
        <v>1.247617522321236</v>
      </c>
      <c r="AW56">
        <f t="shared" si="29"/>
        <v>0.80822347845493614</v>
      </c>
      <c r="AX56">
        <f t="shared" si="30"/>
        <v>1</v>
      </c>
      <c r="AY56">
        <f t="shared" si="14"/>
        <v>0</v>
      </c>
      <c r="BA56" s="24">
        <f t="shared" si="31"/>
        <v>0.80256101493035348</v>
      </c>
      <c r="BB56" s="13">
        <f t="shared" si="32"/>
        <v>1.2851919571368036</v>
      </c>
      <c r="BC56">
        <f t="shared" si="33"/>
        <v>0.80256101493035348</v>
      </c>
      <c r="BD56">
        <f t="shared" si="34"/>
        <v>1</v>
      </c>
      <c r="BE56">
        <f t="shared" si="15"/>
        <v>0</v>
      </c>
    </row>
    <row r="57" spans="2:57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 t="shared" si="35"/>
        <v>1.0366210655784756</v>
      </c>
      <c r="R57" s="13">
        <f t="shared" si="36"/>
        <v>1.8751819547830633</v>
      </c>
      <c r="S57">
        <f t="shared" si="16"/>
        <v>1.0366210655784756</v>
      </c>
      <c r="T57">
        <f t="shared" si="17"/>
        <v>1</v>
      </c>
      <c r="U57">
        <f t="shared" si="18"/>
        <v>0</v>
      </c>
      <c r="W57" s="24">
        <f t="shared" si="37"/>
        <v>0.96867302501157326</v>
      </c>
      <c r="X57" s="13">
        <f t="shared" si="38"/>
        <v>1.6755977062863654</v>
      </c>
      <c r="Y57">
        <f t="shared" si="39"/>
        <v>0.96867302501157326</v>
      </c>
      <c r="Z57">
        <f t="shared" si="40"/>
        <v>1</v>
      </c>
      <c r="AA57">
        <f t="shared" si="41"/>
        <v>0</v>
      </c>
      <c r="AC57" s="24">
        <f t="shared" si="42"/>
        <v>0.96022089990793558</v>
      </c>
      <c r="AD57" s="13">
        <f t="shared" si="43"/>
        <v>1.5349833570433424</v>
      </c>
      <c r="AE57">
        <f t="shared" si="44"/>
        <v>0.96022089990793558</v>
      </c>
      <c r="AF57">
        <f t="shared" si="45"/>
        <v>1</v>
      </c>
      <c r="AG57">
        <f t="shared" si="46"/>
        <v>0</v>
      </c>
      <c r="AI57" s="24">
        <f t="shared" si="47"/>
        <v>0.92069479643730334</v>
      </c>
      <c r="AJ57" s="13">
        <f t="shared" si="48"/>
        <v>1.5089387964045016</v>
      </c>
      <c r="AK57">
        <f t="shared" si="19"/>
        <v>0.92069479643730334</v>
      </c>
      <c r="AL57">
        <f t="shared" si="20"/>
        <v>1</v>
      </c>
      <c r="AM57">
        <f t="shared" si="21"/>
        <v>0</v>
      </c>
      <c r="AO57" s="24">
        <f t="shared" si="22"/>
        <v>0.9023948773871513</v>
      </c>
      <c r="AP57" s="13">
        <f t="shared" si="23"/>
        <v>1.4256344380890464</v>
      </c>
      <c r="AQ57">
        <f t="shared" si="24"/>
        <v>0.9023948773871513</v>
      </c>
      <c r="AR57">
        <f t="shared" si="25"/>
        <v>1</v>
      </c>
      <c r="AS57">
        <f t="shared" si="26"/>
        <v>0</v>
      </c>
      <c r="AU57" s="24">
        <f t="shared" si="27"/>
        <v>0.84129779073782285</v>
      </c>
      <c r="AV57" s="13">
        <f t="shared" si="28"/>
        <v>1.396120878720811</v>
      </c>
      <c r="AW57">
        <f t="shared" si="29"/>
        <v>0.84129779073782285</v>
      </c>
      <c r="AX57">
        <f t="shared" si="30"/>
        <v>1</v>
      </c>
      <c r="AY57">
        <f t="shared" si="14"/>
        <v>0</v>
      </c>
      <c r="BA57" s="24">
        <f t="shared" si="31"/>
        <v>0.83139771459515888</v>
      </c>
      <c r="BB57" s="13">
        <f t="shared" si="32"/>
        <v>1.4501770527043887</v>
      </c>
      <c r="BC57">
        <f t="shared" si="33"/>
        <v>0.83139771459515888</v>
      </c>
      <c r="BD57">
        <f t="shared" si="34"/>
        <v>1</v>
      </c>
      <c r="BE57">
        <f t="shared" si="15"/>
        <v>0</v>
      </c>
    </row>
    <row r="58" spans="2:57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 t="shared" si="35"/>
        <v>0.43661102805338031</v>
      </c>
      <c r="R58" s="13">
        <f t="shared" si="36"/>
        <v>1.4548291166575513</v>
      </c>
      <c r="S58">
        <f t="shared" si="16"/>
        <v>0.43661102805338031</v>
      </c>
      <c r="T58">
        <f t="shared" si="17"/>
        <v>1</v>
      </c>
      <c r="U58">
        <f t="shared" si="18"/>
        <v>0</v>
      </c>
      <c r="W58" s="24">
        <f t="shared" si="37"/>
        <v>0.45533064101684428</v>
      </c>
      <c r="X58" s="13">
        <f t="shared" si="38"/>
        <v>1.1836117608443135</v>
      </c>
      <c r="Y58">
        <f t="shared" si="39"/>
        <v>0.45533064101684428</v>
      </c>
      <c r="Z58">
        <f t="shared" si="40"/>
        <v>1</v>
      </c>
      <c r="AA58">
        <f t="shared" si="41"/>
        <v>0</v>
      </c>
      <c r="AC58" s="24">
        <f t="shared" si="42"/>
        <v>0.47055936857217456</v>
      </c>
      <c r="AD58" s="13">
        <f t="shared" si="43"/>
        <v>1.0129531585864042</v>
      </c>
      <c r="AE58">
        <f t="shared" si="44"/>
        <v>0.47055936857217456</v>
      </c>
      <c r="AF58">
        <f t="shared" si="45"/>
        <v>1</v>
      </c>
      <c r="AG58">
        <f t="shared" si="46"/>
        <v>0</v>
      </c>
      <c r="AI58" s="24">
        <f t="shared" si="47"/>
        <v>0.48920302212713135</v>
      </c>
      <c r="AJ58" s="13">
        <f t="shared" si="48"/>
        <v>0.92556890928867663</v>
      </c>
      <c r="AK58">
        <f t="shared" si="19"/>
        <v>0.48920302212713135</v>
      </c>
      <c r="AL58">
        <f t="shared" si="20"/>
        <v>1</v>
      </c>
      <c r="AM58">
        <f t="shared" si="21"/>
        <v>0</v>
      </c>
      <c r="AO58" s="24">
        <f t="shared" si="22"/>
        <v>0.49947609631725109</v>
      </c>
      <c r="AP58" s="13">
        <f t="shared" si="23"/>
        <v>0.80287157681456711</v>
      </c>
      <c r="AQ58">
        <f t="shared" si="24"/>
        <v>0.49947609631725109</v>
      </c>
      <c r="AR58">
        <f t="shared" si="25"/>
        <v>1</v>
      </c>
      <c r="AS58">
        <f t="shared" si="26"/>
        <v>0</v>
      </c>
      <c r="AU58" s="24">
        <f t="shared" si="27"/>
        <v>0.48558961541185391</v>
      </c>
      <c r="AV58" s="13">
        <f t="shared" si="28"/>
        <v>0.79882973689000081</v>
      </c>
      <c r="AW58">
        <f t="shared" si="29"/>
        <v>0.48558961541185391</v>
      </c>
      <c r="AX58">
        <f t="shared" si="30"/>
        <v>1</v>
      </c>
      <c r="AY58">
        <f t="shared" si="14"/>
        <v>0</v>
      </c>
      <c r="BA58" s="24">
        <f t="shared" si="31"/>
        <v>0.49158296247213562</v>
      </c>
      <c r="BB58" s="13">
        <f t="shared" si="32"/>
        <v>0.83960742307173564</v>
      </c>
      <c r="BC58">
        <f t="shared" si="33"/>
        <v>0.49158296247213562</v>
      </c>
      <c r="BD58">
        <f t="shared" si="34"/>
        <v>1</v>
      </c>
      <c r="BE58">
        <f t="shared" si="15"/>
        <v>0</v>
      </c>
    </row>
    <row r="59" spans="2:57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 t="shared" si="35"/>
        <v>1.465332944571613</v>
      </c>
      <c r="R59" s="13">
        <f t="shared" si="36"/>
        <v>1.7513322987353637</v>
      </c>
      <c r="S59">
        <f t="shared" si="16"/>
        <v>1.465332944571613</v>
      </c>
      <c r="T59">
        <f t="shared" si="17"/>
        <v>1</v>
      </c>
      <c r="U59">
        <f t="shared" si="18"/>
        <v>0</v>
      </c>
      <c r="W59" s="24">
        <f t="shared" si="37"/>
        <v>1.2511795926000924</v>
      </c>
      <c r="X59" s="13">
        <f t="shared" si="38"/>
        <v>1.4125481948236971</v>
      </c>
      <c r="Y59">
        <f t="shared" si="39"/>
        <v>1.2511795926000924</v>
      </c>
      <c r="Z59">
        <f t="shared" si="40"/>
        <v>1</v>
      </c>
      <c r="AA59">
        <f t="shared" si="41"/>
        <v>0</v>
      </c>
      <c r="AC59" s="24">
        <f t="shared" si="42"/>
        <v>1.2617590101136296</v>
      </c>
      <c r="AD59" s="13">
        <f t="shared" si="43"/>
        <v>1.3468407671992473</v>
      </c>
      <c r="AE59">
        <f t="shared" si="44"/>
        <v>1.2617590101136296</v>
      </c>
      <c r="AF59">
        <f t="shared" si="45"/>
        <v>1</v>
      </c>
      <c r="AG59">
        <f t="shared" si="46"/>
        <v>0</v>
      </c>
      <c r="AI59" s="24">
        <f t="shared" si="47"/>
        <v>1.2891890997115765</v>
      </c>
      <c r="AJ59" s="13">
        <f t="shared" si="48"/>
        <v>1.2898191120955604</v>
      </c>
      <c r="AK59">
        <f t="shared" si="19"/>
        <v>1.2891890997115765</v>
      </c>
      <c r="AL59">
        <f t="shared" si="20"/>
        <v>1</v>
      </c>
      <c r="AM59">
        <f t="shared" si="21"/>
        <v>0</v>
      </c>
      <c r="AO59" s="24">
        <f t="shared" si="22"/>
        <v>1.3001332583612104</v>
      </c>
      <c r="AP59" s="13">
        <f t="shared" si="23"/>
        <v>1.2468598129211139</v>
      </c>
      <c r="AQ59">
        <f t="shared" si="24"/>
        <v>1.2468598129211139</v>
      </c>
      <c r="AR59">
        <f t="shared" si="25"/>
        <v>0</v>
      </c>
      <c r="AS59">
        <f t="shared" si="26"/>
        <v>1</v>
      </c>
      <c r="AU59" s="24">
        <f t="shared" si="27"/>
        <v>1.3672657521411673</v>
      </c>
      <c r="AV59" s="13">
        <f t="shared" si="28"/>
        <v>1.1505524134192402</v>
      </c>
      <c r="AW59">
        <f t="shared" si="29"/>
        <v>1.1505524134192402</v>
      </c>
      <c r="AX59">
        <f t="shared" si="30"/>
        <v>0</v>
      </c>
      <c r="AY59">
        <f t="shared" si="14"/>
        <v>1</v>
      </c>
      <c r="BA59" s="24">
        <f t="shared" si="31"/>
        <v>1.3756545850677973</v>
      </c>
      <c r="BB59" s="13">
        <f t="shared" si="32"/>
        <v>1.1623537530995571</v>
      </c>
      <c r="BC59">
        <f t="shared" si="33"/>
        <v>1.1623537530995571</v>
      </c>
      <c r="BD59">
        <f t="shared" si="34"/>
        <v>0</v>
      </c>
      <c r="BE59">
        <f t="shared" si="15"/>
        <v>1</v>
      </c>
    </row>
    <row r="60" spans="2:57" ht="14.4" thickBot="1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 t="shared" si="35"/>
        <v>0.56121964012993308</v>
      </c>
      <c r="R60" s="13">
        <f t="shared" si="36"/>
        <v>1.6007218462646458</v>
      </c>
      <c r="S60">
        <f t="shared" si="16"/>
        <v>0.56121964012993308</v>
      </c>
      <c r="T60">
        <f t="shared" si="17"/>
        <v>1</v>
      </c>
      <c r="U60">
        <f t="shared" si="18"/>
        <v>0</v>
      </c>
      <c r="W60" s="24">
        <f t="shared" si="37"/>
        <v>0.71316269222249129</v>
      </c>
      <c r="X60" s="13">
        <f t="shared" si="38"/>
        <v>1.4757294615379191</v>
      </c>
      <c r="Y60">
        <f t="shared" si="39"/>
        <v>0.71316269222249129</v>
      </c>
      <c r="Z60">
        <f t="shared" si="40"/>
        <v>1</v>
      </c>
      <c r="AA60">
        <f t="shared" si="41"/>
        <v>0</v>
      </c>
      <c r="AC60" s="24">
        <f t="shared" si="42"/>
        <v>0.69757613610581648</v>
      </c>
      <c r="AD60" s="13">
        <f t="shared" si="43"/>
        <v>1.3493800256559347</v>
      </c>
      <c r="AE60">
        <f t="shared" si="44"/>
        <v>0.69757613610581648</v>
      </c>
      <c r="AF60">
        <f t="shared" si="45"/>
        <v>1</v>
      </c>
      <c r="AG60">
        <f t="shared" si="46"/>
        <v>0</v>
      </c>
      <c r="AI60" s="24">
        <f t="shared" si="47"/>
        <v>0.66117324402484956</v>
      </c>
      <c r="AJ60" s="13">
        <f t="shared" si="48"/>
        <v>1.3022041495635934</v>
      </c>
      <c r="AK60">
        <f t="shared" si="19"/>
        <v>0.66117324402484956</v>
      </c>
      <c r="AL60">
        <f t="shared" si="20"/>
        <v>1</v>
      </c>
      <c r="AM60">
        <f t="shared" si="21"/>
        <v>0</v>
      </c>
      <c r="AO60" s="24">
        <f t="shared" si="22"/>
        <v>0.64872338691211084</v>
      </c>
      <c r="AP60" s="13">
        <f t="shared" si="23"/>
        <v>1.201573202394383</v>
      </c>
      <c r="AQ60">
        <f t="shared" si="24"/>
        <v>0.64872338691211084</v>
      </c>
      <c r="AR60">
        <f t="shared" si="25"/>
        <v>1</v>
      </c>
      <c r="AS60">
        <f t="shared" si="26"/>
        <v>0</v>
      </c>
      <c r="AU60" s="24">
        <f t="shared" si="27"/>
        <v>0.59884670490596648</v>
      </c>
      <c r="AV60" s="13">
        <f t="shared" si="28"/>
        <v>1.1713169612865766</v>
      </c>
      <c r="AW60">
        <f t="shared" si="29"/>
        <v>0.59884670490596648</v>
      </c>
      <c r="AX60">
        <f t="shared" si="30"/>
        <v>1</v>
      </c>
      <c r="AY60">
        <f t="shared" si="14"/>
        <v>0</v>
      </c>
      <c r="BA60" s="24">
        <f t="shared" si="31"/>
        <v>0.59220231095212794</v>
      </c>
      <c r="BB60" s="13">
        <f t="shared" si="32"/>
        <v>1.2108084191405233</v>
      </c>
      <c r="BC60">
        <f t="shared" si="33"/>
        <v>0.59220231095212794</v>
      </c>
      <c r="BD60">
        <f t="shared" si="34"/>
        <v>1</v>
      </c>
      <c r="BE60">
        <f t="shared" si="15"/>
        <v>0</v>
      </c>
    </row>
    <row r="61" spans="2:57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39.936195897404176</v>
      </c>
      <c r="Z61">
        <f>SUM(Z10:Z60)</f>
        <v>43</v>
      </c>
      <c r="AA61">
        <f>SUM(AA10:AA60)</f>
        <v>8</v>
      </c>
      <c r="AE61" s="35">
        <f>SUM(AE10:AE60)</f>
        <v>38.891399588518084</v>
      </c>
      <c r="AF61">
        <f>SUM(AF10:AF60)</f>
        <v>39</v>
      </c>
      <c r="AG61">
        <f>SUM(AG10:AG60)</f>
        <v>12</v>
      </c>
      <c r="AK61">
        <f>SUM(AK10:AK60)</f>
        <v>38.130487160309727</v>
      </c>
      <c r="AL61">
        <f>SUM(AL10:AL60)</f>
        <v>37</v>
      </c>
      <c r="AM61">
        <f>SUM(AM10:AM60)</f>
        <v>14</v>
      </c>
      <c r="AQ61" s="35">
        <f>SUM(AQ10:AQ60)</f>
        <v>37.652287218059996</v>
      </c>
      <c r="AR61">
        <f>SUM(AR10:AR60)</f>
        <v>33</v>
      </c>
      <c r="AS61">
        <f>SUM(AS10:AS60)</f>
        <v>18</v>
      </c>
      <c r="AW61" s="40">
        <f>SUM(AW10:AW60)</f>
        <v>37.23441775115306</v>
      </c>
      <c r="AX61">
        <f>SUM(AX10:AX60)</f>
        <v>32</v>
      </c>
      <c r="AY61">
        <f>SUM(AY10:AY60)</f>
        <v>19</v>
      </c>
      <c r="BC61" s="40">
        <f>SUM(BC10:BC60)</f>
        <v>37.22275832023994</v>
      </c>
      <c r="BD61">
        <f>SUM(BD10:BD60)</f>
        <v>32</v>
      </c>
      <c r="BE61">
        <f>SUM(BE10:BE60)</f>
        <v>19</v>
      </c>
    </row>
    <row r="62" spans="2:57">
      <c r="B62" t="s">
        <v>30</v>
      </c>
      <c r="C62" t="s">
        <v>19</v>
      </c>
      <c r="D62" s="24">
        <f>(SUMPRODUCT(D10:D60,$T$10:$T$60)+D6)/($T$61+1)</f>
        <v>0.40359090397066394</v>
      </c>
      <c r="E62" s="24">
        <f t="shared" ref="E62:O62" si="49">(SUMPRODUCT(E10:E60,$T$10:$T$60)+E6)/($T$61+1)</f>
        <v>0.29924502402196318</v>
      </c>
      <c r="F62" s="24">
        <f t="shared" si="49"/>
        <v>0.52266608771168033</v>
      </c>
      <c r="G62" s="24">
        <f t="shared" si="49"/>
        <v>0.44990160869090573</v>
      </c>
      <c r="H62" s="24">
        <f t="shared" si="49"/>
        <v>0.64410058027079287</v>
      </c>
      <c r="I62" s="24">
        <f t="shared" si="49"/>
        <v>0.56903092358792584</v>
      </c>
      <c r="J62" s="24">
        <f t="shared" si="49"/>
        <v>0.18538677222497113</v>
      </c>
      <c r="K62" s="24">
        <f t="shared" si="49"/>
        <v>0.59740884166035968</v>
      </c>
      <c r="L62" s="24">
        <f t="shared" si="49"/>
        <v>5.2280020499045732E-2</v>
      </c>
      <c r="M62" s="24">
        <f t="shared" si="49"/>
        <v>0.13579456319246985</v>
      </c>
      <c r="N62" s="24">
        <f t="shared" si="49"/>
        <v>0.37003781522615958</v>
      </c>
      <c r="O62" s="24">
        <f t="shared" si="49"/>
        <v>0.43933721409926629</v>
      </c>
    </row>
    <row r="63" spans="2:57">
      <c r="B63" t="s">
        <v>31</v>
      </c>
      <c r="C63" t="s">
        <v>20</v>
      </c>
      <c r="D63" s="13">
        <f>(SUMPRODUCT(D10:D60,$U$10:$U$60)+D7)/($U$61+1)</f>
        <v>0.41594669767338432</v>
      </c>
      <c r="E63" s="13">
        <f t="shared" ref="E63:O63" si="50">(SUMPRODUCT(E10:E60,$U$10:$U$60)+E7)/($U$61+1)</f>
        <v>0.70967741935483863</v>
      </c>
      <c r="F63" s="13">
        <f t="shared" si="50"/>
        <v>0.60578231292517015</v>
      </c>
      <c r="G63" s="13">
        <f t="shared" si="50"/>
        <v>0.86821909397886243</v>
      </c>
      <c r="H63" s="13">
        <f t="shared" si="50"/>
        <v>0.43939393939393939</v>
      </c>
      <c r="I63" s="13">
        <f t="shared" si="50"/>
        <v>0.74512572273766287</v>
      </c>
      <c r="J63" s="13">
        <f t="shared" si="50"/>
        <v>0.64061154177433255</v>
      </c>
      <c r="K63" s="13">
        <f t="shared" si="50"/>
        <v>0.24088548590063988</v>
      </c>
      <c r="L63" s="13">
        <f t="shared" si="50"/>
        <v>2.5805647840531563E-4</v>
      </c>
      <c r="M63" s="13">
        <f t="shared" si="50"/>
        <v>6.8836405529953917E-2</v>
      </c>
      <c r="N63" s="13">
        <f t="shared" si="50"/>
        <v>0.5835333013384526</v>
      </c>
      <c r="O63" s="13">
        <f t="shared" si="50"/>
        <v>0.68289816816738602</v>
      </c>
    </row>
    <row r="66" spans="2:15">
      <c r="B66" t="s">
        <v>30</v>
      </c>
      <c r="C66" t="s">
        <v>19</v>
      </c>
      <c r="D66" s="24">
        <f t="shared" ref="D66:O66" si="51">(SUMPRODUCT(D10:D60,$Z$10:$Z$60)+D6)/($Z$61+1)</f>
        <v>0.38942669052820733</v>
      </c>
      <c r="E66" s="24">
        <f t="shared" si="51"/>
        <v>0.30571847507331396</v>
      </c>
      <c r="F66" s="24">
        <f t="shared" si="51"/>
        <v>0.53348794063079763</v>
      </c>
      <c r="G66" s="24">
        <f t="shared" si="51"/>
        <v>0.4377504156151702</v>
      </c>
      <c r="H66" s="24">
        <f t="shared" si="51"/>
        <v>0.67148760330578494</v>
      </c>
      <c r="I66" s="24">
        <f t="shared" si="51"/>
        <v>0.55326790494700939</v>
      </c>
      <c r="J66" s="24">
        <f t="shared" si="51"/>
        <v>0.17095372327930466</v>
      </c>
      <c r="K66" s="24">
        <f t="shared" si="51"/>
        <v>0.61571247649569572</v>
      </c>
      <c r="L66" s="24">
        <f t="shared" si="51"/>
        <v>5.5839130927212328E-2</v>
      </c>
      <c r="M66" s="24">
        <f t="shared" si="51"/>
        <v>0.14121085567658145</v>
      </c>
      <c r="N66" s="24">
        <f t="shared" si="51"/>
        <v>0.35413606550224691</v>
      </c>
      <c r="O66" s="24">
        <f t="shared" si="51"/>
        <v>0.42018842992429167</v>
      </c>
    </row>
    <row r="67" spans="2:15">
      <c r="B67" t="s">
        <v>31</v>
      </c>
      <c r="C67" t="s">
        <v>20</v>
      </c>
      <c r="D67" s="13">
        <f t="shared" ref="D67:O67" si="52">(SUMPRODUCT(D10:D60,$AA$10:$AA$60)+D7)/($AA$61+1)</f>
        <v>0.48107536549115409</v>
      </c>
      <c r="E67" s="13">
        <f t="shared" si="52"/>
        <v>0.54121863799283154</v>
      </c>
      <c r="F67" s="13">
        <f t="shared" si="52"/>
        <v>0.525170068027211</v>
      </c>
      <c r="G67" s="13">
        <f t="shared" si="52"/>
        <v>0.78818576503091697</v>
      </c>
      <c r="H67" s="13">
        <f t="shared" si="52"/>
        <v>0.37373737373737376</v>
      </c>
      <c r="I67" s="13">
        <f t="shared" si="52"/>
        <v>0.76349110304334167</v>
      </c>
      <c r="J67" s="13">
        <f t="shared" si="52"/>
        <v>0.55943152454780376</v>
      </c>
      <c r="K67" s="13">
        <f t="shared" si="52"/>
        <v>0.27024216751445979</v>
      </c>
      <c r="L67" s="13">
        <f t="shared" si="52"/>
        <v>1.986157253599114E-4</v>
      </c>
      <c r="M67" s="13">
        <f t="shared" si="52"/>
        <v>6.4676139272913477E-2</v>
      </c>
      <c r="N67" s="13">
        <f t="shared" si="52"/>
        <v>0.59011002684015013</v>
      </c>
      <c r="O67" s="13">
        <f t="shared" si="52"/>
        <v>0.69532746166677761</v>
      </c>
    </row>
    <row r="70" spans="2:15">
      <c r="B70" t="s">
        <v>30</v>
      </c>
      <c r="C70" t="s">
        <v>19</v>
      </c>
      <c r="D70" s="24">
        <f t="shared" ref="D70:O70" si="53">(SUMPRODUCT(D10:D60,$AF$10:$AF$60)+D6)/($AF$61+1)</f>
        <v>0.39571735597840324</v>
      </c>
      <c r="E70" s="24">
        <f t="shared" si="53"/>
        <v>0.3129032258064518</v>
      </c>
      <c r="F70" s="24">
        <f t="shared" si="53"/>
        <v>0.54244897959183658</v>
      </c>
      <c r="G70" s="24">
        <f t="shared" si="53"/>
        <v>0.41132416787264836</v>
      </c>
      <c r="H70" s="24">
        <f t="shared" si="53"/>
        <v>0.69772727272727253</v>
      </c>
      <c r="I70" s="24">
        <f t="shared" si="53"/>
        <v>0.53245764421137542</v>
      </c>
      <c r="J70" s="24">
        <f t="shared" si="53"/>
        <v>0.17351421188630492</v>
      </c>
      <c r="K70" s="24">
        <f t="shared" si="53"/>
        <v>0.65721938639868149</v>
      </c>
      <c r="L70" s="24">
        <f t="shared" si="53"/>
        <v>6.1414194352159467E-2</v>
      </c>
      <c r="M70" s="24">
        <f t="shared" si="53"/>
        <v>0.1313508064516129</v>
      </c>
      <c r="N70" s="24">
        <f t="shared" si="53"/>
        <v>0.32238441849304111</v>
      </c>
      <c r="O70" s="24">
        <f t="shared" si="53"/>
        <v>0.38395351967143371</v>
      </c>
    </row>
    <row r="71" spans="2:15">
      <c r="B71" t="s">
        <v>31</v>
      </c>
      <c r="C71" t="s">
        <v>20</v>
      </c>
      <c r="D71" s="13">
        <f t="shared" ref="D71:O71" si="54">(SUMPRODUCT(D10:D60,$AG$10:$AG$60)+D7)/($AG$61+1)</f>
        <v>0.4335198795019522</v>
      </c>
      <c r="E71" s="13">
        <f t="shared" si="54"/>
        <v>0.4466501240694789</v>
      </c>
      <c r="F71" s="13">
        <f t="shared" si="54"/>
        <v>0.50015698587127166</v>
      </c>
      <c r="G71" s="13">
        <f t="shared" si="54"/>
        <v>0.76167103518767787</v>
      </c>
      <c r="H71" s="13">
        <f t="shared" si="54"/>
        <v>0.38461538461538464</v>
      </c>
      <c r="I71" s="13">
        <f t="shared" si="54"/>
        <v>0.76283861358488214</v>
      </c>
      <c r="J71" s="13">
        <f t="shared" si="54"/>
        <v>0.43202146690518795</v>
      </c>
      <c r="K71" s="13">
        <f t="shared" si="54"/>
        <v>0.24882715519180668</v>
      </c>
      <c r="L71" s="13">
        <f t="shared" si="54"/>
        <v>1.6473294147712752E-4</v>
      </c>
      <c r="M71" s="13">
        <f t="shared" si="54"/>
        <v>0.11856389578163767</v>
      </c>
      <c r="N71" s="13">
        <f t="shared" si="54"/>
        <v>0.6152000295337362</v>
      </c>
      <c r="O71" s="13">
        <f t="shared" si="54"/>
        <v>0.7221613296009608</v>
      </c>
    </row>
    <row r="74" spans="2:15">
      <c r="B74" t="s">
        <v>30</v>
      </c>
      <c r="C74" t="s">
        <v>19</v>
      </c>
      <c r="D74" s="24">
        <f>(SUMPRODUCT(D10:D60,$AL$10:$AL$60)+D6)/($AL$61+1)</f>
        <v>0.39980055644551049</v>
      </c>
      <c r="E74" s="24">
        <f t="shared" ref="E74:O74" si="55">(SUMPRODUCT(E10:E60,$AL$10:$AL$60)+E6)/($AL$61+1)</f>
        <v>0.31748726655348064</v>
      </c>
      <c r="F74" s="24">
        <f t="shared" si="55"/>
        <v>0.54645542427497307</v>
      </c>
      <c r="G74" s="24">
        <f t="shared" si="55"/>
        <v>0.39661332650136066</v>
      </c>
      <c r="H74" s="24">
        <f t="shared" si="55"/>
        <v>0.69617224880382755</v>
      </c>
      <c r="I74" s="24">
        <f t="shared" si="55"/>
        <v>0.51684677607694096</v>
      </c>
      <c r="J74" s="24">
        <f t="shared" si="55"/>
        <v>0.17822657418740648</v>
      </c>
      <c r="K74" s="24">
        <f t="shared" si="55"/>
        <v>0.6731130346203682</v>
      </c>
      <c r="L74" s="24">
        <f t="shared" si="55"/>
        <v>6.4502701521244973E-2</v>
      </c>
      <c r="M74" s="24">
        <f t="shared" si="55"/>
        <v>0.13110902255639098</v>
      </c>
      <c r="N74" s="24">
        <f t="shared" si="55"/>
        <v>0.30768550716095949</v>
      </c>
      <c r="O74" s="24">
        <f t="shared" si="55"/>
        <v>0.37236155459371811</v>
      </c>
    </row>
    <row r="75" spans="2:15">
      <c r="B75" t="s">
        <v>31</v>
      </c>
      <c r="C75" t="s">
        <v>20</v>
      </c>
      <c r="D75" s="13">
        <f>(SUMPRODUCT(D10:D60,$AM$10:$AM$60)+D6)/($AM$61+1)</f>
        <v>0.41536929286575452</v>
      </c>
      <c r="E75" s="13">
        <f t="shared" ref="E75:O75" si="56">(SUMPRODUCT(E10:E60,$AM$10:$AM$60)+E6)/($AM$61+1)</f>
        <v>0.37204301075268814</v>
      </c>
      <c r="F75" s="13">
        <f t="shared" si="56"/>
        <v>0.50108843537414971</v>
      </c>
      <c r="G75" s="13">
        <f t="shared" si="56"/>
        <v>0.71758102004122282</v>
      </c>
      <c r="H75" s="13">
        <f t="shared" si="56"/>
        <v>0.43030303030303035</v>
      </c>
      <c r="I75" s="13">
        <f t="shared" si="56"/>
        <v>0.77692617991125446</v>
      </c>
      <c r="J75" s="13">
        <f t="shared" si="56"/>
        <v>0.32859603789836356</v>
      </c>
      <c r="K75" s="13">
        <f t="shared" si="56"/>
        <v>0.30413498520054588</v>
      </c>
      <c r="L75" s="13">
        <f t="shared" si="56"/>
        <v>4.6812846068660014E-4</v>
      </c>
      <c r="M75" s="13">
        <f t="shared" si="56"/>
        <v>0.12129416282642087</v>
      </c>
      <c r="N75" s="13">
        <f t="shared" si="56"/>
        <v>0.60219698181624282</v>
      </c>
      <c r="O75" s="13">
        <f t="shared" si="56"/>
        <v>0.68516039027383424</v>
      </c>
    </row>
    <row r="78" spans="2:15">
      <c r="B78" t="s">
        <v>30</v>
      </c>
      <c r="C78" t="s">
        <v>19</v>
      </c>
      <c r="D78" s="24">
        <f>(SUMPRODUCT(D10:D60,$AR$10:$AR$60)+D6)/($AR$61+1)</f>
        <v>0.41742583321910437</v>
      </c>
      <c r="E78" s="24">
        <f t="shared" ref="E78:O78" si="57">(SUMPRODUCT(E10:E60,$AR$10:$AR$60)+E6)/($AR$61+1)</f>
        <v>0.3187855787476282</v>
      </c>
      <c r="F78" s="24">
        <f t="shared" si="57"/>
        <v>0.52148859543817527</v>
      </c>
      <c r="G78" s="24">
        <f t="shared" si="57"/>
        <v>0.36161263610825201</v>
      </c>
      <c r="H78" s="24">
        <f t="shared" si="57"/>
        <v>0.6925133689839571</v>
      </c>
      <c r="I78" s="24">
        <f t="shared" si="57"/>
        <v>0.49101570842132719</v>
      </c>
      <c r="J78" s="24">
        <f t="shared" si="57"/>
        <v>0.17616659066727466</v>
      </c>
      <c r="K78" s="24">
        <f t="shared" si="57"/>
        <v>0.73487656348230801</v>
      </c>
      <c r="L78" s="24">
        <f t="shared" si="57"/>
        <v>4.2674858315419194E-2</v>
      </c>
      <c r="M78" s="24">
        <f t="shared" si="57"/>
        <v>0.13165407291949038</v>
      </c>
      <c r="N78" s="24">
        <f t="shared" si="57"/>
        <v>0.29135573602341269</v>
      </c>
      <c r="O78" s="24">
        <f t="shared" si="57"/>
        <v>0.37413571800337003</v>
      </c>
    </row>
    <row r="79" spans="2:15">
      <c r="B79" t="s">
        <v>31</v>
      </c>
      <c r="C79" t="s">
        <v>20</v>
      </c>
      <c r="D79" s="13">
        <f>(SUMPRODUCT(D10:D60,$AS$10:$AS$60)+D10)/($AS$61+1)</f>
        <v>0.39133975555624112</v>
      </c>
      <c r="E79" s="13">
        <f t="shared" ref="E79:O79" si="58">(SUMPRODUCT(E10:E60,$AS$10:$AS$60)+E10)/($AS$61+1)</f>
        <v>0.38030560271646846</v>
      </c>
      <c r="F79" s="13">
        <f t="shared" si="58"/>
        <v>0.54554242749731463</v>
      </c>
      <c r="G79" s="13">
        <f t="shared" si="58"/>
        <v>0.71278017435379015</v>
      </c>
      <c r="H79" s="13">
        <f t="shared" si="58"/>
        <v>0.48803827751196166</v>
      </c>
      <c r="I79" s="13">
        <f t="shared" si="58"/>
        <v>0.73883781660686609</v>
      </c>
      <c r="J79" s="13">
        <f t="shared" si="58"/>
        <v>0.30450156398748812</v>
      </c>
      <c r="K79" s="13">
        <f t="shared" si="58"/>
        <v>0.28007768663963306</v>
      </c>
      <c r="L79" s="13">
        <f t="shared" si="58"/>
        <v>5.4128518971848234E-2</v>
      </c>
      <c r="M79" s="13">
        <f t="shared" si="58"/>
        <v>0.1230748241571671</v>
      </c>
      <c r="N79" s="13">
        <f t="shared" si="58"/>
        <v>0.56512221202502333</v>
      </c>
      <c r="O79" s="13">
        <f t="shared" si="58"/>
        <v>0.5921451366048297</v>
      </c>
    </row>
    <row r="82" spans="2:15">
      <c r="B82" t="s">
        <v>30</v>
      </c>
      <c r="C82" t="s">
        <v>19</v>
      </c>
      <c r="D82" s="24">
        <f>(SUMPRODUCT(D10:D60,$AX$10:$AX$60)+D6)/($AX$61+1)</f>
        <v>0.4227778651430168</v>
      </c>
      <c r="E82" s="24">
        <f t="shared" ref="E82:O82" si="59">(SUMPRODUCT(E10:E60,$AX$10:$AX$60)+E6)/($AX$61+1)</f>
        <v>0.32062561094819175</v>
      </c>
      <c r="F82" s="24">
        <f t="shared" si="59"/>
        <v>0.52442795299938161</v>
      </c>
      <c r="G82" s="24">
        <f t="shared" si="59"/>
        <v>0.3534702371697504</v>
      </c>
      <c r="H82" s="24">
        <f t="shared" si="59"/>
        <v>0.69146005509641872</v>
      </c>
      <c r="I82" s="24">
        <f t="shared" si="59"/>
        <v>0.48051817081667808</v>
      </c>
      <c r="J82" s="24">
        <f t="shared" si="59"/>
        <v>0.17625871114243208</v>
      </c>
      <c r="K82" s="24">
        <f t="shared" si="59"/>
        <v>0.74811119650807012</v>
      </c>
      <c r="L82" s="24">
        <f t="shared" si="59"/>
        <v>4.3967285814960233E-2</v>
      </c>
      <c r="M82" s="24">
        <f t="shared" si="59"/>
        <v>0.13313870269515432</v>
      </c>
      <c r="N82" s="24">
        <f t="shared" si="59"/>
        <v>0.29319914874226183</v>
      </c>
      <c r="O82" s="24">
        <f t="shared" si="59"/>
        <v>0.37227099197976271</v>
      </c>
    </row>
    <row r="83" spans="2:15">
      <c r="B83" t="s">
        <v>31</v>
      </c>
      <c r="C83" t="s">
        <v>20</v>
      </c>
      <c r="D83" s="13">
        <f>(SUMPRODUCT(D10:D60,$AY$10:$AY$60)+D7)/($AY$61+1)</f>
        <v>0.37563915614709764</v>
      </c>
      <c r="E83" s="13">
        <f t="shared" ref="E83:O83" si="60">(SUMPRODUCT(E10:E60,$AY$10:$AY$60)+E7)/($AY$61+1)</f>
        <v>0.38709677419354827</v>
      </c>
      <c r="F83" s="13">
        <f t="shared" si="60"/>
        <v>0.54469387755102039</v>
      </c>
      <c r="G83" s="13">
        <f t="shared" si="60"/>
        <v>0.73450861728719918</v>
      </c>
      <c r="H83" s="13">
        <f t="shared" si="60"/>
        <v>0.50454545454545463</v>
      </c>
      <c r="I83" s="13">
        <f t="shared" si="60"/>
        <v>0.76790540540540531</v>
      </c>
      <c r="J83" s="13">
        <f t="shared" si="60"/>
        <v>0.33701550387596901</v>
      </c>
      <c r="K83" s="13">
        <f t="shared" si="60"/>
        <v>0.24179294943372151</v>
      </c>
      <c r="L83" s="13">
        <f t="shared" si="60"/>
        <v>5.0389443521594676E-2</v>
      </c>
      <c r="M83" s="13">
        <f t="shared" si="60"/>
        <v>0.12008928571428572</v>
      </c>
      <c r="N83" s="13">
        <f t="shared" si="60"/>
        <v>0.56087026075827873</v>
      </c>
      <c r="O83" s="13">
        <f t="shared" si="60"/>
        <v>0.62306476681688339</v>
      </c>
    </row>
  </sheetData>
  <conditionalFormatting sqref="T10:U61">
    <cfRule type="cellIs" dxfId="53" priority="33" operator="equal">
      <formula>0</formula>
    </cfRule>
    <cfRule type="cellIs" dxfId="52" priority="34" operator="equal">
      <formula>1</formula>
    </cfRule>
  </conditionalFormatting>
  <conditionalFormatting sqref="Z10:Z61">
    <cfRule type="cellIs" dxfId="51" priority="29" operator="equal">
      <formula>0</formula>
    </cfRule>
    <cfRule type="cellIs" dxfId="50" priority="30" operator="equal">
      <formula>1</formula>
    </cfRule>
  </conditionalFormatting>
  <conditionalFormatting sqref="AA10:AA61">
    <cfRule type="cellIs" dxfId="49" priority="27" operator="equal">
      <formula>0</formula>
    </cfRule>
    <cfRule type="cellIs" dxfId="48" priority="28" operator="equal">
      <formula>1</formula>
    </cfRule>
  </conditionalFormatting>
  <conditionalFormatting sqref="AF10:AF61">
    <cfRule type="cellIs" dxfId="47" priority="25" operator="equal">
      <formula>0</formula>
    </cfRule>
    <cfRule type="cellIs" dxfId="46" priority="26" operator="equal">
      <formula>1</formula>
    </cfRule>
  </conditionalFormatting>
  <conditionalFormatting sqref="AG10:AG61">
    <cfRule type="cellIs" dxfId="45" priority="23" operator="equal">
      <formula>0</formula>
    </cfRule>
    <cfRule type="cellIs" dxfId="44" priority="24" operator="equal">
      <formula>1</formula>
    </cfRule>
  </conditionalFormatting>
  <conditionalFormatting sqref="AL10:AL61">
    <cfRule type="cellIs" dxfId="43" priority="19" operator="equal">
      <formula>0</formula>
    </cfRule>
    <cfRule type="cellIs" dxfId="42" priority="20" operator="equal">
      <formula>1</formula>
    </cfRule>
  </conditionalFormatting>
  <conditionalFormatting sqref="AM10:AM61">
    <cfRule type="cellIs" dxfId="41" priority="17" operator="equal">
      <formula>0</formula>
    </cfRule>
    <cfRule type="cellIs" dxfId="40" priority="18" operator="equal">
      <formula>1</formula>
    </cfRule>
  </conditionalFormatting>
  <conditionalFormatting sqref="AR10:AR61">
    <cfRule type="cellIs" dxfId="39" priority="15" operator="equal">
      <formula>0</formula>
    </cfRule>
    <cfRule type="cellIs" dxfId="38" priority="16" operator="equal">
      <formula>1</formula>
    </cfRule>
  </conditionalFormatting>
  <conditionalFormatting sqref="AS10:AS61">
    <cfRule type="cellIs" dxfId="37" priority="13" operator="equal">
      <formula>0</formula>
    </cfRule>
    <cfRule type="cellIs" dxfId="36" priority="14" operator="equal">
      <formula>1</formula>
    </cfRule>
  </conditionalFormatting>
  <conditionalFormatting sqref="AX10:AX61">
    <cfRule type="cellIs" dxfId="31" priority="9" operator="equal">
      <formula>0</formula>
    </cfRule>
    <cfRule type="cellIs" dxfId="30" priority="10" operator="equal">
      <formula>1</formula>
    </cfRule>
  </conditionalFormatting>
  <conditionalFormatting sqref="AY10:AY61">
    <cfRule type="cellIs" dxfId="19" priority="5" operator="equal">
      <formula>0</formula>
    </cfRule>
    <cfRule type="cellIs" dxfId="18" priority="6" operator="equal">
      <formula>1</formula>
    </cfRule>
  </conditionalFormatting>
  <conditionalFormatting sqref="BD10:BD61">
    <cfRule type="cellIs" dxfId="7" priority="3" operator="equal">
      <formula>0</formula>
    </cfRule>
    <cfRule type="cellIs" dxfId="6" priority="4" operator="equal">
      <formula>1</formula>
    </cfRule>
  </conditionalFormatting>
  <conditionalFormatting sqref="BE10:BE61">
    <cfRule type="cellIs" dxfId="3" priority="1" operator="equal">
      <formula>0</formula>
    </cfRule>
    <cfRule type="cellIs" dxfId="2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CESAR</cp:lastModifiedBy>
  <dcterms:created xsi:type="dcterms:W3CDTF">2026-03-25T23:09:52Z</dcterms:created>
  <dcterms:modified xsi:type="dcterms:W3CDTF">2026-05-06T18:21:00Z</dcterms:modified>
</cp:coreProperties>
</file>
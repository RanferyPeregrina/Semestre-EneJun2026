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itories\Semestre-EneJun2026\Minería de datos\Práctica 5\"/>
    </mc:Choice>
  </mc:AlternateContent>
  <xr:revisionPtr revIDLastSave="0" documentId="13_ncr:9_{7CAD82CC-3098-4D52-A240-559644177B2D}" xr6:coauthVersionLast="47" xr6:coauthVersionMax="47" xr10:uidLastSave="{00000000-0000-0000-0000-000000000000}"/>
  <bookViews>
    <workbookView xWindow="-108" yWindow="-108" windowWidth="23256" windowHeight="12456" xr2:uid="{6B0EAA5F-3816-4796-860C-BD0B64EC5768}"/>
  </bookViews>
  <sheets>
    <sheet name="ca_cest_brandi_carlile - copia" sheetId="1" r:id="rId1"/>
  </sheets>
  <calcPr calcId="0"/>
</workbook>
</file>

<file path=xl/calcChain.xml><?xml version="1.0" encoding="utf-8"?>
<calcChain xmlns="http://schemas.openxmlformats.org/spreadsheetml/2006/main">
  <c r="L2" i="1" l="1"/>
  <c r="M2" i="1"/>
  <c r="C2" i="1"/>
  <c r="D2" i="1"/>
  <c r="E2" i="1"/>
  <c r="F2" i="1"/>
  <c r="G2" i="1"/>
  <c r="H2" i="1"/>
  <c r="I2" i="1"/>
  <c r="J2" i="1"/>
  <c r="K2" i="1"/>
  <c r="C1" i="1"/>
  <c r="D1" i="1"/>
  <c r="E1" i="1"/>
  <c r="F1" i="1"/>
  <c r="G1" i="1"/>
  <c r="H1" i="1"/>
  <c r="I1" i="1"/>
  <c r="J1" i="1"/>
  <c r="K1" i="1"/>
  <c r="L1" i="1"/>
  <c r="M1" i="1"/>
  <c r="B1" i="1"/>
  <c r="B2" i="1"/>
</calcChain>
</file>

<file path=xl/sharedStrings.xml><?xml version="1.0" encoding="utf-8"?>
<sst xmlns="http://schemas.openxmlformats.org/spreadsheetml/2006/main" count="14" uniqueCount="14">
  <si>
    <t>MIN:</t>
  </si>
  <si>
    <t>MAX:</t>
  </si>
  <si>
    <t>Duration (ms)</t>
  </si>
  <si>
    <t>Popularity</t>
  </si>
  <si>
    <t>Danceability</t>
  </si>
  <si>
    <t>Energy</t>
  </si>
  <si>
    <t>Key</t>
  </si>
  <si>
    <t>Loudness</t>
  </si>
  <si>
    <t>Speechiness</t>
  </si>
  <si>
    <t>Acousticness</t>
  </si>
  <si>
    <t>Instrumentalness</t>
  </si>
  <si>
    <t>Liveness</t>
  </si>
  <si>
    <t>Valence</t>
  </si>
  <si>
    <t>Tempo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</si>
</sst>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3E2FD-8EE4-4C35-A4F1-EC87F3E3C160}">
  <dimension ref="A1:M55"/>
  <sheetViews>
    <sheetView tabSelected="1" zoomScale="93" workbookViewId="0">
      <selection activeCell="A4" sqref="A4"/>
    </sheetView>
  </sheetViews>
  <sheetFormatPr baseColWidth="10" defaultRowHeight="14.4" x14ac:dyDescent="0.3"/>
  <sheetData>
    <row r="1" spans="1:13" x14ac:dyDescent="0.3">
      <c r="A1" t="s">
        <v>0</v>
      </c>
      <c r="B1">
        <f>MIN(B5:B55)</f>
        <v>142840</v>
      </c>
      <c r="C1">
        <f t="shared" ref="C1:M1" si="0">MIN(C5:C55)</f>
        <v>40</v>
      </c>
      <c r="D1">
        <f t="shared" si="0"/>
        <v>0.23599999999999999</v>
      </c>
      <c r="E1">
        <f t="shared" si="0"/>
        <v>7.8899999999999998E-2</v>
      </c>
      <c r="F1">
        <f t="shared" si="0"/>
        <v>0</v>
      </c>
      <c r="G1">
        <f t="shared" si="0"/>
        <v>-13.988</v>
      </c>
      <c r="H1">
        <f t="shared" si="0"/>
        <v>2.5600000000000001E-2</v>
      </c>
      <c r="I1">
        <f t="shared" si="0"/>
        <v>1.65E-3</v>
      </c>
      <c r="J1">
        <f t="shared" si="0"/>
        <v>0</v>
      </c>
      <c r="K1">
        <f t="shared" si="0"/>
        <v>4.4600000000000001E-2</v>
      </c>
      <c r="L1">
        <f t="shared" si="0"/>
        <v>9.9900000000000003E-2</v>
      </c>
      <c r="M1">
        <f t="shared" si="0"/>
        <v>69.045000000000002</v>
      </c>
    </row>
    <row r="2" spans="1:13" x14ac:dyDescent="0.3">
      <c r="A2" t="s">
        <v>1</v>
      </c>
      <c r="B2">
        <f>MAX(B5:B55)</f>
        <v>352687</v>
      </c>
      <c r="C2">
        <f t="shared" ref="C2:M2" si="1">MAX(C5:C55)</f>
        <v>71</v>
      </c>
      <c r="D2">
        <f t="shared" si="1"/>
        <v>0.72599999999999998</v>
      </c>
      <c r="E2">
        <f t="shared" si="1"/>
        <v>0.83899999999999997</v>
      </c>
      <c r="F2">
        <f t="shared" si="1"/>
        <v>11</v>
      </c>
      <c r="G2">
        <f t="shared" si="1"/>
        <v>-4.0720000000000001</v>
      </c>
      <c r="H2">
        <f t="shared" si="1"/>
        <v>0.10299999999999999</v>
      </c>
      <c r="I2">
        <f t="shared" si="1"/>
        <v>0.94199999999999995</v>
      </c>
      <c r="J2">
        <f t="shared" si="1"/>
        <v>6.0199999999999997E-2</v>
      </c>
      <c r="K2">
        <f t="shared" si="1"/>
        <v>0.73899999999999999</v>
      </c>
      <c r="L2">
        <f>MAX(L5:L55)</f>
        <v>0.72499999999999998</v>
      </c>
      <c r="M2">
        <f t="shared" si="1"/>
        <v>184.21199999999999</v>
      </c>
    </row>
    <row r="4" spans="1:13" x14ac:dyDescent="0.3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</row>
    <row r="5" spans="1:13" x14ac:dyDescent="0.3">
      <c r="B5">
        <v>265306</v>
      </c>
      <c r="C5">
        <v>60</v>
      </c>
      <c r="D5">
        <v>0.45200000000000001</v>
      </c>
      <c r="E5">
        <v>0.32900000000000001</v>
      </c>
      <c r="F5">
        <v>8</v>
      </c>
      <c r="G5">
        <v>-12.382</v>
      </c>
      <c r="H5">
        <v>4.2500000000000003E-2</v>
      </c>
      <c r="I5">
        <v>0.94199999999999995</v>
      </c>
      <c r="J5">
        <v>1.2800000000000001E-3</v>
      </c>
      <c r="K5">
        <v>9.7900000000000001E-2</v>
      </c>
      <c r="L5">
        <v>0.19800000000000001</v>
      </c>
      <c r="M5">
        <v>82.766999999999996</v>
      </c>
    </row>
    <row r="6" spans="1:13" x14ac:dyDescent="0.3">
      <c r="B6">
        <v>268653</v>
      </c>
      <c r="C6">
        <v>71</v>
      </c>
      <c r="D6">
        <v>0.29699999999999999</v>
      </c>
      <c r="E6">
        <v>0.83899999999999997</v>
      </c>
      <c r="F6">
        <v>7</v>
      </c>
      <c r="G6">
        <v>-4.4480000000000004</v>
      </c>
      <c r="H6">
        <v>8.48E-2</v>
      </c>
      <c r="I6">
        <v>0.39900000000000002</v>
      </c>
      <c r="J6">
        <v>0</v>
      </c>
      <c r="K6">
        <v>9.6500000000000002E-2</v>
      </c>
      <c r="L6">
        <v>0.30299999999999999</v>
      </c>
      <c r="M6">
        <v>152.99700000000001</v>
      </c>
    </row>
    <row r="7" spans="1:13" x14ac:dyDescent="0.3">
      <c r="B7">
        <v>231000</v>
      </c>
      <c r="C7">
        <v>68</v>
      </c>
      <c r="D7">
        <v>0.503</v>
      </c>
      <c r="E7">
        <v>0.72199999999999998</v>
      </c>
      <c r="F7">
        <v>9</v>
      </c>
      <c r="G7">
        <v>-7.5949999999999998</v>
      </c>
      <c r="H7">
        <v>0.10299999999999999</v>
      </c>
      <c r="I7">
        <v>0.20499999999999999</v>
      </c>
      <c r="J7">
        <v>3.5200000000000002E-5</v>
      </c>
      <c r="K7">
        <v>8.4500000000000006E-2</v>
      </c>
      <c r="L7">
        <v>0.35399999999999998</v>
      </c>
      <c r="M7">
        <v>172.006</v>
      </c>
    </row>
    <row r="8" spans="1:13" x14ac:dyDescent="0.3">
      <c r="B8">
        <v>238493</v>
      </c>
      <c r="C8">
        <v>66</v>
      </c>
      <c r="D8">
        <v>0.54400000000000004</v>
      </c>
      <c r="E8">
        <v>0.5</v>
      </c>
      <c r="F8">
        <v>11</v>
      </c>
      <c r="G8">
        <v>-8.2530000000000001</v>
      </c>
      <c r="H8">
        <v>2.5999999999999999E-2</v>
      </c>
      <c r="I8">
        <v>3.2500000000000001E-2</v>
      </c>
      <c r="J8">
        <v>3.7799999999999998E-6</v>
      </c>
      <c r="K8">
        <v>0.109</v>
      </c>
      <c r="L8">
        <v>0.17699999999999999</v>
      </c>
      <c r="M8">
        <v>93.620999999999995</v>
      </c>
    </row>
    <row r="9" spans="1:13" x14ac:dyDescent="0.3">
      <c r="B9">
        <v>230098</v>
      </c>
      <c r="C9">
        <v>62</v>
      </c>
      <c r="D9">
        <v>0.56799999999999995</v>
      </c>
      <c r="E9">
        <v>0.68600000000000005</v>
      </c>
      <c r="F9">
        <v>1</v>
      </c>
      <c r="G9">
        <v>-6.6349999999999998</v>
      </c>
      <c r="H9">
        <v>3.3000000000000002E-2</v>
      </c>
      <c r="I9">
        <v>0.15</v>
      </c>
      <c r="J9">
        <v>1.81E-6</v>
      </c>
      <c r="K9">
        <v>8.8099999999999998E-2</v>
      </c>
      <c r="L9">
        <v>0.72499999999999998</v>
      </c>
      <c r="M9">
        <v>172.07499999999999</v>
      </c>
    </row>
    <row r="10" spans="1:13" x14ac:dyDescent="0.3">
      <c r="B10">
        <v>214666</v>
      </c>
      <c r="C10">
        <v>61</v>
      </c>
      <c r="D10">
        <v>0.56399999999999995</v>
      </c>
      <c r="E10">
        <v>0.20899999999999999</v>
      </c>
      <c r="F10">
        <v>3</v>
      </c>
      <c r="G10">
        <v>-8.9220000000000006</v>
      </c>
      <c r="H10">
        <v>3.1699999999999999E-2</v>
      </c>
      <c r="I10">
        <v>0.72399999999999998</v>
      </c>
      <c r="J10">
        <v>3.9900000000000001E-5</v>
      </c>
      <c r="K10">
        <v>0.107</v>
      </c>
      <c r="L10">
        <v>0.40200000000000002</v>
      </c>
      <c r="M10">
        <v>109.024</v>
      </c>
    </row>
    <row r="11" spans="1:13" x14ac:dyDescent="0.3">
      <c r="B11">
        <v>209906</v>
      </c>
      <c r="C11">
        <v>58</v>
      </c>
      <c r="D11">
        <v>0.55900000000000005</v>
      </c>
      <c r="E11">
        <v>0.56200000000000006</v>
      </c>
      <c r="F11">
        <v>11</v>
      </c>
      <c r="G11">
        <v>-5.6740000000000004</v>
      </c>
      <c r="H11">
        <v>3.2500000000000001E-2</v>
      </c>
      <c r="I11">
        <v>0.20300000000000001</v>
      </c>
      <c r="J11">
        <v>9.4800000000000007E-6</v>
      </c>
      <c r="K11">
        <v>0.17</v>
      </c>
      <c r="L11">
        <v>0.42799999999999999</v>
      </c>
      <c r="M11">
        <v>132.06200000000001</v>
      </c>
    </row>
    <row r="12" spans="1:13" x14ac:dyDescent="0.3">
      <c r="B12">
        <v>279373</v>
      </c>
      <c r="C12">
        <v>58</v>
      </c>
      <c r="D12">
        <v>0.23599999999999999</v>
      </c>
      <c r="E12">
        <v>0.57799999999999996</v>
      </c>
      <c r="F12">
        <v>7</v>
      </c>
      <c r="G12">
        <v>-5.4770000000000003</v>
      </c>
      <c r="H12">
        <v>4.0399999999999998E-2</v>
      </c>
      <c r="I12">
        <v>0.32700000000000001</v>
      </c>
      <c r="J12">
        <v>1.4999999999999999E-4</v>
      </c>
      <c r="K12">
        <v>0.20599999999999999</v>
      </c>
      <c r="L12">
        <v>0.22700000000000001</v>
      </c>
      <c r="M12">
        <v>75.367000000000004</v>
      </c>
    </row>
    <row r="13" spans="1:13" x14ac:dyDescent="0.3">
      <c r="B13">
        <v>206267</v>
      </c>
      <c r="C13">
        <v>58</v>
      </c>
      <c r="D13">
        <v>0.60599999999999998</v>
      </c>
      <c r="E13">
        <v>0.32600000000000001</v>
      </c>
      <c r="F13">
        <v>10</v>
      </c>
      <c r="G13">
        <v>-10.031000000000001</v>
      </c>
      <c r="H13">
        <v>2.9399999999999999E-2</v>
      </c>
      <c r="I13">
        <v>0.84099999999999997</v>
      </c>
      <c r="J13">
        <v>0</v>
      </c>
      <c r="K13">
        <v>0.13900000000000001</v>
      </c>
      <c r="L13">
        <v>0.41399999999999998</v>
      </c>
      <c r="M13">
        <v>91.626000000000005</v>
      </c>
    </row>
    <row r="14" spans="1:13" x14ac:dyDescent="0.3">
      <c r="B14">
        <v>152946</v>
      </c>
      <c r="C14">
        <v>53</v>
      </c>
      <c r="D14">
        <v>0.63800000000000001</v>
      </c>
      <c r="E14">
        <v>0.45200000000000001</v>
      </c>
      <c r="F14">
        <v>9</v>
      </c>
      <c r="G14">
        <v>-9.6159999999999997</v>
      </c>
      <c r="H14">
        <v>2.9700000000000001E-2</v>
      </c>
      <c r="I14">
        <v>0.60799999999999998</v>
      </c>
      <c r="J14">
        <v>5.7700000000000001E-2</v>
      </c>
      <c r="K14">
        <v>0.112</v>
      </c>
      <c r="L14">
        <v>0.34100000000000003</v>
      </c>
      <c r="M14">
        <v>100.105</v>
      </c>
    </row>
    <row r="15" spans="1:13" x14ac:dyDescent="0.3">
      <c r="B15">
        <v>212480</v>
      </c>
      <c r="C15">
        <v>57</v>
      </c>
      <c r="D15">
        <v>0.55400000000000005</v>
      </c>
      <c r="E15">
        <v>0.47</v>
      </c>
      <c r="F15">
        <v>8</v>
      </c>
      <c r="G15">
        <v>-6.6040000000000001</v>
      </c>
      <c r="H15">
        <v>5.4800000000000001E-2</v>
      </c>
      <c r="I15">
        <v>0.77</v>
      </c>
      <c r="J15">
        <v>2.6000000000000001E-6</v>
      </c>
      <c r="K15">
        <v>0.106</v>
      </c>
      <c r="L15">
        <v>0.34599999999999997</v>
      </c>
      <c r="M15">
        <v>95.597999999999999</v>
      </c>
    </row>
    <row r="16" spans="1:13" x14ac:dyDescent="0.3">
      <c r="B16">
        <v>241146</v>
      </c>
      <c r="C16">
        <v>54</v>
      </c>
      <c r="D16">
        <v>0.57699999999999996</v>
      </c>
      <c r="E16">
        <v>0.53</v>
      </c>
      <c r="F16">
        <v>7</v>
      </c>
      <c r="G16">
        <v>-6.7489999999999997</v>
      </c>
      <c r="H16">
        <v>3.1199999999999999E-2</v>
      </c>
      <c r="I16">
        <v>0.54400000000000004</v>
      </c>
      <c r="J16">
        <v>3.2899999999999998E-6</v>
      </c>
      <c r="K16">
        <v>0.10299999999999999</v>
      </c>
      <c r="L16">
        <v>0.22</v>
      </c>
      <c r="M16">
        <v>85.471000000000004</v>
      </c>
    </row>
    <row r="17" spans="2:13" x14ac:dyDescent="0.3">
      <c r="B17">
        <v>185228</v>
      </c>
      <c r="C17">
        <v>53</v>
      </c>
      <c r="D17">
        <v>0.41899999999999998</v>
      </c>
      <c r="E17">
        <v>0.26900000000000002</v>
      </c>
      <c r="F17">
        <v>7</v>
      </c>
      <c r="G17">
        <v>-9.3879999999999999</v>
      </c>
      <c r="H17">
        <v>3.56E-2</v>
      </c>
      <c r="I17">
        <v>0.626</v>
      </c>
      <c r="J17">
        <v>1.8300000000000001E-5</v>
      </c>
      <c r="K17">
        <v>0.11600000000000001</v>
      </c>
      <c r="L17">
        <v>0.152</v>
      </c>
      <c r="M17">
        <v>121.69499999999999</v>
      </c>
    </row>
    <row r="18" spans="2:13" x14ac:dyDescent="0.3">
      <c r="B18">
        <v>259558</v>
      </c>
      <c r="C18">
        <v>55</v>
      </c>
      <c r="D18">
        <v>0.35399999999999998</v>
      </c>
      <c r="E18">
        <v>0.20599999999999999</v>
      </c>
      <c r="F18">
        <v>0</v>
      </c>
      <c r="G18">
        <v>-11.798999999999999</v>
      </c>
      <c r="H18">
        <v>3.6499999999999998E-2</v>
      </c>
      <c r="I18">
        <v>0.77900000000000003</v>
      </c>
      <c r="J18">
        <v>2.1000000000000001E-4</v>
      </c>
      <c r="K18">
        <v>9.5899999999999999E-2</v>
      </c>
      <c r="L18">
        <v>0.20200000000000001</v>
      </c>
      <c r="M18">
        <v>139.05600000000001</v>
      </c>
    </row>
    <row r="19" spans="2:13" x14ac:dyDescent="0.3">
      <c r="B19">
        <v>185421</v>
      </c>
      <c r="C19">
        <v>52</v>
      </c>
      <c r="D19">
        <v>0.32700000000000001</v>
      </c>
      <c r="E19">
        <v>0.16800000000000001</v>
      </c>
      <c r="F19">
        <v>9</v>
      </c>
      <c r="G19">
        <v>-13.988</v>
      </c>
      <c r="H19">
        <v>4.99E-2</v>
      </c>
      <c r="I19">
        <v>0.91200000000000003</v>
      </c>
      <c r="J19">
        <v>2.4500000000000001E-2</v>
      </c>
      <c r="K19">
        <v>9.7299999999999998E-2</v>
      </c>
      <c r="L19">
        <v>9.9900000000000003E-2</v>
      </c>
      <c r="M19">
        <v>76.778999999999996</v>
      </c>
    </row>
    <row r="20" spans="2:13" x14ac:dyDescent="0.3">
      <c r="B20">
        <v>211674</v>
      </c>
      <c r="C20">
        <v>51</v>
      </c>
      <c r="D20">
        <v>0.42499999999999999</v>
      </c>
      <c r="E20">
        <v>0.25800000000000001</v>
      </c>
      <c r="F20">
        <v>6</v>
      </c>
      <c r="G20">
        <v>-9.3239999999999998</v>
      </c>
      <c r="H20">
        <v>3.5999999999999997E-2</v>
      </c>
      <c r="I20">
        <v>0.73599999999999999</v>
      </c>
      <c r="J20">
        <v>0</v>
      </c>
      <c r="K20">
        <v>7.3400000000000007E-2</v>
      </c>
      <c r="L20">
        <v>0.311</v>
      </c>
      <c r="M20">
        <v>162.761</v>
      </c>
    </row>
    <row r="21" spans="2:13" x14ac:dyDescent="0.3">
      <c r="B21">
        <v>196973</v>
      </c>
      <c r="C21">
        <v>52</v>
      </c>
      <c r="D21">
        <v>0.56299999999999994</v>
      </c>
      <c r="E21">
        <v>0.46300000000000002</v>
      </c>
      <c r="F21">
        <v>8</v>
      </c>
      <c r="G21">
        <v>-7.3659999999999997</v>
      </c>
      <c r="H21">
        <v>5.5100000000000003E-2</v>
      </c>
      <c r="I21">
        <v>0.80400000000000005</v>
      </c>
      <c r="J21">
        <v>2.2699999999999999E-6</v>
      </c>
      <c r="K21">
        <v>9.1999999999999998E-2</v>
      </c>
      <c r="L21">
        <v>0.39400000000000002</v>
      </c>
      <c r="M21">
        <v>98.039000000000001</v>
      </c>
    </row>
    <row r="22" spans="2:13" x14ac:dyDescent="0.3">
      <c r="B22">
        <v>352687</v>
      </c>
      <c r="C22">
        <v>60</v>
      </c>
      <c r="D22">
        <v>0.38700000000000001</v>
      </c>
      <c r="E22">
        <v>0.41599999999999998</v>
      </c>
      <c r="F22">
        <v>9</v>
      </c>
      <c r="G22">
        <v>-10.1</v>
      </c>
      <c r="H22">
        <v>3.2099999999999997E-2</v>
      </c>
      <c r="I22">
        <v>0.86199999999999999</v>
      </c>
      <c r="J22">
        <v>8.8799999999999997E-6</v>
      </c>
      <c r="K22">
        <v>0.11799999999999999</v>
      </c>
      <c r="L22">
        <v>0.25600000000000001</v>
      </c>
      <c r="M22">
        <v>156.17500000000001</v>
      </c>
    </row>
    <row r="23" spans="2:13" x14ac:dyDescent="0.3">
      <c r="B23">
        <v>213732</v>
      </c>
      <c r="C23">
        <v>59</v>
      </c>
      <c r="D23">
        <v>0.63900000000000001</v>
      </c>
      <c r="E23">
        <v>0.66600000000000004</v>
      </c>
      <c r="F23">
        <v>0</v>
      </c>
      <c r="G23">
        <v>-7.7750000000000004</v>
      </c>
      <c r="H23">
        <v>6.3600000000000004E-2</v>
      </c>
      <c r="I23">
        <v>0.27100000000000002</v>
      </c>
      <c r="J23">
        <v>0</v>
      </c>
      <c r="K23">
        <v>0.111</v>
      </c>
      <c r="L23">
        <v>0.372</v>
      </c>
      <c r="M23">
        <v>98.384</v>
      </c>
    </row>
    <row r="24" spans="2:13" x14ac:dyDescent="0.3">
      <c r="B24">
        <v>178320</v>
      </c>
      <c r="C24">
        <v>49</v>
      </c>
      <c r="D24">
        <v>0.54500000000000004</v>
      </c>
      <c r="E24">
        <v>0.34899999999999998</v>
      </c>
      <c r="F24">
        <v>2</v>
      </c>
      <c r="G24">
        <v>-9.9309999999999992</v>
      </c>
      <c r="H24">
        <v>4.7800000000000002E-2</v>
      </c>
      <c r="I24">
        <v>0.48099999999999998</v>
      </c>
      <c r="J24">
        <v>6.02E-5</v>
      </c>
      <c r="K24">
        <v>9.8500000000000004E-2</v>
      </c>
      <c r="L24">
        <v>0.34699999999999998</v>
      </c>
      <c r="M24">
        <v>79.168000000000006</v>
      </c>
    </row>
    <row r="25" spans="2:13" x14ac:dyDescent="0.3">
      <c r="B25">
        <v>201493</v>
      </c>
      <c r="C25">
        <v>49</v>
      </c>
      <c r="D25">
        <v>0.72599999999999998</v>
      </c>
      <c r="E25">
        <v>0.66700000000000004</v>
      </c>
      <c r="F25">
        <v>10</v>
      </c>
      <c r="G25">
        <v>-4.0720000000000001</v>
      </c>
      <c r="H25">
        <v>4.9099999999999998E-2</v>
      </c>
      <c r="I25">
        <v>0.48199999999999998</v>
      </c>
      <c r="J25">
        <v>0</v>
      </c>
      <c r="K25">
        <v>4.4600000000000001E-2</v>
      </c>
      <c r="L25">
        <v>0.20499999999999999</v>
      </c>
      <c r="M25">
        <v>87.085999999999999</v>
      </c>
    </row>
    <row r="26" spans="2:13" x14ac:dyDescent="0.3">
      <c r="B26">
        <v>224893</v>
      </c>
      <c r="C26">
        <v>50</v>
      </c>
      <c r="D26">
        <v>0.44400000000000001</v>
      </c>
      <c r="E26">
        <v>7.8899999999999998E-2</v>
      </c>
      <c r="F26">
        <v>11</v>
      </c>
      <c r="G26">
        <v>-13.848000000000001</v>
      </c>
      <c r="H26">
        <v>4.6399999999999997E-2</v>
      </c>
      <c r="I26">
        <v>0.84</v>
      </c>
      <c r="J26">
        <v>1.64E-4</v>
      </c>
      <c r="K26">
        <v>0.106</v>
      </c>
      <c r="L26">
        <v>0.154</v>
      </c>
      <c r="M26">
        <v>87.347999999999999</v>
      </c>
    </row>
    <row r="27" spans="2:13" x14ac:dyDescent="0.3">
      <c r="B27">
        <v>221813</v>
      </c>
      <c r="C27">
        <v>49</v>
      </c>
      <c r="D27">
        <v>0.60199999999999998</v>
      </c>
      <c r="E27">
        <v>0.61899999999999999</v>
      </c>
      <c r="F27">
        <v>5</v>
      </c>
      <c r="G27">
        <v>-8.1940000000000008</v>
      </c>
      <c r="H27">
        <v>3.56E-2</v>
      </c>
      <c r="I27">
        <v>7.7100000000000002E-2</v>
      </c>
      <c r="J27">
        <v>0</v>
      </c>
      <c r="K27">
        <v>8.8700000000000001E-2</v>
      </c>
      <c r="L27">
        <v>0.22800000000000001</v>
      </c>
      <c r="M27">
        <v>107.428</v>
      </c>
    </row>
    <row r="28" spans="2:13" x14ac:dyDescent="0.3">
      <c r="B28">
        <v>207600</v>
      </c>
      <c r="C28">
        <v>52</v>
      </c>
      <c r="D28">
        <v>0.36199999999999999</v>
      </c>
      <c r="E28">
        <v>0.54300000000000004</v>
      </c>
      <c r="F28">
        <v>5</v>
      </c>
      <c r="G28">
        <v>-7.069</v>
      </c>
      <c r="H28">
        <v>3.8600000000000002E-2</v>
      </c>
      <c r="I28">
        <v>0.6</v>
      </c>
      <c r="J28">
        <v>3.2899999999999997E-4</v>
      </c>
      <c r="K28">
        <v>0.10100000000000001</v>
      </c>
      <c r="L28">
        <v>0.35399999999999998</v>
      </c>
      <c r="M28">
        <v>179.44300000000001</v>
      </c>
    </row>
    <row r="29" spans="2:13" x14ac:dyDescent="0.3">
      <c r="B29">
        <v>142840</v>
      </c>
      <c r="C29">
        <v>49</v>
      </c>
      <c r="D29">
        <v>0.58599999999999997</v>
      </c>
      <c r="E29">
        <v>0.70899999999999996</v>
      </c>
      <c r="F29">
        <v>11</v>
      </c>
      <c r="G29">
        <v>-5.24</v>
      </c>
      <c r="H29">
        <v>5.4699999999999999E-2</v>
      </c>
      <c r="I29">
        <v>0.28199999999999997</v>
      </c>
      <c r="J29">
        <v>0</v>
      </c>
      <c r="K29">
        <v>0.16500000000000001</v>
      </c>
      <c r="L29">
        <v>0.45100000000000001</v>
      </c>
      <c r="M29">
        <v>93.296999999999997</v>
      </c>
    </row>
    <row r="30" spans="2:13" x14ac:dyDescent="0.3">
      <c r="B30">
        <v>270426</v>
      </c>
      <c r="C30">
        <v>47</v>
      </c>
      <c r="D30">
        <v>0.55800000000000005</v>
      </c>
      <c r="E30">
        <v>0.39800000000000002</v>
      </c>
      <c r="F30">
        <v>5</v>
      </c>
      <c r="G30">
        <v>-7.5990000000000002</v>
      </c>
      <c r="H30">
        <v>2.98E-2</v>
      </c>
      <c r="I30">
        <v>0.68100000000000005</v>
      </c>
      <c r="J30">
        <v>0</v>
      </c>
      <c r="K30">
        <v>8.5900000000000004E-2</v>
      </c>
      <c r="L30">
        <v>0.183</v>
      </c>
      <c r="M30">
        <v>139.785</v>
      </c>
    </row>
    <row r="31" spans="2:13" x14ac:dyDescent="0.3">
      <c r="B31">
        <v>303593</v>
      </c>
      <c r="C31">
        <v>51</v>
      </c>
      <c r="D31">
        <v>0.44400000000000001</v>
      </c>
      <c r="E31">
        <v>0.72899999999999998</v>
      </c>
      <c r="F31">
        <v>2</v>
      </c>
      <c r="G31">
        <v>-5.4420000000000002</v>
      </c>
      <c r="H31">
        <v>2.81E-2</v>
      </c>
      <c r="I31">
        <v>6.9499999999999996E-3</v>
      </c>
      <c r="J31">
        <v>1.7999999999999999E-6</v>
      </c>
      <c r="K31">
        <v>7.0300000000000001E-2</v>
      </c>
      <c r="L31">
        <v>0.38800000000000001</v>
      </c>
      <c r="M31">
        <v>95.257999999999996</v>
      </c>
    </row>
    <row r="32" spans="2:13" x14ac:dyDescent="0.3">
      <c r="B32">
        <v>230108</v>
      </c>
      <c r="C32">
        <v>47</v>
      </c>
      <c r="D32">
        <v>0.54200000000000004</v>
      </c>
      <c r="E32">
        <v>0.58399999999999996</v>
      </c>
      <c r="F32">
        <v>9</v>
      </c>
      <c r="G32">
        <v>-6.7839999999999998</v>
      </c>
      <c r="H32">
        <v>5.8700000000000002E-2</v>
      </c>
      <c r="I32">
        <v>0.38300000000000001</v>
      </c>
      <c r="J32">
        <v>3.2400000000000001E-5</v>
      </c>
      <c r="K32">
        <v>0.29699999999999999</v>
      </c>
      <c r="L32">
        <v>0.247</v>
      </c>
      <c r="M32">
        <v>91.647999999999996</v>
      </c>
    </row>
    <row r="33" spans="2:13" x14ac:dyDescent="0.3">
      <c r="B33">
        <v>193373</v>
      </c>
      <c r="C33">
        <v>48</v>
      </c>
      <c r="D33">
        <v>0.44400000000000001</v>
      </c>
      <c r="E33">
        <v>0.55800000000000005</v>
      </c>
      <c r="F33">
        <v>8</v>
      </c>
      <c r="G33">
        <v>-5.6840000000000002</v>
      </c>
      <c r="H33">
        <v>3.9E-2</v>
      </c>
      <c r="I33">
        <v>0.28199999999999997</v>
      </c>
      <c r="J33">
        <v>1.4899999999999999E-6</v>
      </c>
      <c r="K33">
        <v>0.10199999999999999</v>
      </c>
      <c r="L33">
        <v>0.24399999999999999</v>
      </c>
      <c r="M33">
        <v>119.22</v>
      </c>
    </row>
    <row r="34" spans="2:13" x14ac:dyDescent="0.3">
      <c r="B34">
        <v>222293</v>
      </c>
      <c r="C34">
        <v>47</v>
      </c>
      <c r="D34">
        <v>0.54300000000000004</v>
      </c>
      <c r="E34">
        <v>0.32700000000000001</v>
      </c>
      <c r="F34">
        <v>9</v>
      </c>
      <c r="G34">
        <v>-6.8129999999999997</v>
      </c>
      <c r="H34">
        <v>3.6799999999999999E-2</v>
      </c>
      <c r="I34">
        <v>0.78500000000000003</v>
      </c>
      <c r="J34">
        <v>0</v>
      </c>
      <c r="K34">
        <v>8.8800000000000004E-2</v>
      </c>
      <c r="L34">
        <v>0.249</v>
      </c>
      <c r="M34">
        <v>135.25700000000001</v>
      </c>
    </row>
    <row r="35" spans="2:13" x14ac:dyDescent="0.3">
      <c r="B35">
        <v>220720</v>
      </c>
      <c r="C35">
        <v>46</v>
      </c>
      <c r="D35">
        <v>0.45700000000000002</v>
      </c>
      <c r="E35">
        <v>0.36599999999999999</v>
      </c>
      <c r="F35">
        <v>2</v>
      </c>
      <c r="G35">
        <v>-7.3780000000000001</v>
      </c>
      <c r="H35">
        <v>4.1300000000000003E-2</v>
      </c>
      <c r="I35">
        <v>0.79200000000000004</v>
      </c>
      <c r="J35">
        <v>3.0700000000000001E-5</v>
      </c>
      <c r="K35">
        <v>8.8099999999999998E-2</v>
      </c>
      <c r="L35">
        <v>0.26300000000000001</v>
      </c>
      <c r="M35">
        <v>141.36000000000001</v>
      </c>
    </row>
    <row r="36" spans="2:13" x14ac:dyDescent="0.3">
      <c r="B36">
        <v>231693</v>
      </c>
      <c r="C36">
        <v>45</v>
      </c>
      <c r="D36">
        <v>0.42199999999999999</v>
      </c>
      <c r="E36">
        <v>0.47499999999999998</v>
      </c>
      <c r="F36">
        <v>11</v>
      </c>
      <c r="G36">
        <v>-5.9489999999999998</v>
      </c>
      <c r="H36">
        <v>3.6900000000000002E-2</v>
      </c>
      <c r="I36">
        <v>0.45500000000000002</v>
      </c>
      <c r="J36">
        <v>0</v>
      </c>
      <c r="K36">
        <v>0.14399999999999999</v>
      </c>
      <c r="L36">
        <v>0.28899999999999998</v>
      </c>
      <c r="M36">
        <v>167.64699999999999</v>
      </c>
    </row>
    <row r="37" spans="2:13" x14ac:dyDescent="0.3">
      <c r="B37">
        <v>174933</v>
      </c>
      <c r="C37">
        <v>49</v>
      </c>
      <c r="D37">
        <v>0.57899999999999996</v>
      </c>
      <c r="E37">
        <v>0.621</v>
      </c>
      <c r="F37">
        <v>5</v>
      </c>
      <c r="G37">
        <v>-5.9340000000000002</v>
      </c>
      <c r="H37">
        <v>3.5299999999999998E-2</v>
      </c>
      <c r="I37">
        <v>0.27</v>
      </c>
      <c r="J37">
        <v>0</v>
      </c>
      <c r="K37">
        <v>9.6500000000000002E-2</v>
      </c>
      <c r="L37">
        <v>0.61099999999999999</v>
      </c>
      <c r="M37">
        <v>139.38999999999999</v>
      </c>
    </row>
    <row r="38" spans="2:13" x14ac:dyDescent="0.3">
      <c r="B38">
        <v>291533</v>
      </c>
      <c r="C38">
        <v>49</v>
      </c>
      <c r="D38">
        <v>0.41699999999999998</v>
      </c>
      <c r="E38">
        <v>0.63400000000000001</v>
      </c>
      <c r="F38">
        <v>9</v>
      </c>
      <c r="G38">
        <v>-7.181</v>
      </c>
      <c r="H38">
        <v>4.82E-2</v>
      </c>
      <c r="I38">
        <v>1.7299999999999999E-2</v>
      </c>
      <c r="J38">
        <v>2.02E-5</v>
      </c>
      <c r="K38">
        <v>0.113</v>
      </c>
      <c r="L38">
        <v>0.32100000000000001</v>
      </c>
      <c r="M38">
        <v>152.65100000000001</v>
      </c>
    </row>
    <row r="39" spans="2:13" x14ac:dyDescent="0.3">
      <c r="B39">
        <v>287346</v>
      </c>
      <c r="C39">
        <v>45</v>
      </c>
      <c r="D39">
        <v>0.53900000000000003</v>
      </c>
      <c r="E39">
        <v>0.187</v>
      </c>
      <c r="F39">
        <v>5</v>
      </c>
      <c r="G39">
        <v>-11.756</v>
      </c>
      <c r="H39">
        <v>3.5299999999999998E-2</v>
      </c>
      <c r="I39">
        <v>0.83299999999999996</v>
      </c>
      <c r="J39">
        <v>0</v>
      </c>
      <c r="K39">
        <v>0.11899999999999999</v>
      </c>
      <c r="L39">
        <v>0.35599999999999998</v>
      </c>
      <c r="M39">
        <v>128.96899999999999</v>
      </c>
    </row>
    <row r="40" spans="2:13" x14ac:dyDescent="0.3">
      <c r="B40">
        <v>182186</v>
      </c>
      <c r="C40">
        <v>45</v>
      </c>
      <c r="D40">
        <v>0.55700000000000005</v>
      </c>
      <c r="E40">
        <v>0.185</v>
      </c>
      <c r="F40">
        <v>8</v>
      </c>
      <c r="G40">
        <v>-12.173999999999999</v>
      </c>
      <c r="H40">
        <v>4.3900000000000002E-2</v>
      </c>
      <c r="I40">
        <v>0.91300000000000003</v>
      </c>
      <c r="J40">
        <v>2.2200000000000001E-5</v>
      </c>
      <c r="K40">
        <v>0.15</v>
      </c>
      <c r="L40">
        <v>0.41799999999999998</v>
      </c>
      <c r="M40">
        <v>145.77199999999999</v>
      </c>
    </row>
    <row r="41" spans="2:13" x14ac:dyDescent="0.3">
      <c r="B41">
        <v>169920</v>
      </c>
      <c r="C41">
        <v>46</v>
      </c>
      <c r="D41">
        <v>0.40300000000000002</v>
      </c>
      <c r="E41">
        <v>0.59599999999999997</v>
      </c>
      <c r="F41">
        <v>2</v>
      </c>
      <c r="G41">
        <v>-6.7469999999999999</v>
      </c>
      <c r="H41">
        <v>3.2099999999999997E-2</v>
      </c>
      <c r="I41">
        <v>0.255</v>
      </c>
      <c r="J41">
        <v>0</v>
      </c>
      <c r="K41">
        <v>0.307</v>
      </c>
      <c r="L41">
        <v>0.59399999999999997</v>
      </c>
      <c r="M41">
        <v>171.92</v>
      </c>
    </row>
    <row r="42" spans="2:13" x14ac:dyDescent="0.3">
      <c r="B42">
        <v>156146</v>
      </c>
      <c r="C42">
        <v>43</v>
      </c>
      <c r="D42">
        <v>0.65</v>
      </c>
      <c r="E42">
        <v>0.188</v>
      </c>
      <c r="F42">
        <v>9</v>
      </c>
      <c r="G42">
        <v>-11.04</v>
      </c>
      <c r="H42">
        <v>3.9199999999999999E-2</v>
      </c>
      <c r="I42">
        <v>0.88200000000000001</v>
      </c>
      <c r="J42">
        <v>0</v>
      </c>
      <c r="K42">
        <v>0.114</v>
      </c>
      <c r="L42">
        <v>0.254</v>
      </c>
      <c r="M42">
        <v>114.142</v>
      </c>
    </row>
    <row r="43" spans="2:13" x14ac:dyDescent="0.3">
      <c r="B43">
        <v>286093</v>
      </c>
      <c r="C43">
        <v>46</v>
      </c>
      <c r="D43">
        <v>0.42399999999999999</v>
      </c>
      <c r="E43">
        <v>0.25900000000000001</v>
      </c>
      <c r="F43">
        <v>9</v>
      </c>
      <c r="G43">
        <v>-13.585000000000001</v>
      </c>
      <c r="H43">
        <v>4.4400000000000002E-2</v>
      </c>
      <c r="I43">
        <v>0.93600000000000005</v>
      </c>
      <c r="J43">
        <v>2.0899999999999999E-6</v>
      </c>
      <c r="K43">
        <v>0.73899999999999999</v>
      </c>
      <c r="L43">
        <v>0.48699999999999999</v>
      </c>
      <c r="M43">
        <v>69.045000000000002</v>
      </c>
    </row>
    <row r="44" spans="2:13" x14ac:dyDescent="0.3">
      <c r="B44">
        <v>206268</v>
      </c>
      <c r="C44">
        <v>44</v>
      </c>
      <c r="D44">
        <v>0.68700000000000006</v>
      </c>
      <c r="E44">
        <v>0.79800000000000004</v>
      </c>
      <c r="F44">
        <v>3</v>
      </c>
      <c r="G44">
        <v>-5.548</v>
      </c>
      <c r="H44">
        <v>6.3700000000000007E-2</v>
      </c>
      <c r="I44">
        <v>0.13900000000000001</v>
      </c>
      <c r="J44">
        <v>2.0999999999999999E-5</v>
      </c>
      <c r="K44">
        <v>8.9800000000000005E-2</v>
      </c>
      <c r="L44">
        <v>0.68</v>
      </c>
      <c r="M44">
        <v>118.68600000000001</v>
      </c>
    </row>
    <row r="45" spans="2:13" x14ac:dyDescent="0.3">
      <c r="B45">
        <v>151333</v>
      </c>
      <c r="C45">
        <v>41</v>
      </c>
      <c r="D45">
        <v>0.55500000000000005</v>
      </c>
      <c r="E45">
        <v>0.37</v>
      </c>
      <c r="F45">
        <v>10</v>
      </c>
      <c r="G45">
        <v>-9.827</v>
      </c>
      <c r="H45">
        <v>3.04E-2</v>
      </c>
      <c r="I45">
        <v>0.85099999999999998</v>
      </c>
      <c r="J45">
        <v>2.0599999999999999E-4</v>
      </c>
      <c r="K45">
        <v>0.129</v>
      </c>
      <c r="L45">
        <v>0.53300000000000003</v>
      </c>
      <c r="M45">
        <v>80.338999999999999</v>
      </c>
    </row>
    <row r="46" spans="2:13" x14ac:dyDescent="0.3">
      <c r="B46">
        <v>209051</v>
      </c>
      <c r="C46">
        <v>45</v>
      </c>
      <c r="D46">
        <v>0.41499999999999998</v>
      </c>
      <c r="E46">
        <v>0.59899999999999998</v>
      </c>
      <c r="F46">
        <v>2</v>
      </c>
      <c r="G46">
        <v>-5.891</v>
      </c>
      <c r="H46">
        <v>3.1800000000000002E-2</v>
      </c>
      <c r="I46">
        <v>0.219</v>
      </c>
      <c r="J46">
        <v>1.11E-6</v>
      </c>
      <c r="K46">
        <v>0.32800000000000001</v>
      </c>
      <c r="L46">
        <v>0.55300000000000005</v>
      </c>
      <c r="M46">
        <v>172.709</v>
      </c>
    </row>
    <row r="47" spans="2:13" x14ac:dyDescent="0.3">
      <c r="B47">
        <v>211600</v>
      </c>
      <c r="C47">
        <v>42</v>
      </c>
      <c r="D47">
        <v>0.56699999999999995</v>
      </c>
      <c r="E47">
        <v>0.66500000000000004</v>
      </c>
      <c r="F47">
        <v>11</v>
      </c>
      <c r="G47">
        <v>-4.4649999999999999</v>
      </c>
      <c r="H47">
        <v>2.5600000000000001E-2</v>
      </c>
      <c r="I47">
        <v>7.1400000000000005E-2</v>
      </c>
      <c r="J47">
        <v>0</v>
      </c>
      <c r="K47">
        <v>0.17699999999999999</v>
      </c>
      <c r="L47">
        <v>0.59799999999999998</v>
      </c>
      <c r="M47">
        <v>97.814999999999998</v>
      </c>
    </row>
    <row r="48" spans="2:13" x14ac:dyDescent="0.3">
      <c r="B48">
        <v>309746</v>
      </c>
      <c r="C48">
        <v>45</v>
      </c>
      <c r="D48">
        <v>0.32</v>
      </c>
      <c r="E48">
        <v>0.438</v>
      </c>
      <c r="F48">
        <v>0</v>
      </c>
      <c r="G48">
        <v>-7.5529999999999999</v>
      </c>
      <c r="H48">
        <v>8.8999999999999996E-2</v>
      </c>
      <c r="I48">
        <v>0.70299999999999996</v>
      </c>
      <c r="J48">
        <v>1.26E-5</v>
      </c>
      <c r="K48">
        <v>0.10100000000000001</v>
      </c>
      <c r="L48">
        <v>0.46500000000000002</v>
      </c>
      <c r="M48">
        <v>184.21199999999999</v>
      </c>
    </row>
    <row r="49" spans="2:13" x14ac:dyDescent="0.3">
      <c r="B49">
        <v>200040</v>
      </c>
      <c r="C49">
        <v>43</v>
      </c>
      <c r="D49">
        <v>0.47899999999999998</v>
      </c>
      <c r="E49">
        <v>0.502</v>
      </c>
      <c r="F49">
        <v>6</v>
      </c>
      <c r="G49">
        <v>-5.1639999999999997</v>
      </c>
      <c r="H49">
        <v>5.1900000000000002E-2</v>
      </c>
      <c r="I49">
        <v>0.223</v>
      </c>
      <c r="J49">
        <v>0</v>
      </c>
      <c r="K49">
        <v>7.9899999999999999E-2</v>
      </c>
      <c r="L49">
        <v>0.57799999999999996</v>
      </c>
      <c r="M49">
        <v>176.49</v>
      </c>
    </row>
    <row r="50" spans="2:13" x14ac:dyDescent="0.3">
      <c r="B50">
        <v>345026</v>
      </c>
      <c r="C50">
        <v>44</v>
      </c>
      <c r="D50">
        <v>0.38800000000000001</v>
      </c>
      <c r="E50">
        <v>0.57499999999999996</v>
      </c>
      <c r="F50">
        <v>5</v>
      </c>
      <c r="G50">
        <v>-7.2720000000000002</v>
      </c>
      <c r="H50">
        <v>2.93E-2</v>
      </c>
      <c r="I50">
        <v>0.26600000000000001</v>
      </c>
      <c r="J50">
        <v>2.2499999999999998E-3</v>
      </c>
      <c r="K50">
        <v>9.5600000000000004E-2</v>
      </c>
      <c r="L50">
        <v>0.218</v>
      </c>
      <c r="M50">
        <v>86.582999999999998</v>
      </c>
    </row>
    <row r="51" spans="2:13" x14ac:dyDescent="0.3">
      <c r="B51">
        <v>159173</v>
      </c>
      <c r="C51">
        <v>40</v>
      </c>
      <c r="D51">
        <v>0.57199999999999995</v>
      </c>
      <c r="E51">
        <v>0.191</v>
      </c>
      <c r="F51">
        <v>11</v>
      </c>
      <c r="G51">
        <v>-10.545</v>
      </c>
      <c r="H51">
        <v>3.7999999999999999E-2</v>
      </c>
      <c r="I51">
        <v>0.94</v>
      </c>
      <c r="J51">
        <v>6.2500000000000001E-5</v>
      </c>
      <c r="K51">
        <v>0.221</v>
      </c>
      <c r="L51">
        <v>0.48399999999999999</v>
      </c>
      <c r="M51">
        <v>139.797</v>
      </c>
    </row>
    <row r="52" spans="2:13" x14ac:dyDescent="0.3">
      <c r="B52">
        <v>346397</v>
      </c>
      <c r="C52">
        <v>45</v>
      </c>
      <c r="D52">
        <v>0.28799999999999998</v>
      </c>
      <c r="E52">
        <v>0.18</v>
      </c>
      <c r="F52">
        <v>7</v>
      </c>
      <c r="G52">
        <v>-10.987</v>
      </c>
      <c r="H52">
        <v>4.0300000000000002E-2</v>
      </c>
      <c r="I52">
        <v>0.90500000000000003</v>
      </c>
      <c r="J52">
        <v>0</v>
      </c>
      <c r="K52">
        <v>0.159</v>
      </c>
      <c r="L52">
        <v>0.20200000000000001</v>
      </c>
      <c r="M52">
        <v>88.054000000000002</v>
      </c>
    </row>
    <row r="53" spans="2:13" x14ac:dyDescent="0.3">
      <c r="B53">
        <v>247133</v>
      </c>
      <c r="C53">
        <v>42</v>
      </c>
      <c r="D53">
        <v>0.40600000000000003</v>
      </c>
      <c r="E53">
        <v>0.34100000000000003</v>
      </c>
      <c r="F53">
        <v>7</v>
      </c>
      <c r="G53">
        <v>-7.7469999999999999</v>
      </c>
      <c r="H53">
        <v>3.49E-2</v>
      </c>
      <c r="I53">
        <v>0.68100000000000005</v>
      </c>
      <c r="J53">
        <v>5.6800000000000004E-4</v>
      </c>
      <c r="K53">
        <v>7.8899999999999998E-2</v>
      </c>
      <c r="L53">
        <v>0.28599999999999998</v>
      </c>
      <c r="M53">
        <v>148.654</v>
      </c>
    </row>
    <row r="54" spans="2:13" x14ac:dyDescent="0.3">
      <c r="B54">
        <v>206636</v>
      </c>
      <c r="C54">
        <v>42</v>
      </c>
      <c r="D54">
        <v>0.68400000000000005</v>
      </c>
      <c r="E54">
        <v>0.53600000000000003</v>
      </c>
      <c r="F54">
        <v>5</v>
      </c>
      <c r="G54">
        <v>-7.6349999999999998</v>
      </c>
      <c r="H54">
        <v>4.02E-2</v>
      </c>
      <c r="I54">
        <v>1.65E-3</v>
      </c>
      <c r="J54">
        <v>6.0199999999999997E-2</v>
      </c>
      <c r="K54">
        <v>0.106</v>
      </c>
      <c r="L54">
        <v>0.40899999999999997</v>
      </c>
      <c r="M54">
        <v>107.98099999999999</v>
      </c>
    </row>
    <row r="55" spans="2:13" x14ac:dyDescent="0.3">
      <c r="B55">
        <v>276146</v>
      </c>
      <c r="C55">
        <v>40</v>
      </c>
      <c r="D55">
        <v>0.46300000000000002</v>
      </c>
      <c r="E55">
        <v>0.248</v>
      </c>
      <c r="F55">
        <v>10</v>
      </c>
      <c r="G55">
        <v>-10.246</v>
      </c>
      <c r="H55">
        <v>4.48E-2</v>
      </c>
      <c r="I55">
        <v>0.871</v>
      </c>
      <c r="J55">
        <v>2.83E-5</v>
      </c>
      <c r="K55">
        <v>0.10299999999999999</v>
      </c>
      <c r="L55">
        <v>0.18099999999999999</v>
      </c>
      <c r="M55">
        <v>139.31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ca_cest_brandi_carlile - copia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</dc:creator>
  <cp:lastModifiedBy>RANFERY JOSUA PEREGRINA MORALES</cp:lastModifiedBy>
  <dcterms:created xsi:type="dcterms:W3CDTF">2026-03-25T23:09:52Z</dcterms:created>
  <dcterms:modified xsi:type="dcterms:W3CDTF">2026-03-25T23:13:38Z</dcterms:modified>
</cp:coreProperties>
</file>
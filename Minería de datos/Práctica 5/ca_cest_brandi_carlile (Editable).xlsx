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itories\Semestre-EneJun2026\Minería de datos\Práctica 5\"/>
    </mc:Choice>
  </mc:AlternateContent>
  <xr:revisionPtr revIDLastSave="0" documentId="13_ncr:1_{F3590779-F7A7-4F3E-9859-2D94FC2A9035}" xr6:coauthVersionLast="47" xr6:coauthVersionMax="47" xr10:uidLastSave="{00000000-0000-0000-0000-000000000000}"/>
  <bookViews>
    <workbookView xWindow="-108" yWindow="-108" windowWidth="23256" windowHeight="12456" xr2:uid="{6B0EAA5F-3816-4796-860C-BD0B64EC5768}"/>
  </bookViews>
  <sheets>
    <sheet name="ca_cest_brandi_carlile - copi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56" i="1" l="1"/>
  <c r="AF56" i="1"/>
  <c r="AF1" i="1"/>
  <c r="AF6" i="1"/>
  <c r="AG6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G5" i="1"/>
  <c r="AF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" i="1"/>
  <c r="AC11" i="1"/>
  <c r="AC6" i="1"/>
  <c r="AC7" i="1"/>
  <c r="AC8" i="1"/>
  <c r="AC9" i="1"/>
  <c r="AC10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" i="1"/>
  <c r="Q1" i="1"/>
  <c r="R1" i="1"/>
  <c r="S1" i="1"/>
  <c r="T1" i="1"/>
  <c r="U1" i="1"/>
  <c r="V1" i="1"/>
  <c r="W1" i="1"/>
  <c r="X1" i="1"/>
  <c r="Y1" i="1"/>
  <c r="Z1" i="1"/>
  <c r="AA1" i="1"/>
  <c r="Q2" i="1"/>
  <c r="R2" i="1"/>
  <c r="S2" i="1"/>
  <c r="T2" i="1"/>
  <c r="U2" i="1"/>
  <c r="V2" i="1"/>
  <c r="W2" i="1"/>
  <c r="X2" i="1"/>
  <c r="Y2" i="1"/>
  <c r="Z2" i="1"/>
  <c r="AA2" i="1"/>
  <c r="S30" i="1"/>
  <c r="S33" i="1"/>
  <c r="S50" i="1"/>
  <c r="S54" i="1"/>
  <c r="V10" i="1"/>
  <c r="V11" i="1"/>
  <c r="V12" i="1"/>
  <c r="V14" i="1"/>
  <c r="V16" i="1"/>
  <c r="V18" i="1"/>
  <c r="V22" i="1"/>
  <c r="V24" i="1"/>
  <c r="V26" i="1"/>
  <c r="V27" i="1"/>
  <c r="V28" i="1"/>
  <c r="V30" i="1"/>
  <c r="V35" i="1"/>
  <c r="V36" i="1"/>
  <c r="V38" i="1"/>
  <c r="V40" i="1"/>
  <c r="V42" i="1"/>
  <c r="V43" i="1"/>
  <c r="V48" i="1"/>
  <c r="V50" i="1"/>
  <c r="V51" i="1"/>
  <c r="V52" i="1"/>
  <c r="V54" i="1"/>
  <c r="W6" i="1"/>
  <c r="W10" i="1"/>
  <c r="W12" i="1"/>
  <c r="W14" i="1"/>
  <c r="W16" i="1"/>
  <c r="W17" i="1"/>
  <c r="W18" i="1"/>
  <c r="W24" i="1"/>
  <c r="W25" i="1"/>
  <c r="W26" i="1"/>
  <c r="W28" i="1"/>
  <c r="W30" i="1"/>
  <c r="W32" i="1"/>
  <c r="W36" i="1"/>
  <c r="W38" i="1"/>
  <c r="W40" i="1"/>
  <c r="W41" i="1"/>
  <c r="W42" i="1"/>
  <c r="W44" i="1"/>
  <c r="W49" i="1"/>
  <c r="W50" i="1"/>
  <c r="W52" i="1"/>
  <c r="W54" i="1"/>
  <c r="X6" i="1"/>
  <c r="X7" i="1"/>
  <c r="X15" i="1"/>
  <c r="X16" i="1"/>
  <c r="X18" i="1"/>
  <c r="X20" i="1"/>
  <c r="X28" i="1"/>
  <c r="X30" i="1"/>
  <c r="X31" i="1"/>
  <c r="X32" i="1"/>
  <c r="X40" i="1"/>
  <c r="X42" i="1"/>
  <c r="X44" i="1"/>
  <c r="X46" i="1"/>
  <c r="X54" i="1"/>
  <c r="X55" i="1"/>
  <c r="Y6" i="1"/>
  <c r="Y8" i="1"/>
  <c r="Y18" i="1"/>
  <c r="Y20" i="1"/>
  <c r="Y21" i="1"/>
  <c r="Y30" i="1"/>
  <c r="Y32" i="1"/>
  <c r="Y34" i="1"/>
  <c r="Y44" i="1"/>
  <c r="Y45" i="1"/>
  <c r="Y46" i="1"/>
  <c r="Z8" i="1"/>
  <c r="Z10" i="1"/>
  <c r="Z20" i="1"/>
  <c r="Z22" i="1"/>
  <c r="Z34" i="1"/>
  <c r="Z35" i="1"/>
  <c r="Z46" i="1"/>
  <c r="Z48" i="1"/>
  <c r="AA6" i="1"/>
  <c r="AA8" i="1"/>
  <c r="AA9" i="1"/>
  <c r="AA10" i="1"/>
  <c r="AA12" i="1"/>
  <c r="AA14" i="1"/>
  <c r="AA16" i="1"/>
  <c r="AA17" i="1"/>
  <c r="AA18" i="1"/>
  <c r="AA20" i="1"/>
  <c r="AA22" i="1"/>
  <c r="AA24" i="1"/>
  <c r="AA25" i="1"/>
  <c r="AA26" i="1"/>
  <c r="AA28" i="1"/>
  <c r="AA30" i="1"/>
  <c r="AA32" i="1"/>
  <c r="AA33" i="1"/>
  <c r="AA34" i="1"/>
  <c r="AA36" i="1"/>
  <c r="AA38" i="1"/>
  <c r="AA40" i="1"/>
  <c r="AA41" i="1"/>
  <c r="AA42" i="1"/>
  <c r="AA44" i="1"/>
  <c r="AA46" i="1"/>
  <c r="AA48" i="1"/>
  <c r="AA49" i="1"/>
  <c r="AA50" i="1"/>
  <c r="AA52" i="1"/>
  <c r="AA54" i="1"/>
  <c r="AA5" i="1"/>
  <c r="Y5" i="1"/>
  <c r="W5" i="1"/>
  <c r="R14" i="1"/>
  <c r="R15" i="1"/>
  <c r="R27" i="1"/>
  <c r="R29" i="1"/>
  <c r="R39" i="1"/>
  <c r="R41" i="1"/>
  <c r="R53" i="1"/>
  <c r="R54" i="1"/>
  <c r="Q12" i="1"/>
  <c r="Q14" i="1"/>
  <c r="Q16" i="1"/>
  <c r="Q26" i="1"/>
  <c r="Q27" i="1"/>
  <c r="Q28" i="1"/>
  <c r="Q38" i="1"/>
  <c r="Q40" i="1"/>
  <c r="Q42" i="1"/>
  <c r="Q51" i="1"/>
  <c r="Q52" i="1"/>
  <c r="Q54" i="1"/>
  <c r="L2" i="1"/>
  <c r="M2" i="1"/>
  <c r="C2" i="1"/>
  <c r="D2" i="1"/>
  <c r="E2" i="1"/>
  <c r="S17" i="1" s="1"/>
  <c r="F2" i="1"/>
  <c r="G2" i="1"/>
  <c r="U14" i="1" s="1"/>
  <c r="H2" i="1"/>
  <c r="I2" i="1"/>
  <c r="W8" i="1" s="1"/>
  <c r="J2" i="1"/>
  <c r="K2" i="1"/>
  <c r="C1" i="1"/>
  <c r="D1" i="1"/>
  <c r="E1" i="1"/>
  <c r="S7" i="1" s="1"/>
  <c r="F1" i="1"/>
  <c r="G1" i="1"/>
  <c r="U6" i="1" s="1"/>
  <c r="H1" i="1"/>
  <c r="I1" i="1"/>
  <c r="W7" i="1" s="1"/>
  <c r="J1" i="1"/>
  <c r="K1" i="1"/>
  <c r="L1" i="1"/>
  <c r="M1" i="1"/>
  <c r="AA7" i="1" s="1"/>
  <c r="B1" i="1"/>
  <c r="B2" i="1"/>
  <c r="T13" i="1" l="1"/>
  <c r="T21" i="1"/>
  <c r="T29" i="1"/>
  <c r="T37" i="1"/>
  <c r="T45" i="1"/>
  <c r="T53" i="1"/>
  <c r="T5" i="1"/>
  <c r="T6" i="1"/>
  <c r="T14" i="1"/>
  <c r="T22" i="1"/>
  <c r="T9" i="1"/>
  <c r="T17" i="1"/>
  <c r="T25" i="1"/>
  <c r="T33" i="1"/>
  <c r="T41" i="1"/>
  <c r="T49" i="1"/>
  <c r="T10" i="1"/>
  <c r="T18" i="1"/>
  <c r="T26" i="1"/>
  <c r="T34" i="1"/>
  <c r="T11" i="1"/>
  <c r="T19" i="1"/>
  <c r="T27" i="1"/>
  <c r="T35" i="1"/>
  <c r="T43" i="1"/>
  <c r="T51" i="1"/>
  <c r="U42" i="1"/>
  <c r="U16" i="1"/>
  <c r="T40" i="1"/>
  <c r="U53" i="1"/>
  <c r="U28" i="1"/>
  <c r="T52" i="1"/>
  <c r="T23" i="1"/>
  <c r="Z9" i="1"/>
  <c r="Z17" i="1"/>
  <c r="Z25" i="1"/>
  <c r="Z33" i="1"/>
  <c r="Z41" i="1"/>
  <c r="Z49" i="1"/>
  <c r="Z13" i="1"/>
  <c r="Z21" i="1"/>
  <c r="Z29" i="1"/>
  <c r="Z37" i="1"/>
  <c r="Z45" i="1"/>
  <c r="Z53" i="1"/>
  <c r="Z7" i="1"/>
  <c r="Z15" i="1"/>
  <c r="Z23" i="1"/>
  <c r="Z31" i="1"/>
  <c r="Z39" i="1"/>
  <c r="Z47" i="1"/>
  <c r="Z55" i="1"/>
  <c r="R12" i="1"/>
  <c r="R20" i="1"/>
  <c r="R28" i="1"/>
  <c r="R36" i="1"/>
  <c r="R44" i="1"/>
  <c r="R52" i="1"/>
  <c r="R8" i="1"/>
  <c r="R16" i="1"/>
  <c r="R24" i="1"/>
  <c r="R32" i="1"/>
  <c r="R40" i="1"/>
  <c r="R48" i="1"/>
  <c r="R5" i="1"/>
  <c r="R10" i="1"/>
  <c r="R18" i="1"/>
  <c r="R26" i="1"/>
  <c r="R34" i="1"/>
  <c r="R42" i="1"/>
  <c r="R50" i="1"/>
  <c r="R38" i="1"/>
  <c r="Z44" i="1"/>
  <c r="Z19" i="1"/>
  <c r="Z6" i="1"/>
  <c r="U52" i="1"/>
  <c r="U38" i="1"/>
  <c r="U26" i="1"/>
  <c r="U13" i="1"/>
  <c r="T50" i="1"/>
  <c r="T38" i="1"/>
  <c r="T20" i="1"/>
  <c r="S49" i="1"/>
  <c r="S26" i="1"/>
  <c r="Y11" i="1"/>
  <c r="Y19" i="1"/>
  <c r="Y27" i="1"/>
  <c r="Y35" i="1"/>
  <c r="Y43" i="1"/>
  <c r="Y51" i="1"/>
  <c r="Y7" i="1"/>
  <c r="Y15" i="1"/>
  <c r="Y23" i="1"/>
  <c r="Y31" i="1"/>
  <c r="Y39" i="1"/>
  <c r="Y47" i="1"/>
  <c r="Y55" i="1"/>
  <c r="Y9" i="1"/>
  <c r="Y17" i="1"/>
  <c r="Y25" i="1"/>
  <c r="Y33" i="1"/>
  <c r="Y41" i="1"/>
  <c r="Y49" i="1"/>
  <c r="Q9" i="1"/>
  <c r="Q17" i="1"/>
  <c r="Q25" i="1"/>
  <c r="Q33" i="1"/>
  <c r="Q41" i="1"/>
  <c r="Q49" i="1"/>
  <c r="Q13" i="1"/>
  <c r="Q21" i="1"/>
  <c r="Q29" i="1"/>
  <c r="Q37" i="1"/>
  <c r="Q45" i="1"/>
  <c r="Q53" i="1"/>
  <c r="Q7" i="1"/>
  <c r="Q15" i="1"/>
  <c r="Q23" i="1"/>
  <c r="Q31" i="1"/>
  <c r="Q39" i="1"/>
  <c r="Q47" i="1"/>
  <c r="Q55" i="1"/>
  <c r="Q50" i="1"/>
  <c r="Q36" i="1"/>
  <c r="Q24" i="1"/>
  <c r="Q11" i="1"/>
  <c r="R49" i="1"/>
  <c r="R37" i="1"/>
  <c r="R23" i="1"/>
  <c r="R11" i="1"/>
  <c r="Z5" i="1"/>
  <c r="Z43" i="1"/>
  <c r="Z30" i="1"/>
  <c r="Z18" i="1"/>
  <c r="Y54" i="1"/>
  <c r="Y42" i="1"/>
  <c r="Y29" i="1"/>
  <c r="Y16" i="1"/>
  <c r="U50" i="1"/>
  <c r="U37" i="1"/>
  <c r="U24" i="1"/>
  <c r="U12" i="1"/>
  <c r="T48" i="1"/>
  <c r="T36" i="1"/>
  <c r="T16" i="1"/>
  <c r="S46" i="1"/>
  <c r="S25" i="1"/>
  <c r="X13" i="1"/>
  <c r="X21" i="1"/>
  <c r="X29" i="1"/>
  <c r="X37" i="1"/>
  <c r="X45" i="1"/>
  <c r="X53" i="1"/>
  <c r="X9" i="1"/>
  <c r="X17" i="1"/>
  <c r="X25" i="1"/>
  <c r="X33" i="1"/>
  <c r="X41" i="1"/>
  <c r="X49" i="1"/>
  <c r="X5" i="1"/>
  <c r="X11" i="1"/>
  <c r="X19" i="1"/>
  <c r="X27" i="1"/>
  <c r="X35" i="1"/>
  <c r="X43" i="1"/>
  <c r="X51" i="1"/>
  <c r="Q48" i="1"/>
  <c r="Q35" i="1"/>
  <c r="Q22" i="1"/>
  <c r="Q10" i="1"/>
  <c r="R47" i="1"/>
  <c r="R35" i="1"/>
  <c r="R22" i="1"/>
  <c r="R9" i="1"/>
  <c r="Z54" i="1"/>
  <c r="Z42" i="1"/>
  <c r="Z28" i="1"/>
  <c r="Z16" i="1"/>
  <c r="Y53" i="1"/>
  <c r="Y40" i="1"/>
  <c r="Y28" i="1"/>
  <c r="Y14" i="1"/>
  <c r="X52" i="1"/>
  <c r="X39" i="1"/>
  <c r="X26" i="1"/>
  <c r="X14" i="1"/>
  <c r="U48" i="1"/>
  <c r="U36" i="1"/>
  <c r="U22" i="1"/>
  <c r="U10" i="1"/>
  <c r="T47" i="1"/>
  <c r="T32" i="1"/>
  <c r="T15" i="1"/>
  <c r="S42" i="1"/>
  <c r="S22" i="1"/>
  <c r="Q46" i="1"/>
  <c r="Q34" i="1"/>
  <c r="Q20" i="1"/>
  <c r="Q8" i="1"/>
  <c r="R46" i="1"/>
  <c r="R33" i="1"/>
  <c r="R21" i="1"/>
  <c r="R7" i="1"/>
  <c r="Z52" i="1"/>
  <c r="Z27" i="1"/>
  <c r="Y52" i="1"/>
  <c r="Y26" i="1"/>
  <c r="X50" i="1"/>
  <c r="X38" i="1"/>
  <c r="X12" i="1"/>
  <c r="U46" i="1"/>
  <c r="U34" i="1"/>
  <c r="U21" i="1"/>
  <c r="U8" i="1"/>
  <c r="T46" i="1"/>
  <c r="T31" i="1"/>
  <c r="T12" i="1"/>
  <c r="S18" i="1"/>
  <c r="V9" i="1"/>
  <c r="V17" i="1"/>
  <c r="V25" i="1"/>
  <c r="V33" i="1"/>
  <c r="V41" i="1"/>
  <c r="V49" i="1"/>
  <c r="V13" i="1"/>
  <c r="V21" i="1"/>
  <c r="V29" i="1"/>
  <c r="V37" i="1"/>
  <c r="V45" i="1"/>
  <c r="V53" i="1"/>
  <c r="V7" i="1"/>
  <c r="V15" i="1"/>
  <c r="V23" i="1"/>
  <c r="V31" i="1"/>
  <c r="V39" i="1"/>
  <c r="V47" i="1"/>
  <c r="V55" i="1"/>
  <c r="V5" i="1"/>
  <c r="Q44" i="1"/>
  <c r="Q32" i="1"/>
  <c r="Q19" i="1"/>
  <c r="Q6" i="1"/>
  <c r="R45" i="1"/>
  <c r="R31" i="1"/>
  <c r="R19" i="1"/>
  <c r="R6" i="1"/>
  <c r="Z51" i="1"/>
  <c r="Z38" i="1"/>
  <c r="Z26" i="1"/>
  <c r="Z12" i="1"/>
  <c r="Y50" i="1"/>
  <c r="Y37" i="1"/>
  <c r="Y24" i="1"/>
  <c r="Y12" i="1"/>
  <c r="X48" i="1"/>
  <c r="X36" i="1"/>
  <c r="X23" i="1"/>
  <c r="X10" i="1"/>
  <c r="W48" i="1"/>
  <c r="W34" i="1"/>
  <c r="W22" i="1"/>
  <c r="W9" i="1"/>
  <c r="V46" i="1"/>
  <c r="V34" i="1"/>
  <c r="V20" i="1"/>
  <c r="V8" i="1"/>
  <c r="U45" i="1"/>
  <c r="U32" i="1"/>
  <c r="U20" i="1"/>
  <c r="T44" i="1"/>
  <c r="T30" i="1"/>
  <c r="T8" i="1"/>
  <c r="S38" i="1"/>
  <c r="U5" i="1"/>
  <c r="U54" i="1"/>
  <c r="U29" i="1"/>
  <c r="T54" i="1"/>
  <c r="T24" i="1"/>
  <c r="U40" i="1"/>
  <c r="T39" i="1"/>
  <c r="S6" i="1"/>
  <c r="S16" i="1"/>
  <c r="S24" i="1"/>
  <c r="S32" i="1"/>
  <c r="S40" i="1"/>
  <c r="S48" i="1"/>
  <c r="S8" i="1"/>
  <c r="S9" i="1"/>
  <c r="S10" i="1"/>
  <c r="S20" i="1"/>
  <c r="S28" i="1"/>
  <c r="S36" i="1"/>
  <c r="S44" i="1"/>
  <c r="S52" i="1"/>
  <c r="S12" i="1"/>
  <c r="R51" i="1"/>
  <c r="R25" i="1"/>
  <c r="R13" i="1"/>
  <c r="Z32" i="1"/>
  <c r="Z40" i="1"/>
  <c r="Z14" i="1"/>
  <c r="Y38" i="1"/>
  <c r="Y13" i="1"/>
  <c r="X24" i="1"/>
  <c r="S41" i="1"/>
  <c r="U11" i="1"/>
  <c r="U19" i="1"/>
  <c r="U27" i="1"/>
  <c r="U35" i="1"/>
  <c r="U43" i="1"/>
  <c r="U51" i="1"/>
  <c r="U7" i="1"/>
  <c r="U15" i="1"/>
  <c r="U23" i="1"/>
  <c r="U31" i="1"/>
  <c r="U39" i="1"/>
  <c r="U47" i="1"/>
  <c r="U55" i="1"/>
  <c r="U9" i="1"/>
  <c r="U17" i="1"/>
  <c r="U25" i="1"/>
  <c r="U33" i="1"/>
  <c r="U41" i="1"/>
  <c r="U49" i="1"/>
  <c r="Q5" i="1"/>
  <c r="Q43" i="1"/>
  <c r="Q30" i="1"/>
  <c r="Q18" i="1"/>
  <c r="R55" i="1"/>
  <c r="R43" i="1"/>
  <c r="R30" i="1"/>
  <c r="R17" i="1"/>
  <c r="S5" i="1"/>
  <c r="Z50" i="1"/>
  <c r="Z36" i="1"/>
  <c r="Z24" i="1"/>
  <c r="Z11" i="1"/>
  <c r="Y48" i="1"/>
  <c r="Y36" i="1"/>
  <c r="Y22" i="1"/>
  <c r="Y10" i="1"/>
  <c r="X47" i="1"/>
  <c r="X34" i="1"/>
  <c r="X22" i="1"/>
  <c r="X8" i="1"/>
  <c r="W46" i="1"/>
  <c r="W33" i="1"/>
  <c r="W20" i="1"/>
  <c r="V44" i="1"/>
  <c r="V32" i="1"/>
  <c r="V19" i="1"/>
  <c r="V6" i="1"/>
  <c r="U44" i="1"/>
  <c r="U30" i="1"/>
  <c r="U18" i="1"/>
  <c r="T55" i="1"/>
  <c r="T42" i="1"/>
  <c r="T28" i="1"/>
  <c r="T7" i="1"/>
  <c r="S34" i="1"/>
  <c r="S14" i="1"/>
  <c r="AA53" i="1"/>
  <c r="AA45" i="1"/>
  <c r="AA37" i="1"/>
  <c r="AA29" i="1"/>
  <c r="AA21" i="1"/>
  <c r="AA13" i="1"/>
  <c r="W53" i="1"/>
  <c r="W45" i="1"/>
  <c r="W37" i="1"/>
  <c r="W29" i="1"/>
  <c r="W21" i="1"/>
  <c r="W13" i="1"/>
  <c r="S53" i="1"/>
  <c r="S45" i="1"/>
  <c r="S37" i="1"/>
  <c r="S29" i="1"/>
  <c r="S21" i="1"/>
  <c r="S13" i="1"/>
  <c r="AA51" i="1"/>
  <c r="AA43" i="1"/>
  <c r="AA35" i="1"/>
  <c r="AA27" i="1"/>
  <c r="AA19" i="1"/>
  <c r="AA11" i="1"/>
  <c r="W51" i="1"/>
  <c r="W43" i="1"/>
  <c r="W35" i="1"/>
  <c r="W27" i="1"/>
  <c r="W19" i="1"/>
  <c r="W11" i="1"/>
  <c r="S51" i="1"/>
  <c r="S43" i="1"/>
  <c r="S35" i="1"/>
  <c r="S27" i="1"/>
  <c r="S19" i="1"/>
  <c r="S11" i="1"/>
  <c r="AA55" i="1"/>
  <c r="AA47" i="1"/>
  <c r="AA39" i="1"/>
  <c r="AA31" i="1"/>
  <c r="AA23" i="1"/>
  <c r="AA15" i="1"/>
  <c r="W55" i="1"/>
  <c r="W47" i="1"/>
  <c r="W39" i="1"/>
  <c r="W31" i="1"/>
  <c r="W23" i="1"/>
  <c r="W15" i="1"/>
  <c r="S55" i="1"/>
  <c r="S47" i="1"/>
  <c r="S39" i="1"/>
  <c r="S31" i="1"/>
  <c r="S23" i="1"/>
  <c r="S15" i="1"/>
  <c r="P2" i="1"/>
  <c r="P1" i="1"/>
</calcChain>
</file>

<file path=xl/sharedStrings.xml><?xml version="1.0" encoding="utf-8"?>
<sst xmlns="http://schemas.openxmlformats.org/spreadsheetml/2006/main" count="37" uniqueCount="23">
  <si>
    <t>MIN:</t>
  </si>
  <si>
    <t>MAX:</t>
  </si>
  <si>
    <t>Duration (ms)</t>
  </si>
  <si>
    <t>Popularity</t>
  </si>
  <si>
    <t>Danceability</t>
  </si>
  <si>
    <t>Energy</t>
  </si>
  <si>
    <t>Key</t>
  </si>
  <si>
    <t>Loudness</t>
  </si>
  <si>
    <t>Speechiness</t>
  </si>
  <si>
    <t>Acousticness</t>
  </si>
  <si>
    <t>Instrumentalness</t>
  </si>
  <si>
    <t>Liveness</t>
  </si>
  <si>
    <t>Valence</t>
  </si>
  <si>
    <t>Tempo</t>
  </si>
  <si>
    <t>Duda:</t>
  </si>
  <si>
    <t>¿Es normal que los datos de Loudness los estemos trabajando como positivos?</t>
  </si>
  <si>
    <t>¿Cuántas veces repito esto?</t>
  </si>
  <si>
    <t>DC0</t>
  </si>
  <si>
    <t>DC1</t>
  </si>
  <si>
    <t>Distancia aeuclidian: Resta de las coordenadas de ambos puntos en la misma dimensión al cuadrado, sumada a tra´ves de todas las dimensiones en raíz</t>
  </si>
  <si>
    <t>dcmin</t>
  </si>
  <si>
    <t>c0</t>
  </si>
  <si>
    <t>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</si>
</sst>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4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3E2FD-8EE4-4C35-A4F1-EC87F3E3C160}">
  <dimension ref="A1:AG59"/>
  <sheetViews>
    <sheetView tabSelected="1" topLeftCell="H1" zoomScale="62" workbookViewId="0">
      <selection activeCell="AF1" sqref="AF1"/>
    </sheetView>
  </sheetViews>
  <sheetFormatPr baseColWidth="10" defaultRowHeight="14.4" x14ac:dyDescent="0.3"/>
  <cols>
    <col min="2" max="9" width="11.6640625" bestFit="1" customWidth="1"/>
    <col min="10" max="10" width="15" bestFit="1" customWidth="1"/>
    <col min="11" max="12" width="11.77734375" bestFit="1" customWidth="1"/>
    <col min="13" max="13" width="11.88671875" bestFit="1" customWidth="1"/>
    <col min="15" max="15" width="11.6640625" bestFit="1" customWidth="1"/>
    <col min="16" max="17" width="11.88671875" bestFit="1" customWidth="1"/>
    <col min="18" max="18" width="13.109375" bestFit="1" customWidth="1"/>
    <col min="19" max="22" width="11.88671875" bestFit="1" customWidth="1"/>
    <col min="23" max="23" width="14" bestFit="1" customWidth="1"/>
    <col min="24" max="24" width="16.109375" bestFit="1" customWidth="1"/>
    <col min="25" max="26" width="11.88671875" bestFit="1" customWidth="1"/>
    <col min="27" max="27" width="11.77734375" bestFit="1" customWidth="1"/>
    <col min="30" max="37" width="11.6640625" bestFit="1" customWidth="1"/>
    <col min="38" max="38" width="14.77734375" bestFit="1" customWidth="1"/>
  </cols>
  <sheetData>
    <row r="1" spans="1:33" x14ac:dyDescent="0.3">
      <c r="A1" t="s">
        <v>0</v>
      </c>
      <c r="B1">
        <f>MIN(B5:B55)</f>
        <v>142840</v>
      </c>
      <c r="C1">
        <f t="shared" ref="C1:M1" si="0">MIN(C5:C55)</f>
        <v>40</v>
      </c>
      <c r="D1">
        <f t="shared" si="0"/>
        <v>0.23599999999999999</v>
      </c>
      <c r="E1">
        <f t="shared" si="0"/>
        <v>7.8899999999999998E-2</v>
      </c>
      <c r="F1">
        <f t="shared" si="0"/>
        <v>0</v>
      </c>
      <c r="G1">
        <f t="shared" si="0"/>
        <v>-13.988</v>
      </c>
      <c r="H1">
        <f t="shared" si="0"/>
        <v>2.5600000000000001E-2</v>
      </c>
      <c r="I1">
        <f t="shared" si="0"/>
        <v>1.65E-3</v>
      </c>
      <c r="J1">
        <f t="shared" si="0"/>
        <v>0</v>
      </c>
      <c r="K1">
        <f t="shared" si="0"/>
        <v>4.4600000000000001E-2</v>
      </c>
      <c r="L1">
        <f t="shared" si="0"/>
        <v>9.9900000000000003E-2</v>
      </c>
      <c r="M1">
        <f t="shared" si="0"/>
        <v>69.045000000000002</v>
      </c>
      <c r="O1" t="s">
        <v>0</v>
      </c>
      <c r="P1">
        <f>MIN(P5:P55)</f>
        <v>0</v>
      </c>
      <c r="Q1">
        <f t="shared" ref="Q1:AA1" si="1">MIN(Q5:Q55)</f>
        <v>0</v>
      </c>
      <c r="R1">
        <f t="shared" si="1"/>
        <v>0</v>
      </c>
      <c r="S1">
        <f t="shared" si="1"/>
        <v>0</v>
      </c>
      <c r="T1">
        <f t="shared" si="1"/>
        <v>0</v>
      </c>
      <c r="U1">
        <f t="shared" si="1"/>
        <v>0</v>
      </c>
      <c r="V1">
        <f t="shared" si="1"/>
        <v>0</v>
      </c>
      <c r="W1">
        <f t="shared" si="1"/>
        <v>0</v>
      </c>
      <c r="X1">
        <f t="shared" si="1"/>
        <v>0</v>
      </c>
      <c r="Y1">
        <f t="shared" si="1"/>
        <v>0</v>
      </c>
      <c r="Z1">
        <f t="shared" si="1"/>
        <v>0</v>
      </c>
      <c r="AA1">
        <f t="shared" si="1"/>
        <v>0</v>
      </c>
      <c r="AF1">
        <f>(SUMPRODUCT(P5:P55,AF5:AF55)+P1)/(AF56+1)</f>
        <v>0.39292103294304903</v>
      </c>
    </row>
    <row r="2" spans="1:33" x14ac:dyDescent="0.3">
      <c r="A2" t="s">
        <v>1</v>
      </c>
      <c r="B2">
        <f>MAX(B5:B55)</f>
        <v>352687</v>
      </c>
      <c r="C2">
        <f t="shared" ref="C2:M2" si="2">MAX(C5:C55)</f>
        <v>71</v>
      </c>
      <c r="D2">
        <f t="shared" si="2"/>
        <v>0.72599999999999998</v>
      </c>
      <c r="E2">
        <f t="shared" si="2"/>
        <v>0.83899999999999997</v>
      </c>
      <c r="F2">
        <f t="shared" si="2"/>
        <v>11</v>
      </c>
      <c r="G2">
        <f t="shared" si="2"/>
        <v>-4.0720000000000001</v>
      </c>
      <c r="H2">
        <f t="shared" si="2"/>
        <v>0.10299999999999999</v>
      </c>
      <c r="I2">
        <f t="shared" si="2"/>
        <v>0.94199999999999995</v>
      </c>
      <c r="J2">
        <f t="shared" si="2"/>
        <v>6.0199999999999997E-2</v>
      </c>
      <c r="K2">
        <f t="shared" si="2"/>
        <v>0.73899999999999999</v>
      </c>
      <c r="L2">
        <f>MAX(L5:L55)</f>
        <v>0.72499999999999998</v>
      </c>
      <c r="M2">
        <f t="shared" si="2"/>
        <v>184.21199999999999</v>
      </c>
      <c r="O2" t="s">
        <v>1</v>
      </c>
      <c r="P2">
        <f>MAX(P5:P55)</f>
        <v>1</v>
      </c>
      <c r="Q2">
        <f t="shared" ref="Q2:AA2" si="3">MAX(Q5:Q55)</f>
        <v>1</v>
      </c>
      <c r="R2">
        <f t="shared" si="3"/>
        <v>1</v>
      </c>
      <c r="S2">
        <f t="shared" si="3"/>
        <v>1</v>
      </c>
      <c r="T2">
        <f t="shared" si="3"/>
        <v>1</v>
      </c>
      <c r="U2">
        <f t="shared" si="3"/>
        <v>1</v>
      </c>
      <c r="V2">
        <f t="shared" si="3"/>
        <v>1</v>
      </c>
      <c r="W2">
        <f t="shared" si="3"/>
        <v>1</v>
      </c>
      <c r="X2">
        <f t="shared" si="3"/>
        <v>1</v>
      </c>
      <c r="Y2">
        <f t="shared" si="3"/>
        <v>1</v>
      </c>
      <c r="Z2">
        <f t="shared" si="3"/>
        <v>1</v>
      </c>
      <c r="AA2">
        <f t="shared" si="3"/>
        <v>1</v>
      </c>
      <c r="AC2" s="1" t="s">
        <v>19</v>
      </c>
    </row>
    <row r="4" spans="1:33" x14ac:dyDescent="0.3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P4" t="s">
        <v>2</v>
      </c>
      <c r="Q4" t="s">
        <v>3</v>
      </c>
      <c r="R4" t="s">
        <v>4</v>
      </c>
      <c r="S4" t="s">
        <v>5</v>
      </c>
      <c r="T4" t="s">
        <v>6</v>
      </c>
      <c r="U4" t="s">
        <v>7</v>
      </c>
      <c r="V4" t="s">
        <v>8</v>
      </c>
      <c r="W4" t="s">
        <v>9</v>
      </c>
      <c r="X4" t="s">
        <v>10</v>
      </c>
      <c r="Y4" t="s">
        <v>11</v>
      </c>
      <c r="Z4" t="s">
        <v>12</v>
      </c>
      <c r="AA4" t="s">
        <v>13</v>
      </c>
      <c r="AC4" t="s">
        <v>17</v>
      </c>
      <c r="AD4" t="s">
        <v>18</v>
      </c>
      <c r="AE4" t="s">
        <v>20</v>
      </c>
      <c r="AF4" t="s">
        <v>21</v>
      </c>
      <c r="AG4" t="s">
        <v>22</v>
      </c>
    </row>
    <row r="5" spans="1:33" x14ac:dyDescent="0.3">
      <c r="B5">
        <v>265306</v>
      </c>
      <c r="C5">
        <v>60</v>
      </c>
      <c r="D5">
        <v>0.45200000000000001</v>
      </c>
      <c r="E5">
        <v>0.32900000000000001</v>
      </c>
      <c r="F5">
        <v>8</v>
      </c>
      <c r="G5">
        <v>-12.382</v>
      </c>
      <c r="H5">
        <v>4.2500000000000003E-2</v>
      </c>
      <c r="I5">
        <v>0.94199999999999995</v>
      </c>
      <c r="J5">
        <v>1.2800000000000001E-3</v>
      </c>
      <c r="K5">
        <v>9.7900000000000001E-2</v>
      </c>
      <c r="L5">
        <v>0.19800000000000001</v>
      </c>
      <c r="M5">
        <v>82.766999999999996</v>
      </c>
      <c r="P5">
        <f>(B5 - $B$1)/($B$2 - $B$1)</f>
        <v>0.58359662039485916</v>
      </c>
      <c r="Q5">
        <f t="shared" ref="Q5:Q36" si="4">(C5 - $C$1)/($C$2 - $C$1)</f>
        <v>0.64516129032258063</v>
      </c>
      <c r="R5">
        <f t="shared" ref="R5:R36" si="5">(D5 - $D$1)/($D$2 - $D$1)</f>
        <v>0.44081632653061231</v>
      </c>
      <c r="S5">
        <f t="shared" ref="S5:S36" si="6">(E5 - $E$1)/($E$2- $E$1)</f>
        <v>0.32903565320352585</v>
      </c>
      <c r="T5">
        <f t="shared" ref="T5:T36" si="7">(F5 - $F$1)/($F$2- $F$1)</f>
        <v>0.72727272727272729</v>
      </c>
      <c r="U5">
        <f t="shared" ref="U5:U36" si="8">(G5 - $G$1)/($G$2- $G$1)</f>
        <v>0.16196046793061716</v>
      </c>
      <c r="V5">
        <f t="shared" ref="V5:V36" si="9">(H5 - $H$1)/($H$2- $H$1)</f>
        <v>0.2183462532299742</v>
      </c>
      <c r="W5">
        <f t="shared" ref="W5:W36" si="10">(I5 - $I$1)/($I$2- $I$1)</f>
        <v>1</v>
      </c>
      <c r="X5">
        <f t="shared" ref="X5:X36" si="11">(J5 - $J$1)/($J$2- $J$1)</f>
        <v>2.1262458471760802E-2</v>
      </c>
      <c r="Y5">
        <f t="shared" ref="Y5:Y36" si="12">(K5 - $K$1)/($K$2- $K$1)</f>
        <v>7.6756912442396311E-2</v>
      </c>
      <c r="Z5">
        <f t="shared" ref="Z5:Z36" si="13">(L5 - $L$1)/($L$2- $L$1)</f>
        <v>0.1569348904175332</v>
      </c>
      <c r="AA5">
        <f t="shared" ref="AA5:AA36" si="14">(M5 - $M$1)/($M$2- $M$1)</f>
        <v>0.11914871447550075</v>
      </c>
      <c r="AC5">
        <f>SQRT(
($P$1 - P5)^2 +
($Q$1 -Q5)^2 +
($R$1 - R5)^2 +
($S$1 - S5)^2 +
($T$1 - T5)^2 +
($U$1 - U5)^2 +
($V$1 - V5)^2 +
($W$1 - W5)^2 +
($X$1 - X5)^2 +
($Y$1 - Y5)^2 +
($Z$1 - Z5)^2 +
($AA$1 - AA5)^2)</f>
        <v>1.645418546063</v>
      </c>
      <c r="AD5">
        <f>SQRT(
($P$2 - P5)^2 +
($Q$2 -Q5)^2 +
($R$2 - R5)^2 +
($S$2 - S5)^2 +
($T$2 - T5)^2 +
($U$2 - U5)^2 +
($V$2 - V5)^2 +
($W$2 - W5)^2 +
($X$2 - X5)^2 +
($Y$2 - Y5)^2 +
($Z$2 - Z5)^2 +
($AA$2 - AA5)^2)</f>
        <v>2.3972520856897592</v>
      </c>
      <c r="AE5">
        <f>MIN(AC5:AD5)</f>
        <v>1.645418546063</v>
      </c>
      <c r="AF5">
        <f>IF(AE5=AC5,1,0)</f>
        <v>1</v>
      </c>
      <c r="AG5">
        <f>IF(AE5=AD5,1,0)</f>
        <v>0</v>
      </c>
    </row>
    <row r="6" spans="1:33" x14ac:dyDescent="0.3">
      <c r="B6">
        <v>268653</v>
      </c>
      <c r="C6">
        <v>71</v>
      </c>
      <c r="D6">
        <v>0.29699999999999999</v>
      </c>
      <c r="E6">
        <v>0.83899999999999997</v>
      </c>
      <c r="F6">
        <v>7</v>
      </c>
      <c r="G6">
        <v>-4.4480000000000004</v>
      </c>
      <c r="H6">
        <v>8.48E-2</v>
      </c>
      <c r="I6">
        <v>0.39900000000000002</v>
      </c>
      <c r="J6">
        <v>0</v>
      </c>
      <c r="K6">
        <v>9.6500000000000002E-2</v>
      </c>
      <c r="L6">
        <v>0.30299999999999999</v>
      </c>
      <c r="M6">
        <v>152.99700000000001</v>
      </c>
      <c r="P6">
        <f t="shared" ref="P6:P55" si="15">(B6 - $B$1)/($B$2 - $B$1)</f>
        <v>0.59954633614014019</v>
      </c>
      <c r="Q6">
        <f t="shared" si="4"/>
        <v>1</v>
      </c>
      <c r="R6">
        <f t="shared" si="5"/>
        <v>0.12448979591836734</v>
      </c>
      <c r="S6">
        <f t="shared" si="6"/>
        <v>1</v>
      </c>
      <c r="T6">
        <f t="shared" si="7"/>
        <v>0.63636363636363635</v>
      </c>
      <c r="U6">
        <f t="shared" si="8"/>
        <v>0.962081484469544</v>
      </c>
      <c r="V6">
        <f t="shared" si="9"/>
        <v>0.76485788113695097</v>
      </c>
      <c r="W6">
        <f t="shared" si="10"/>
        <v>0.42255543148827573</v>
      </c>
      <c r="X6">
        <f t="shared" si="11"/>
        <v>0</v>
      </c>
      <c r="Y6">
        <f t="shared" si="12"/>
        <v>7.4740783410138248E-2</v>
      </c>
      <c r="Z6">
        <f t="shared" si="13"/>
        <v>0.32490801471764519</v>
      </c>
      <c r="AA6">
        <f t="shared" si="14"/>
        <v>0.72895881632759407</v>
      </c>
      <c r="AC6">
        <f t="shared" ref="AC6:AC55" si="16">SQRT(
($P$1 - P6)^2 +
($Q$1 -Q6)^2 +
($R$1 - R6)^2 +
($S$1 - S6)^2 +
($T$1 - T6)^2 +
($U$1 - U6)^2 +
($V$1 - V6)^2 +
($W$1 - W6)^2 +
($X$1 - X6)^2 +
($Y$1 - Y6)^2 +
($Z$1 - Z6)^2 +
($AA$1 - AA6)^2)</f>
        <v>2.2608861113651288</v>
      </c>
      <c r="AD6">
        <f t="shared" ref="AD6:AD55" si="17">SQRT(
($P$2 - P6)^2 +
($Q$2 -Q6)^2 +
($R$2 - R6)^2 +
($S$2 - S6)^2 +
($T$2 - T6)^2 +
($U$2 - U6)^2 +
($V$2 - V6)^2 +
($W$2 - W6)^2 +
($X$2 - X6)^2 +
($Y$2 - Y6)^2 +
($Z$2 - Z6)^2 +
($AA$2 - AA6)^2)</f>
        <v>1.9582138924589287</v>
      </c>
      <c r="AE6">
        <f t="shared" ref="AE6:AE55" si="18">MIN(AC6:AD6)</f>
        <v>1.9582138924589287</v>
      </c>
      <c r="AF6">
        <f t="shared" ref="AF6:AF55" si="19">IF(AE6=AC6,1,0)</f>
        <v>0</v>
      </c>
      <c r="AG6">
        <f t="shared" ref="AG6:AG55" si="20">IF(AE6=AD6,1,0)</f>
        <v>1</v>
      </c>
    </row>
    <row r="7" spans="1:33" x14ac:dyDescent="0.3">
      <c r="B7">
        <v>231000</v>
      </c>
      <c r="C7">
        <v>68</v>
      </c>
      <c r="D7">
        <v>0.503</v>
      </c>
      <c r="E7">
        <v>0.72199999999999998</v>
      </c>
      <c r="F7">
        <v>9</v>
      </c>
      <c r="G7">
        <v>-7.5949999999999998</v>
      </c>
      <c r="H7">
        <v>0.10299999999999999</v>
      </c>
      <c r="I7">
        <v>0.20499999999999999</v>
      </c>
      <c r="J7">
        <v>3.5200000000000002E-5</v>
      </c>
      <c r="K7">
        <v>8.4500000000000006E-2</v>
      </c>
      <c r="L7">
        <v>0.35399999999999998</v>
      </c>
      <c r="M7">
        <v>172.006</v>
      </c>
      <c r="P7">
        <f t="shared" si="15"/>
        <v>0.42011560803823739</v>
      </c>
      <c r="Q7">
        <f t="shared" si="4"/>
        <v>0.90322580645161288</v>
      </c>
      <c r="R7">
        <f t="shared" si="5"/>
        <v>0.54489795918367356</v>
      </c>
      <c r="S7">
        <f t="shared" si="6"/>
        <v>0.84607288514669121</v>
      </c>
      <c r="T7">
        <f t="shared" si="7"/>
        <v>0.81818181818181823</v>
      </c>
      <c r="U7">
        <f t="shared" si="8"/>
        <v>0.64471561113352149</v>
      </c>
      <c r="V7">
        <f t="shared" si="9"/>
        <v>1</v>
      </c>
      <c r="W7">
        <f t="shared" si="10"/>
        <v>0.21624926888924337</v>
      </c>
      <c r="X7">
        <f t="shared" si="11"/>
        <v>5.8471760797342194E-4</v>
      </c>
      <c r="Y7">
        <f t="shared" si="12"/>
        <v>5.7459677419354843E-2</v>
      </c>
      <c r="Z7">
        <f t="shared" si="13"/>
        <v>0.40649496080627101</v>
      </c>
      <c r="AA7">
        <f t="shared" si="14"/>
        <v>0.89401477853899125</v>
      </c>
      <c r="AC7">
        <f t="shared" si="16"/>
        <v>2.2593612109242343</v>
      </c>
      <c r="AD7">
        <f t="shared" si="17"/>
        <v>1.897547601151087</v>
      </c>
      <c r="AE7">
        <f t="shared" si="18"/>
        <v>1.897547601151087</v>
      </c>
      <c r="AF7">
        <f t="shared" si="19"/>
        <v>0</v>
      </c>
      <c r="AG7">
        <f t="shared" si="20"/>
        <v>1</v>
      </c>
    </row>
    <row r="8" spans="1:33" x14ac:dyDescent="0.3">
      <c r="B8">
        <v>238493</v>
      </c>
      <c r="C8">
        <v>66</v>
      </c>
      <c r="D8">
        <v>0.54400000000000004</v>
      </c>
      <c r="E8">
        <v>0.5</v>
      </c>
      <c r="F8">
        <v>11</v>
      </c>
      <c r="G8">
        <v>-8.2530000000000001</v>
      </c>
      <c r="H8">
        <v>2.5999999999999999E-2</v>
      </c>
      <c r="I8">
        <v>3.2500000000000001E-2</v>
      </c>
      <c r="J8">
        <v>3.7799999999999998E-6</v>
      </c>
      <c r="K8">
        <v>0.109</v>
      </c>
      <c r="L8">
        <v>0.17699999999999999</v>
      </c>
      <c r="M8">
        <v>93.620999999999995</v>
      </c>
      <c r="P8">
        <f t="shared" si="15"/>
        <v>0.45582257549548005</v>
      </c>
      <c r="Q8">
        <f t="shared" si="4"/>
        <v>0.83870967741935487</v>
      </c>
      <c r="R8">
        <f t="shared" si="5"/>
        <v>0.62857142857142867</v>
      </c>
      <c r="S8">
        <f t="shared" si="6"/>
        <v>0.55400605183528484</v>
      </c>
      <c r="T8">
        <f t="shared" si="7"/>
        <v>1</v>
      </c>
      <c r="U8">
        <f t="shared" si="8"/>
        <v>0.57835820895522383</v>
      </c>
      <c r="V8">
        <f t="shared" si="9"/>
        <v>5.1679586563307183E-3</v>
      </c>
      <c r="W8">
        <f t="shared" si="10"/>
        <v>3.2806933588557456E-2</v>
      </c>
      <c r="X8">
        <f t="shared" si="11"/>
        <v>6.2790697674418604E-5</v>
      </c>
      <c r="Y8">
        <f t="shared" si="12"/>
        <v>9.2741935483870969E-2</v>
      </c>
      <c r="Z8">
        <f t="shared" si="13"/>
        <v>0.12334026555751078</v>
      </c>
      <c r="AA8">
        <f t="shared" si="14"/>
        <v>0.21339446195524756</v>
      </c>
      <c r="AC8">
        <f t="shared" si="16"/>
        <v>1.7372924906905118</v>
      </c>
      <c r="AD8">
        <f t="shared" si="17"/>
        <v>2.4438127223209465</v>
      </c>
      <c r="AE8">
        <f t="shared" si="18"/>
        <v>1.7372924906905118</v>
      </c>
      <c r="AF8">
        <f t="shared" si="19"/>
        <v>1</v>
      </c>
      <c r="AG8">
        <f t="shared" si="20"/>
        <v>0</v>
      </c>
    </row>
    <row r="9" spans="1:33" x14ac:dyDescent="0.3">
      <c r="B9">
        <v>230098</v>
      </c>
      <c r="C9">
        <v>62</v>
      </c>
      <c r="D9">
        <v>0.56799999999999995</v>
      </c>
      <c r="E9">
        <v>0.68600000000000005</v>
      </c>
      <c r="F9">
        <v>1</v>
      </c>
      <c r="G9">
        <v>-6.6349999999999998</v>
      </c>
      <c r="H9">
        <v>3.3000000000000002E-2</v>
      </c>
      <c r="I9">
        <v>0.15</v>
      </c>
      <c r="J9">
        <v>1.81E-6</v>
      </c>
      <c r="K9">
        <v>8.8099999999999998E-2</v>
      </c>
      <c r="L9">
        <v>0.72499999999999998</v>
      </c>
      <c r="M9">
        <v>172.07499999999999</v>
      </c>
      <c r="P9">
        <f t="shared" si="15"/>
        <v>0.41581723827359934</v>
      </c>
      <c r="Q9">
        <f t="shared" si="4"/>
        <v>0.70967741935483875</v>
      </c>
      <c r="R9">
        <f t="shared" si="5"/>
        <v>0.67755102040816317</v>
      </c>
      <c r="S9">
        <f t="shared" si="6"/>
        <v>0.79871069596105781</v>
      </c>
      <c r="T9">
        <f t="shared" si="7"/>
        <v>9.0909090909090912E-2</v>
      </c>
      <c r="U9">
        <f t="shared" si="8"/>
        <v>0.74152884227511084</v>
      </c>
      <c r="V9">
        <f t="shared" si="9"/>
        <v>9.5607235142118871E-2</v>
      </c>
      <c r="W9">
        <f t="shared" si="10"/>
        <v>0.15776040835858987</v>
      </c>
      <c r="X9">
        <f t="shared" si="11"/>
        <v>3.0066445182724255E-5</v>
      </c>
      <c r="Y9">
        <f t="shared" si="12"/>
        <v>6.2644009216589858E-2</v>
      </c>
      <c r="Z9">
        <f t="shared" si="13"/>
        <v>1</v>
      </c>
      <c r="AA9">
        <f t="shared" si="14"/>
        <v>0.89461390849809408</v>
      </c>
      <c r="AC9">
        <f t="shared" si="16"/>
        <v>2.0420521714569624</v>
      </c>
      <c r="AD9">
        <f t="shared" si="17"/>
        <v>2.2091349441053221</v>
      </c>
      <c r="AE9">
        <f t="shared" si="18"/>
        <v>2.0420521714569624</v>
      </c>
      <c r="AF9">
        <f t="shared" si="19"/>
        <v>1</v>
      </c>
      <c r="AG9">
        <f t="shared" si="20"/>
        <v>0</v>
      </c>
    </row>
    <row r="10" spans="1:33" x14ac:dyDescent="0.3">
      <c r="B10">
        <v>214666</v>
      </c>
      <c r="C10">
        <v>61</v>
      </c>
      <c r="D10">
        <v>0.56399999999999995</v>
      </c>
      <c r="E10">
        <v>0.20899999999999999</v>
      </c>
      <c r="F10">
        <v>3</v>
      </c>
      <c r="G10">
        <v>-8.9220000000000006</v>
      </c>
      <c r="H10">
        <v>3.1699999999999999E-2</v>
      </c>
      <c r="I10">
        <v>0.72399999999999998</v>
      </c>
      <c r="J10">
        <v>3.9900000000000001E-5</v>
      </c>
      <c r="K10">
        <v>0.107</v>
      </c>
      <c r="L10">
        <v>0.40200000000000002</v>
      </c>
      <c r="M10">
        <v>109.024</v>
      </c>
      <c r="P10">
        <f t="shared" si="15"/>
        <v>0.34227794536019102</v>
      </c>
      <c r="Q10">
        <f t="shared" si="4"/>
        <v>0.67741935483870963</v>
      </c>
      <c r="R10">
        <f t="shared" si="5"/>
        <v>0.66938775510204074</v>
      </c>
      <c r="S10">
        <f t="shared" si="6"/>
        <v>0.17116168925141428</v>
      </c>
      <c r="T10">
        <f t="shared" si="7"/>
        <v>0.27272727272727271</v>
      </c>
      <c r="U10">
        <f t="shared" si="8"/>
        <v>0.51089148850342869</v>
      </c>
      <c r="V10">
        <f t="shared" si="9"/>
        <v>7.8811369509043896E-2</v>
      </c>
      <c r="W10">
        <f t="shared" si="10"/>
        <v>0.76817142553304618</v>
      </c>
      <c r="X10">
        <f t="shared" si="11"/>
        <v>6.6279069767441869E-4</v>
      </c>
      <c r="Y10">
        <f t="shared" si="12"/>
        <v>8.9861751152073732E-2</v>
      </c>
      <c r="Z10">
        <f t="shared" si="13"/>
        <v>0.48328267477203651</v>
      </c>
      <c r="AA10">
        <f t="shared" si="14"/>
        <v>0.34713937152135599</v>
      </c>
      <c r="AC10">
        <f t="shared" si="16"/>
        <v>1.5320769480116152</v>
      </c>
      <c r="AD10">
        <f t="shared" si="17"/>
        <v>2.3502489222829164</v>
      </c>
      <c r="AE10">
        <f t="shared" si="18"/>
        <v>1.5320769480116152</v>
      </c>
      <c r="AF10">
        <f t="shared" si="19"/>
        <v>1</v>
      </c>
      <c r="AG10">
        <f t="shared" si="20"/>
        <v>0</v>
      </c>
    </row>
    <row r="11" spans="1:33" x14ac:dyDescent="0.3">
      <c r="B11">
        <v>209906</v>
      </c>
      <c r="C11">
        <v>58</v>
      </c>
      <c r="D11">
        <v>0.55900000000000005</v>
      </c>
      <c r="E11">
        <v>0.56200000000000006</v>
      </c>
      <c r="F11">
        <v>11</v>
      </c>
      <c r="G11">
        <v>-5.6740000000000004</v>
      </c>
      <c r="H11">
        <v>3.2500000000000001E-2</v>
      </c>
      <c r="I11">
        <v>0.20300000000000001</v>
      </c>
      <c r="J11">
        <v>9.4800000000000007E-6</v>
      </c>
      <c r="K11">
        <v>0.17</v>
      </c>
      <c r="L11">
        <v>0.42799999999999999</v>
      </c>
      <c r="M11">
        <v>132.06200000000001</v>
      </c>
      <c r="P11">
        <f t="shared" si="15"/>
        <v>0.31959475236720086</v>
      </c>
      <c r="Q11">
        <f t="shared" si="4"/>
        <v>0.58064516129032262</v>
      </c>
      <c r="R11">
        <f t="shared" si="5"/>
        <v>0.65918367346938789</v>
      </c>
      <c r="S11">
        <f t="shared" si="6"/>
        <v>0.63557426654387594</v>
      </c>
      <c r="T11">
        <f t="shared" si="7"/>
        <v>1</v>
      </c>
      <c r="U11">
        <f t="shared" si="8"/>
        <v>0.83844292053247271</v>
      </c>
      <c r="V11">
        <f t="shared" si="9"/>
        <v>8.9147286821705432E-2</v>
      </c>
      <c r="W11">
        <f t="shared" si="10"/>
        <v>0.21412240123358325</v>
      </c>
      <c r="X11">
        <f t="shared" si="11"/>
        <v>1.5747508305647844E-4</v>
      </c>
      <c r="Y11">
        <f t="shared" si="12"/>
        <v>0.18058755760368664</v>
      </c>
      <c r="Z11">
        <f t="shared" si="13"/>
        <v>0.52487601983682608</v>
      </c>
      <c r="AA11">
        <f t="shared" si="14"/>
        <v>0.54717931351862958</v>
      </c>
      <c r="AC11">
        <f>SQRT(
($P$1 - P11)^2 +
($Q$1 -Q11)^2 +
($R$1 - R11)^2 +
($S$1 - S11)^2 +
($T$1 - T11)^2 +
($U$1 - U11)^2 +
($V$1 - V11)^2 +
($W$1 - W11)^2 +
($X$1 - X11)^2 +
($Y$1 - Y11)^2 +
($Z$1 - Z11)^2 +
($AA$1 - AA11)^2)</f>
        <v>1.9084185791599186</v>
      </c>
      <c r="AD11">
        <f t="shared" si="17"/>
        <v>2.1125907830626516</v>
      </c>
      <c r="AE11">
        <f t="shared" si="18"/>
        <v>1.9084185791599186</v>
      </c>
      <c r="AF11">
        <f t="shared" si="19"/>
        <v>1</v>
      </c>
      <c r="AG11">
        <f t="shared" si="20"/>
        <v>0</v>
      </c>
    </row>
    <row r="12" spans="1:33" x14ac:dyDescent="0.3">
      <c r="B12">
        <v>279373</v>
      </c>
      <c r="C12">
        <v>58</v>
      </c>
      <c r="D12">
        <v>0.23599999999999999</v>
      </c>
      <c r="E12">
        <v>0.57799999999999996</v>
      </c>
      <c r="F12">
        <v>7</v>
      </c>
      <c r="G12">
        <v>-5.4770000000000003</v>
      </c>
      <c r="H12">
        <v>4.0399999999999998E-2</v>
      </c>
      <c r="I12">
        <v>0.32700000000000001</v>
      </c>
      <c r="J12">
        <v>1.4999999999999999E-4</v>
      </c>
      <c r="K12">
        <v>0.20599999999999999</v>
      </c>
      <c r="L12">
        <v>0.22700000000000001</v>
      </c>
      <c r="M12">
        <v>75.367000000000004</v>
      </c>
      <c r="P12">
        <f t="shared" si="15"/>
        <v>0.65063117414116001</v>
      </c>
      <c r="Q12">
        <f t="shared" si="4"/>
        <v>0.58064516129032262</v>
      </c>
      <c r="R12">
        <f t="shared" si="5"/>
        <v>0</v>
      </c>
      <c r="S12">
        <f t="shared" si="6"/>
        <v>0.65662412840415729</v>
      </c>
      <c r="T12">
        <f t="shared" si="7"/>
        <v>0.63636363636363635</v>
      </c>
      <c r="U12">
        <f t="shared" si="8"/>
        <v>0.85830980233965293</v>
      </c>
      <c r="V12">
        <f t="shared" si="9"/>
        <v>0.19121447028423769</v>
      </c>
      <c r="W12">
        <f t="shared" si="10"/>
        <v>0.34598819588451113</v>
      </c>
      <c r="X12">
        <f t="shared" si="11"/>
        <v>2.4916943521594683E-3</v>
      </c>
      <c r="Y12">
        <f t="shared" si="12"/>
        <v>0.23243087557603684</v>
      </c>
      <c r="Z12">
        <f t="shared" si="13"/>
        <v>0.20332746760518317</v>
      </c>
      <c r="AA12">
        <f t="shared" si="14"/>
        <v>5.489419712243962E-2</v>
      </c>
      <c r="AC12">
        <f t="shared" si="16"/>
        <v>1.6087062896423061</v>
      </c>
      <c r="AD12">
        <f t="shared" si="17"/>
        <v>2.4004362769312833</v>
      </c>
      <c r="AE12">
        <f t="shared" si="18"/>
        <v>1.6087062896423061</v>
      </c>
      <c r="AF12">
        <f t="shared" si="19"/>
        <v>1</v>
      </c>
      <c r="AG12">
        <f t="shared" si="20"/>
        <v>0</v>
      </c>
    </row>
    <row r="13" spans="1:33" x14ac:dyDescent="0.3">
      <c r="B13">
        <v>206267</v>
      </c>
      <c r="C13">
        <v>58</v>
      </c>
      <c r="D13">
        <v>0.60599999999999998</v>
      </c>
      <c r="E13">
        <v>0.32600000000000001</v>
      </c>
      <c r="F13">
        <v>10</v>
      </c>
      <c r="G13">
        <v>-10.031000000000001</v>
      </c>
      <c r="H13">
        <v>2.9399999999999999E-2</v>
      </c>
      <c r="I13">
        <v>0.84099999999999997</v>
      </c>
      <c r="J13">
        <v>0</v>
      </c>
      <c r="K13">
        <v>0.13900000000000001</v>
      </c>
      <c r="L13">
        <v>0.41399999999999998</v>
      </c>
      <c r="M13">
        <v>91.626000000000005</v>
      </c>
      <c r="P13">
        <f t="shared" si="15"/>
        <v>0.30225354663159348</v>
      </c>
      <c r="Q13">
        <f t="shared" si="4"/>
        <v>0.58064516129032262</v>
      </c>
      <c r="R13">
        <f t="shared" si="5"/>
        <v>0.75510204081632648</v>
      </c>
      <c r="S13">
        <f t="shared" si="6"/>
        <v>0.32508880410472307</v>
      </c>
      <c r="T13">
        <f t="shared" si="7"/>
        <v>0.90909090909090906</v>
      </c>
      <c r="U13">
        <f t="shared" si="8"/>
        <v>0.39905203711173848</v>
      </c>
      <c r="V13">
        <f t="shared" si="9"/>
        <v>4.9095607235142093E-2</v>
      </c>
      <c r="W13">
        <f t="shared" si="10"/>
        <v>0.8925931833891636</v>
      </c>
      <c r="X13">
        <f t="shared" si="11"/>
        <v>0</v>
      </c>
      <c r="Y13">
        <f t="shared" si="12"/>
        <v>0.13594470046082952</v>
      </c>
      <c r="Z13">
        <f t="shared" si="13"/>
        <v>0.50247960326347785</v>
      </c>
      <c r="AA13">
        <f t="shared" si="14"/>
        <v>0.19607179139857778</v>
      </c>
      <c r="AC13">
        <f t="shared" si="16"/>
        <v>1.7884631592625184</v>
      </c>
      <c r="AD13">
        <f t="shared" si="17"/>
        <v>2.2591515448180228</v>
      </c>
      <c r="AE13">
        <f t="shared" si="18"/>
        <v>1.7884631592625184</v>
      </c>
      <c r="AF13">
        <f t="shared" si="19"/>
        <v>1</v>
      </c>
      <c r="AG13">
        <f t="shared" si="20"/>
        <v>0</v>
      </c>
    </row>
    <row r="14" spans="1:33" x14ac:dyDescent="0.3">
      <c r="B14">
        <v>152946</v>
      </c>
      <c r="C14">
        <v>53</v>
      </c>
      <c r="D14">
        <v>0.63800000000000001</v>
      </c>
      <c r="E14">
        <v>0.45200000000000001</v>
      </c>
      <c r="F14">
        <v>9</v>
      </c>
      <c r="G14">
        <v>-9.6159999999999997</v>
      </c>
      <c r="H14">
        <v>2.9700000000000001E-2</v>
      </c>
      <c r="I14">
        <v>0.60799999999999998</v>
      </c>
      <c r="J14">
        <v>5.7700000000000001E-2</v>
      </c>
      <c r="K14">
        <v>0.112</v>
      </c>
      <c r="L14">
        <v>0.34100000000000003</v>
      </c>
      <c r="M14">
        <v>100.105</v>
      </c>
      <c r="P14">
        <f t="shared" si="15"/>
        <v>4.8158896719991233E-2</v>
      </c>
      <c r="Q14">
        <f t="shared" si="4"/>
        <v>0.41935483870967744</v>
      </c>
      <c r="R14">
        <f t="shared" si="5"/>
        <v>0.82040816326530619</v>
      </c>
      <c r="S14">
        <f t="shared" si="6"/>
        <v>0.49085646625444018</v>
      </c>
      <c r="T14">
        <f t="shared" si="7"/>
        <v>0.81818181818181823</v>
      </c>
      <c r="U14">
        <f t="shared" si="8"/>
        <v>0.44090359015732145</v>
      </c>
      <c r="V14">
        <f t="shared" si="9"/>
        <v>5.2971576227390176E-2</v>
      </c>
      <c r="W14">
        <f t="shared" si="10"/>
        <v>0.6448131015047589</v>
      </c>
      <c r="X14">
        <f t="shared" si="11"/>
        <v>0.95847176079734231</v>
      </c>
      <c r="Y14">
        <f t="shared" si="12"/>
        <v>9.7062211981566823E-2</v>
      </c>
      <c r="Z14">
        <f t="shared" si="13"/>
        <v>0.38569828827387626</v>
      </c>
      <c r="AA14">
        <f t="shared" si="14"/>
        <v>0.26969531202514613</v>
      </c>
      <c r="AC14">
        <f t="shared" si="16"/>
        <v>1.8772806642114623</v>
      </c>
      <c r="AD14">
        <f t="shared" si="17"/>
        <v>2.1519829562580086</v>
      </c>
      <c r="AE14">
        <f t="shared" si="18"/>
        <v>1.8772806642114623</v>
      </c>
      <c r="AF14">
        <f t="shared" si="19"/>
        <v>1</v>
      </c>
      <c r="AG14">
        <f t="shared" si="20"/>
        <v>0</v>
      </c>
    </row>
    <row r="15" spans="1:33" x14ac:dyDescent="0.3">
      <c r="B15">
        <v>212480</v>
      </c>
      <c r="C15">
        <v>57</v>
      </c>
      <c r="D15">
        <v>0.55400000000000005</v>
      </c>
      <c r="E15">
        <v>0.47</v>
      </c>
      <c r="F15">
        <v>8</v>
      </c>
      <c r="G15">
        <v>-6.6040000000000001</v>
      </c>
      <c r="H15">
        <v>5.4800000000000001E-2</v>
      </c>
      <c r="I15">
        <v>0.77</v>
      </c>
      <c r="J15">
        <v>2.6000000000000001E-6</v>
      </c>
      <c r="K15">
        <v>0.106</v>
      </c>
      <c r="L15">
        <v>0.34599999999999997</v>
      </c>
      <c r="M15">
        <v>95.597999999999999</v>
      </c>
      <c r="P15">
        <f t="shared" si="15"/>
        <v>0.33186083193946064</v>
      </c>
      <c r="Q15">
        <f t="shared" si="4"/>
        <v>0.54838709677419351</v>
      </c>
      <c r="R15">
        <f t="shared" si="5"/>
        <v>0.64897959183673481</v>
      </c>
      <c r="S15">
        <f t="shared" si="6"/>
        <v>0.51453756084725699</v>
      </c>
      <c r="T15">
        <f t="shared" si="7"/>
        <v>0.72727272727272729</v>
      </c>
      <c r="U15">
        <f t="shared" si="8"/>
        <v>0.744655102864058</v>
      </c>
      <c r="V15">
        <f t="shared" si="9"/>
        <v>0.37726098191214474</v>
      </c>
      <c r="W15">
        <f t="shared" si="10"/>
        <v>0.81708938161322919</v>
      </c>
      <c r="X15">
        <f t="shared" si="11"/>
        <v>4.3189368770764125E-5</v>
      </c>
      <c r="Y15">
        <f t="shared" si="12"/>
        <v>8.8421658986175114E-2</v>
      </c>
      <c r="Z15">
        <f t="shared" si="13"/>
        <v>0.39369700847864342</v>
      </c>
      <c r="AA15">
        <f t="shared" si="14"/>
        <v>0.2305608377399776</v>
      </c>
      <c r="AC15">
        <f t="shared" si="16"/>
        <v>1.7905739878400384</v>
      </c>
      <c r="AD15">
        <f t="shared" si="17"/>
        <v>2.0882105417468408</v>
      </c>
      <c r="AE15">
        <f t="shared" si="18"/>
        <v>1.7905739878400384</v>
      </c>
      <c r="AF15">
        <f t="shared" si="19"/>
        <v>1</v>
      </c>
      <c r="AG15">
        <f t="shared" si="20"/>
        <v>0</v>
      </c>
    </row>
    <row r="16" spans="1:33" x14ac:dyDescent="0.3">
      <c r="B16">
        <v>241146</v>
      </c>
      <c r="C16">
        <v>54</v>
      </c>
      <c r="D16">
        <v>0.57699999999999996</v>
      </c>
      <c r="E16">
        <v>0.53</v>
      </c>
      <c r="F16">
        <v>7</v>
      </c>
      <c r="G16">
        <v>-6.7489999999999997</v>
      </c>
      <c r="H16">
        <v>3.1199999999999999E-2</v>
      </c>
      <c r="I16">
        <v>0.54400000000000004</v>
      </c>
      <c r="J16">
        <v>3.2899999999999998E-6</v>
      </c>
      <c r="K16">
        <v>0.10299999999999999</v>
      </c>
      <c r="L16">
        <v>0.22</v>
      </c>
      <c r="M16">
        <v>85.471000000000004</v>
      </c>
      <c r="P16">
        <f t="shared" si="15"/>
        <v>0.46846511982539663</v>
      </c>
      <c r="Q16">
        <f t="shared" si="4"/>
        <v>0.45161290322580644</v>
      </c>
      <c r="R16">
        <f t="shared" si="5"/>
        <v>0.69591836734693868</v>
      </c>
      <c r="S16">
        <f t="shared" si="6"/>
        <v>0.5934745428233128</v>
      </c>
      <c r="T16">
        <f t="shared" si="7"/>
        <v>0.63636363636363635</v>
      </c>
      <c r="U16">
        <f t="shared" si="8"/>
        <v>0.73003227107704716</v>
      </c>
      <c r="V16">
        <f t="shared" si="9"/>
        <v>7.2351421188630458E-2</v>
      </c>
      <c r="W16">
        <f t="shared" si="10"/>
        <v>0.57675333652363492</v>
      </c>
      <c r="X16">
        <f t="shared" si="11"/>
        <v>5.4651162790697672E-5</v>
      </c>
      <c r="Y16">
        <f t="shared" si="12"/>
        <v>8.4101382488479245E-2</v>
      </c>
      <c r="Z16">
        <f t="shared" si="13"/>
        <v>0.19212925931850905</v>
      </c>
      <c r="AA16">
        <f t="shared" si="14"/>
        <v>0.14262766243802483</v>
      </c>
      <c r="AC16">
        <f t="shared" si="16"/>
        <v>1.6124647194851403</v>
      </c>
      <c r="AD16">
        <f t="shared" si="17"/>
        <v>2.304836949551937</v>
      </c>
      <c r="AE16">
        <f t="shared" si="18"/>
        <v>1.6124647194851403</v>
      </c>
      <c r="AF16">
        <f t="shared" si="19"/>
        <v>1</v>
      </c>
      <c r="AG16">
        <f t="shared" si="20"/>
        <v>0</v>
      </c>
    </row>
    <row r="17" spans="2:33" x14ac:dyDescent="0.3">
      <c r="B17">
        <v>185228</v>
      </c>
      <c r="C17">
        <v>53</v>
      </c>
      <c r="D17">
        <v>0.41899999999999998</v>
      </c>
      <c r="E17">
        <v>0.26900000000000002</v>
      </c>
      <c r="F17">
        <v>7</v>
      </c>
      <c r="G17">
        <v>-9.3879999999999999</v>
      </c>
      <c r="H17">
        <v>3.56E-2</v>
      </c>
      <c r="I17">
        <v>0.626</v>
      </c>
      <c r="J17">
        <v>1.8300000000000001E-5</v>
      </c>
      <c r="K17">
        <v>0.11600000000000001</v>
      </c>
      <c r="L17">
        <v>0.152</v>
      </c>
      <c r="M17">
        <v>121.69499999999999</v>
      </c>
      <c r="P17">
        <f t="shared" si="15"/>
        <v>0.20199478667791296</v>
      </c>
      <c r="Q17">
        <f t="shared" si="4"/>
        <v>0.41935483870967744</v>
      </c>
      <c r="R17">
        <f t="shared" si="5"/>
        <v>0.37346938775510202</v>
      </c>
      <c r="S17">
        <f t="shared" si="6"/>
        <v>0.25009867122747009</v>
      </c>
      <c r="T17">
        <f t="shared" si="7"/>
        <v>0.63636363636363635</v>
      </c>
      <c r="U17">
        <f t="shared" si="8"/>
        <v>0.46389673255344893</v>
      </c>
      <c r="V17">
        <f t="shared" si="9"/>
        <v>0.12919896640826872</v>
      </c>
      <c r="W17">
        <f t="shared" si="10"/>
        <v>0.66395491040569998</v>
      </c>
      <c r="X17">
        <f t="shared" si="11"/>
        <v>3.0398671096345517E-4</v>
      </c>
      <c r="Y17">
        <f t="shared" si="12"/>
        <v>0.1028225806451613</v>
      </c>
      <c r="Z17">
        <f t="shared" si="13"/>
        <v>8.3346664533674605E-2</v>
      </c>
      <c r="AA17">
        <f t="shared" si="14"/>
        <v>0.45716220792414491</v>
      </c>
      <c r="AC17">
        <f t="shared" si="16"/>
        <v>1.3125901805240408</v>
      </c>
      <c r="AD17">
        <f t="shared" si="17"/>
        <v>2.4817248522303617</v>
      </c>
      <c r="AE17">
        <f t="shared" si="18"/>
        <v>1.3125901805240408</v>
      </c>
      <c r="AF17">
        <f t="shared" si="19"/>
        <v>1</v>
      </c>
      <c r="AG17">
        <f t="shared" si="20"/>
        <v>0</v>
      </c>
    </row>
    <row r="18" spans="2:33" x14ac:dyDescent="0.3">
      <c r="B18">
        <v>259558</v>
      </c>
      <c r="C18">
        <v>55</v>
      </c>
      <c r="D18">
        <v>0.35399999999999998</v>
      </c>
      <c r="E18">
        <v>0.20599999999999999</v>
      </c>
      <c r="F18">
        <v>0</v>
      </c>
      <c r="G18">
        <v>-11.798999999999999</v>
      </c>
      <c r="H18">
        <v>3.6499999999999998E-2</v>
      </c>
      <c r="I18">
        <v>0.77900000000000003</v>
      </c>
      <c r="J18">
        <v>2.1000000000000001E-4</v>
      </c>
      <c r="K18">
        <v>9.5899999999999999E-2</v>
      </c>
      <c r="L18">
        <v>0.20200000000000001</v>
      </c>
      <c r="M18">
        <v>139.05600000000001</v>
      </c>
      <c r="P18">
        <f t="shared" si="15"/>
        <v>0.55620523524281973</v>
      </c>
      <c r="Q18">
        <f t="shared" si="4"/>
        <v>0.4838709677419355</v>
      </c>
      <c r="R18">
        <f t="shared" si="5"/>
        <v>0.24081632653061225</v>
      </c>
      <c r="S18">
        <f t="shared" si="6"/>
        <v>0.16721484015261148</v>
      </c>
      <c r="T18">
        <f t="shared" si="7"/>
        <v>0</v>
      </c>
      <c r="U18">
        <f t="shared" si="8"/>
        <v>0.22075433642597822</v>
      </c>
      <c r="V18">
        <f t="shared" si="9"/>
        <v>0.14082687338501287</v>
      </c>
      <c r="W18">
        <f t="shared" si="10"/>
        <v>0.82666028606369979</v>
      </c>
      <c r="X18">
        <f t="shared" si="11"/>
        <v>3.4883720930232562E-3</v>
      </c>
      <c r="Y18">
        <f t="shared" si="12"/>
        <v>7.3876728110599074E-2</v>
      </c>
      <c r="Z18">
        <f t="shared" si="13"/>
        <v>0.16333386658134699</v>
      </c>
      <c r="AA18">
        <f t="shared" si="14"/>
        <v>0.60790851546015801</v>
      </c>
      <c r="AC18">
        <f t="shared" si="16"/>
        <v>1.3353206550251377</v>
      </c>
      <c r="AD18">
        <f t="shared" si="17"/>
        <v>2.6102046962185113</v>
      </c>
      <c r="AE18">
        <f t="shared" si="18"/>
        <v>1.3353206550251377</v>
      </c>
      <c r="AF18">
        <f t="shared" si="19"/>
        <v>1</v>
      </c>
      <c r="AG18">
        <f t="shared" si="20"/>
        <v>0</v>
      </c>
    </row>
    <row r="19" spans="2:33" x14ac:dyDescent="0.3">
      <c r="B19">
        <v>185421</v>
      </c>
      <c r="C19">
        <v>52</v>
      </c>
      <c r="D19">
        <v>0.32700000000000001</v>
      </c>
      <c r="E19">
        <v>0.16800000000000001</v>
      </c>
      <c r="F19">
        <v>9</v>
      </c>
      <c r="G19">
        <v>-13.988</v>
      </c>
      <c r="H19">
        <v>4.99E-2</v>
      </c>
      <c r="I19">
        <v>0.91200000000000003</v>
      </c>
      <c r="J19">
        <v>2.4500000000000001E-2</v>
      </c>
      <c r="K19">
        <v>9.7299999999999998E-2</v>
      </c>
      <c r="L19">
        <v>9.9900000000000003E-2</v>
      </c>
      <c r="M19">
        <v>76.778999999999996</v>
      </c>
      <c r="P19">
        <f t="shared" si="15"/>
        <v>0.20291450437699848</v>
      </c>
      <c r="Q19">
        <f t="shared" si="4"/>
        <v>0.38709677419354838</v>
      </c>
      <c r="R19">
        <f t="shared" si="5"/>
        <v>0.18571428571428578</v>
      </c>
      <c r="S19">
        <f t="shared" si="6"/>
        <v>0.11722141823444285</v>
      </c>
      <c r="T19">
        <f t="shared" si="7"/>
        <v>0.81818181818181823</v>
      </c>
      <c r="U19">
        <f t="shared" si="8"/>
        <v>0</v>
      </c>
      <c r="V19">
        <f t="shared" si="9"/>
        <v>0.31395348837209303</v>
      </c>
      <c r="W19">
        <f t="shared" si="10"/>
        <v>0.96809698516509823</v>
      </c>
      <c r="X19">
        <f t="shared" si="11"/>
        <v>0.40697674418604657</v>
      </c>
      <c r="Y19">
        <f t="shared" si="12"/>
        <v>7.5892857142857137E-2</v>
      </c>
      <c r="Z19">
        <f t="shared" si="13"/>
        <v>0</v>
      </c>
      <c r="AA19">
        <f t="shared" si="14"/>
        <v>6.7154653676834472E-2</v>
      </c>
      <c r="AC19">
        <f t="shared" si="16"/>
        <v>1.4561416353579675</v>
      </c>
      <c r="AD19">
        <f t="shared" si="17"/>
        <v>2.6521578768495151</v>
      </c>
      <c r="AE19">
        <f t="shared" si="18"/>
        <v>1.4561416353579675</v>
      </c>
      <c r="AF19">
        <f t="shared" si="19"/>
        <v>1</v>
      </c>
      <c r="AG19">
        <f t="shared" si="20"/>
        <v>0</v>
      </c>
    </row>
    <row r="20" spans="2:33" x14ac:dyDescent="0.3">
      <c r="B20">
        <v>211674</v>
      </c>
      <c r="C20">
        <v>51</v>
      </c>
      <c r="D20">
        <v>0.42499999999999999</v>
      </c>
      <c r="E20">
        <v>0.25800000000000001</v>
      </c>
      <c r="F20">
        <v>6</v>
      </c>
      <c r="G20">
        <v>-9.3239999999999998</v>
      </c>
      <c r="H20">
        <v>3.5999999999999997E-2</v>
      </c>
      <c r="I20">
        <v>0.73599999999999999</v>
      </c>
      <c r="J20">
        <v>0</v>
      </c>
      <c r="K20">
        <v>7.3400000000000007E-2</v>
      </c>
      <c r="L20">
        <v>0.311</v>
      </c>
      <c r="M20">
        <v>162.761</v>
      </c>
      <c r="P20">
        <f t="shared" si="15"/>
        <v>0.32801993833602577</v>
      </c>
      <c r="Q20">
        <f t="shared" si="4"/>
        <v>0.35483870967741937</v>
      </c>
      <c r="R20">
        <f t="shared" si="5"/>
        <v>0.38571428571428573</v>
      </c>
      <c r="S20">
        <f t="shared" si="6"/>
        <v>0.23562689119852653</v>
      </c>
      <c r="T20">
        <f t="shared" si="7"/>
        <v>0.54545454545454541</v>
      </c>
      <c r="U20">
        <f t="shared" si="8"/>
        <v>0.47035094796288823</v>
      </c>
      <c r="V20">
        <f t="shared" si="9"/>
        <v>0.13436692506459944</v>
      </c>
      <c r="W20">
        <f t="shared" si="10"/>
        <v>0.78093263146700698</v>
      </c>
      <c r="X20">
        <f t="shared" si="11"/>
        <v>0</v>
      </c>
      <c r="Y20">
        <f t="shared" si="12"/>
        <v>4.1474654377880192E-2</v>
      </c>
      <c r="Z20">
        <f t="shared" si="13"/>
        <v>0.33770596704527278</v>
      </c>
      <c r="AA20">
        <f t="shared" si="14"/>
        <v>0.81374004706209246</v>
      </c>
      <c r="AC20">
        <f t="shared" si="16"/>
        <v>1.5370108601001315</v>
      </c>
      <c r="AD20">
        <f t="shared" si="17"/>
        <v>2.3464763577212238</v>
      </c>
      <c r="AE20">
        <f t="shared" si="18"/>
        <v>1.5370108601001315</v>
      </c>
      <c r="AF20">
        <f t="shared" si="19"/>
        <v>1</v>
      </c>
      <c r="AG20">
        <f t="shared" si="20"/>
        <v>0</v>
      </c>
    </row>
    <row r="21" spans="2:33" x14ac:dyDescent="0.3">
      <c r="B21">
        <v>196973</v>
      </c>
      <c r="C21">
        <v>52</v>
      </c>
      <c r="D21">
        <v>0.56299999999999994</v>
      </c>
      <c r="E21">
        <v>0.46300000000000002</v>
      </c>
      <c r="F21">
        <v>8</v>
      </c>
      <c r="G21">
        <v>-7.3659999999999997</v>
      </c>
      <c r="H21">
        <v>5.5100000000000003E-2</v>
      </c>
      <c r="I21">
        <v>0.80400000000000005</v>
      </c>
      <c r="J21">
        <v>2.2699999999999999E-6</v>
      </c>
      <c r="K21">
        <v>9.1999999999999998E-2</v>
      </c>
      <c r="L21">
        <v>0.39400000000000002</v>
      </c>
      <c r="M21">
        <v>98.039000000000001</v>
      </c>
      <c r="P21">
        <f t="shared" si="15"/>
        <v>0.25796413577511235</v>
      </c>
      <c r="Q21">
        <f t="shared" si="4"/>
        <v>0.38709677419354838</v>
      </c>
      <c r="R21">
        <f t="shared" si="5"/>
        <v>0.6673469387755101</v>
      </c>
      <c r="S21">
        <f t="shared" si="6"/>
        <v>0.5053282462833838</v>
      </c>
      <c r="T21">
        <f t="shared" si="7"/>
        <v>0.72727272727272729</v>
      </c>
      <c r="U21">
        <f t="shared" si="8"/>
        <v>0.6678096006454215</v>
      </c>
      <c r="V21">
        <f t="shared" si="9"/>
        <v>0.38113695090439281</v>
      </c>
      <c r="W21">
        <f t="shared" si="10"/>
        <v>0.85324613175945141</v>
      </c>
      <c r="X21">
        <f t="shared" si="11"/>
        <v>3.7707641196013287E-5</v>
      </c>
      <c r="Y21">
        <f t="shared" si="12"/>
        <v>6.8260368663594459E-2</v>
      </c>
      <c r="Z21">
        <f t="shared" si="13"/>
        <v>0.47048472244440892</v>
      </c>
      <c r="AA21">
        <f t="shared" si="14"/>
        <v>0.25175614542360225</v>
      </c>
      <c r="AC21">
        <f t="shared" si="16"/>
        <v>1.7477654621093495</v>
      </c>
      <c r="AD21">
        <f t="shared" si="17"/>
        <v>2.1399072902762888</v>
      </c>
      <c r="AE21">
        <f t="shared" si="18"/>
        <v>1.7477654621093495</v>
      </c>
      <c r="AF21">
        <f t="shared" si="19"/>
        <v>1</v>
      </c>
      <c r="AG21">
        <f t="shared" si="20"/>
        <v>0</v>
      </c>
    </row>
    <row r="22" spans="2:33" x14ac:dyDescent="0.3">
      <c r="B22">
        <v>352687</v>
      </c>
      <c r="C22">
        <v>60</v>
      </c>
      <c r="D22">
        <v>0.38700000000000001</v>
      </c>
      <c r="E22">
        <v>0.41599999999999998</v>
      </c>
      <c r="F22">
        <v>9</v>
      </c>
      <c r="G22">
        <v>-10.1</v>
      </c>
      <c r="H22">
        <v>3.2099999999999997E-2</v>
      </c>
      <c r="I22">
        <v>0.86199999999999999</v>
      </c>
      <c r="J22">
        <v>8.8799999999999997E-6</v>
      </c>
      <c r="K22">
        <v>0.11799999999999999</v>
      </c>
      <c r="L22">
        <v>0.25600000000000001</v>
      </c>
      <c r="M22">
        <v>156.17500000000001</v>
      </c>
      <c r="P22">
        <f t="shared" si="15"/>
        <v>1</v>
      </c>
      <c r="Q22">
        <f t="shared" si="4"/>
        <v>0.64516129032258063</v>
      </c>
      <c r="R22">
        <f t="shared" si="5"/>
        <v>0.30816326530612248</v>
      </c>
      <c r="S22">
        <f t="shared" si="6"/>
        <v>0.44349427706880667</v>
      </c>
      <c r="T22">
        <f t="shared" si="7"/>
        <v>0.81818181818181823</v>
      </c>
      <c r="U22">
        <f t="shared" si="8"/>
        <v>0.39209358612343687</v>
      </c>
      <c r="V22">
        <f t="shared" si="9"/>
        <v>8.3979328165374623E-2</v>
      </c>
      <c r="W22">
        <f t="shared" si="10"/>
        <v>0.91492529377359499</v>
      </c>
      <c r="X22">
        <f t="shared" si="11"/>
        <v>1.4750830564784053E-4</v>
      </c>
      <c r="Y22">
        <f t="shared" si="12"/>
        <v>0.10570276497695852</v>
      </c>
      <c r="Z22">
        <f t="shared" si="13"/>
        <v>0.24972004479283319</v>
      </c>
      <c r="AA22">
        <f t="shared" si="14"/>
        <v>0.75655352661786812</v>
      </c>
      <c r="AC22">
        <f t="shared" si="16"/>
        <v>2.0052658144813633</v>
      </c>
      <c r="AD22">
        <f t="shared" si="17"/>
        <v>2.1412252519194519</v>
      </c>
      <c r="AE22">
        <f t="shared" si="18"/>
        <v>2.0052658144813633</v>
      </c>
      <c r="AF22">
        <f t="shared" si="19"/>
        <v>1</v>
      </c>
      <c r="AG22">
        <f t="shared" si="20"/>
        <v>0</v>
      </c>
    </row>
    <row r="23" spans="2:33" x14ac:dyDescent="0.3">
      <c r="B23">
        <v>213732</v>
      </c>
      <c r="C23">
        <v>59</v>
      </c>
      <c r="D23">
        <v>0.63900000000000001</v>
      </c>
      <c r="E23">
        <v>0.66600000000000004</v>
      </c>
      <c r="F23">
        <v>0</v>
      </c>
      <c r="G23">
        <v>-7.7750000000000004</v>
      </c>
      <c r="H23">
        <v>6.3600000000000004E-2</v>
      </c>
      <c r="I23">
        <v>0.27100000000000002</v>
      </c>
      <c r="J23">
        <v>0</v>
      </c>
      <c r="K23">
        <v>0.111</v>
      </c>
      <c r="L23">
        <v>0.372</v>
      </c>
      <c r="M23">
        <v>98.384</v>
      </c>
      <c r="P23">
        <f t="shared" si="15"/>
        <v>0.33782708354181856</v>
      </c>
      <c r="Q23">
        <f t="shared" si="4"/>
        <v>0.61290322580645162</v>
      </c>
      <c r="R23">
        <f t="shared" si="5"/>
        <v>0.82244897959183683</v>
      </c>
      <c r="S23">
        <f t="shared" si="6"/>
        <v>0.77239836863570588</v>
      </c>
      <c r="T23">
        <f t="shared" si="7"/>
        <v>0</v>
      </c>
      <c r="U23">
        <f t="shared" si="8"/>
        <v>0.62656313029447352</v>
      </c>
      <c r="V23">
        <f t="shared" si="9"/>
        <v>0.4909560723514213</v>
      </c>
      <c r="W23">
        <f t="shared" si="10"/>
        <v>0.2864359015260276</v>
      </c>
      <c r="X23">
        <f t="shared" si="11"/>
        <v>0</v>
      </c>
      <c r="Y23">
        <f t="shared" si="12"/>
        <v>9.5622119815668205E-2</v>
      </c>
      <c r="Z23">
        <f t="shared" si="13"/>
        <v>0.4352903535434331</v>
      </c>
      <c r="AA23">
        <f t="shared" si="14"/>
        <v>0.25475179521911662</v>
      </c>
      <c r="AC23">
        <f t="shared" si="16"/>
        <v>1.6558935872333771</v>
      </c>
      <c r="AD23">
        <f t="shared" si="17"/>
        <v>2.2959942316105058</v>
      </c>
      <c r="AE23">
        <f t="shared" si="18"/>
        <v>1.6558935872333771</v>
      </c>
      <c r="AF23">
        <f t="shared" si="19"/>
        <v>1</v>
      </c>
      <c r="AG23">
        <f t="shared" si="20"/>
        <v>0</v>
      </c>
    </row>
    <row r="24" spans="2:33" x14ac:dyDescent="0.3">
      <c r="B24">
        <v>178320</v>
      </c>
      <c r="C24">
        <v>49</v>
      </c>
      <c r="D24">
        <v>0.54500000000000004</v>
      </c>
      <c r="E24">
        <v>0.34899999999999998</v>
      </c>
      <c r="F24">
        <v>2</v>
      </c>
      <c r="G24">
        <v>-9.9309999999999992</v>
      </c>
      <c r="H24">
        <v>4.7800000000000002E-2</v>
      </c>
      <c r="I24">
        <v>0.48099999999999998</v>
      </c>
      <c r="J24">
        <v>6.02E-5</v>
      </c>
      <c r="K24">
        <v>9.8500000000000004E-2</v>
      </c>
      <c r="L24">
        <v>0.34699999999999998</v>
      </c>
      <c r="M24">
        <v>79.168000000000006</v>
      </c>
      <c r="P24">
        <f t="shared" si="15"/>
        <v>0.16907556457800207</v>
      </c>
      <c r="Q24">
        <f t="shared" si="4"/>
        <v>0.29032258064516131</v>
      </c>
      <c r="R24">
        <f t="shared" si="5"/>
        <v>0.63061224489795931</v>
      </c>
      <c r="S24">
        <f t="shared" si="6"/>
        <v>0.35534798052887778</v>
      </c>
      <c r="T24">
        <f t="shared" si="7"/>
        <v>0.18181818181818182</v>
      </c>
      <c r="U24">
        <f t="shared" si="8"/>
        <v>0.40913674868898753</v>
      </c>
      <c r="V24">
        <f t="shared" si="9"/>
        <v>0.2868217054263566</v>
      </c>
      <c r="W24">
        <f t="shared" si="10"/>
        <v>0.50975700537034085</v>
      </c>
      <c r="X24">
        <f t="shared" si="11"/>
        <v>1E-3</v>
      </c>
      <c r="Y24">
        <f t="shared" si="12"/>
        <v>7.7620967741935484E-2</v>
      </c>
      <c r="Z24">
        <f t="shared" si="13"/>
        <v>0.39529675251959684</v>
      </c>
      <c r="AA24">
        <f t="shared" si="14"/>
        <v>8.7898443130410675E-2</v>
      </c>
      <c r="AC24">
        <f t="shared" si="16"/>
        <v>1.1616363618348051</v>
      </c>
      <c r="AD24">
        <f t="shared" si="17"/>
        <v>2.5612463150671747</v>
      </c>
      <c r="AE24">
        <f t="shared" si="18"/>
        <v>1.1616363618348051</v>
      </c>
      <c r="AF24">
        <f t="shared" si="19"/>
        <v>1</v>
      </c>
      <c r="AG24">
        <f t="shared" si="20"/>
        <v>0</v>
      </c>
    </row>
    <row r="25" spans="2:33" x14ac:dyDescent="0.3">
      <c r="B25">
        <v>201493</v>
      </c>
      <c r="C25">
        <v>49</v>
      </c>
      <c r="D25">
        <v>0.72599999999999998</v>
      </c>
      <c r="E25">
        <v>0.66700000000000004</v>
      </c>
      <c r="F25">
        <v>10</v>
      </c>
      <c r="G25">
        <v>-4.0720000000000001</v>
      </c>
      <c r="H25">
        <v>4.9099999999999998E-2</v>
      </c>
      <c r="I25">
        <v>0.48199999999999998</v>
      </c>
      <c r="J25">
        <v>0</v>
      </c>
      <c r="K25">
        <v>4.4600000000000001E-2</v>
      </c>
      <c r="L25">
        <v>0.20499999999999999</v>
      </c>
      <c r="M25">
        <v>87.085999999999999</v>
      </c>
      <c r="P25">
        <f t="shared" si="15"/>
        <v>0.27950363836509456</v>
      </c>
      <c r="Q25">
        <f t="shared" si="4"/>
        <v>0.29032258064516131</v>
      </c>
      <c r="R25">
        <f t="shared" si="5"/>
        <v>1</v>
      </c>
      <c r="S25">
        <f t="shared" si="6"/>
        <v>0.77371398500197353</v>
      </c>
      <c r="T25">
        <f t="shared" si="7"/>
        <v>0.90909090909090906</v>
      </c>
      <c r="U25">
        <f t="shared" si="8"/>
        <v>1</v>
      </c>
      <c r="V25">
        <f t="shared" si="9"/>
        <v>0.30361757105943149</v>
      </c>
      <c r="W25">
        <f t="shared" si="10"/>
        <v>0.51082043919817099</v>
      </c>
      <c r="X25">
        <f t="shared" si="11"/>
        <v>0</v>
      </c>
      <c r="Y25">
        <f t="shared" si="12"/>
        <v>0</v>
      </c>
      <c r="Z25">
        <f t="shared" si="13"/>
        <v>0.16813309870420731</v>
      </c>
      <c r="AA25">
        <f t="shared" si="14"/>
        <v>0.15665077669818611</v>
      </c>
      <c r="AC25">
        <f t="shared" si="16"/>
        <v>1.9983539355053765</v>
      </c>
      <c r="AD25">
        <f t="shared" si="17"/>
        <v>2.282479453143786</v>
      </c>
      <c r="AE25">
        <f t="shared" si="18"/>
        <v>1.9983539355053765</v>
      </c>
      <c r="AF25">
        <f t="shared" si="19"/>
        <v>1</v>
      </c>
      <c r="AG25">
        <f t="shared" si="20"/>
        <v>0</v>
      </c>
    </row>
    <row r="26" spans="2:33" x14ac:dyDescent="0.3">
      <c r="B26">
        <v>224893</v>
      </c>
      <c r="C26">
        <v>50</v>
      </c>
      <c r="D26">
        <v>0.44400000000000001</v>
      </c>
      <c r="E26">
        <v>7.8899999999999998E-2</v>
      </c>
      <c r="F26">
        <v>11</v>
      </c>
      <c r="G26">
        <v>-13.848000000000001</v>
      </c>
      <c r="H26">
        <v>4.6399999999999997E-2</v>
      </c>
      <c r="I26">
        <v>0.84</v>
      </c>
      <c r="J26">
        <v>1.64E-4</v>
      </c>
      <c r="K26">
        <v>0.106</v>
      </c>
      <c r="L26">
        <v>0.154</v>
      </c>
      <c r="M26">
        <v>87.347999999999999</v>
      </c>
      <c r="P26">
        <f t="shared" si="15"/>
        <v>0.3910134526583654</v>
      </c>
      <c r="Q26">
        <f t="shared" si="4"/>
        <v>0.32258064516129031</v>
      </c>
      <c r="R26">
        <f t="shared" si="5"/>
        <v>0.42448979591836739</v>
      </c>
      <c r="S26">
        <f t="shared" si="6"/>
        <v>0</v>
      </c>
      <c r="T26">
        <f t="shared" si="7"/>
        <v>1</v>
      </c>
      <c r="U26">
        <f t="shared" si="8"/>
        <v>1.4118596208148324E-2</v>
      </c>
      <c r="V26">
        <f t="shared" si="9"/>
        <v>0.26873385012919893</v>
      </c>
      <c r="W26">
        <f t="shared" si="10"/>
        <v>0.89152974956133357</v>
      </c>
      <c r="X26">
        <f t="shared" si="11"/>
        <v>2.7242524916943523E-3</v>
      </c>
      <c r="Y26">
        <f t="shared" si="12"/>
        <v>8.8421658986175114E-2</v>
      </c>
      <c r="Z26">
        <f t="shared" si="13"/>
        <v>8.6546152615581504E-2</v>
      </c>
      <c r="AA26">
        <f t="shared" si="14"/>
        <v>0.1589257339341999</v>
      </c>
      <c r="AC26">
        <f t="shared" si="16"/>
        <v>1.531325350053653</v>
      </c>
      <c r="AD26">
        <f t="shared" si="17"/>
        <v>2.6545789783670464</v>
      </c>
      <c r="AE26">
        <f t="shared" si="18"/>
        <v>1.531325350053653</v>
      </c>
      <c r="AF26">
        <f t="shared" si="19"/>
        <v>1</v>
      </c>
      <c r="AG26">
        <f t="shared" si="20"/>
        <v>0</v>
      </c>
    </row>
    <row r="27" spans="2:33" x14ac:dyDescent="0.3">
      <c r="B27">
        <v>221813</v>
      </c>
      <c r="C27">
        <v>49</v>
      </c>
      <c r="D27">
        <v>0.60199999999999998</v>
      </c>
      <c r="E27">
        <v>0.61899999999999999</v>
      </c>
      <c r="F27">
        <v>5</v>
      </c>
      <c r="G27">
        <v>-8.1940000000000008</v>
      </c>
      <c r="H27">
        <v>3.56E-2</v>
      </c>
      <c r="I27">
        <v>7.7100000000000002E-2</v>
      </c>
      <c r="J27">
        <v>0</v>
      </c>
      <c r="K27">
        <v>8.8700000000000001E-2</v>
      </c>
      <c r="L27">
        <v>0.22800000000000001</v>
      </c>
      <c r="M27">
        <v>107.428</v>
      </c>
      <c r="P27">
        <f t="shared" si="15"/>
        <v>0.37633609248643057</v>
      </c>
      <c r="Q27">
        <f t="shared" si="4"/>
        <v>0.29032258064516131</v>
      </c>
      <c r="R27">
        <f t="shared" si="5"/>
        <v>0.74693877551020404</v>
      </c>
      <c r="S27">
        <f t="shared" si="6"/>
        <v>0.71056439942112881</v>
      </c>
      <c r="T27">
        <f t="shared" si="7"/>
        <v>0.45454545454545453</v>
      </c>
      <c r="U27">
        <f t="shared" si="8"/>
        <v>0.5843081887858006</v>
      </c>
      <c r="V27">
        <f t="shared" si="9"/>
        <v>0.12919896640826872</v>
      </c>
      <c r="W27">
        <f t="shared" si="10"/>
        <v>8.0236082309778287E-2</v>
      </c>
      <c r="X27">
        <f t="shared" si="11"/>
        <v>0</v>
      </c>
      <c r="Y27">
        <f t="shared" si="12"/>
        <v>6.3508064516129031E-2</v>
      </c>
      <c r="Z27">
        <f t="shared" si="13"/>
        <v>0.20492721164613661</v>
      </c>
      <c r="AA27">
        <f t="shared" si="14"/>
        <v>0.33328123507602003</v>
      </c>
      <c r="AC27">
        <f t="shared" si="16"/>
        <v>1.4202105495195843</v>
      </c>
      <c r="AD27">
        <f t="shared" si="17"/>
        <v>2.4634658313574587</v>
      </c>
      <c r="AE27">
        <f t="shared" si="18"/>
        <v>1.4202105495195843</v>
      </c>
      <c r="AF27">
        <f t="shared" si="19"/>
        <v>1</v>
      </c>
      <c r="AG27">
        <f t="shared" si="20"/>
        <v>0</v>
      </c>
    </row>
    <row r="28" spans="2:33" x14ac:dyDescent="0.3">
      <c r="B28">
        <v>207600</v>
      </c>
      <c r="C28">
        <v>52</v>
      </c>
      <c r="D28">
        <v>0.36199999999999999</v>
      </c>
      <c r="E28">
        <v>0.54300000000000004</v>
      </c>
      <c r="F28">
        <v>5</v>
      </c>
      <c r="G28">
        <v>-7.069</v>
      </c>
      <c r="H28">
        <v>3.8600000000000002E-2</v>
      </c>
      <c r="I28">
        <v>0.6</v>
      </c>
      <c r="J28">
        <v>3.2899999999999997E-4</v>
      </c>
      <c r="K28">
        <v>0.10100000000000001</v>
      </c>
      <c r="L28">
        <v>0.35399999999999998</v>
      </c>
      <c r="M28">
        <v>179.44300000000001</v>
      </c>
      <c r="P28">
        <f t="shared" si="15"/>
        <v>0.30860579374496655</v>
      </c>
      <c r="Q28">
        <f t="shared" si="4"/>
        <v>0.38709677419354838</v>
      </c>
      <c r="R28">
        <f t="shared" si="5"/>
        <v>0.25714285714285717</v>
      </c>
      <c r="S28">
        <f t="shared" si="6"/>
        <v>0.61057755558479154</v>
      </c>
      <c r="T28">
        <f t="shared" si="7"/>
        <v>0.45454545454545453</v>
      </c>
      <c r="U28">
        <f t="shared" si="8"/>
        <v>0.69776119402985071</v>
      </c>
      <c r="V28">
        <f t="shared" si="9"/>
        <v>0.16795865633074938</v>
      </c>
      <c r="W28">
        <f t="shared" si="10"/>
        <v>0.63630563088211833</v>
      </c>
      <c r="X28">
        <f t="shared" si="11"/>
        <v>5.4651162790697672E-3</v>
      </c>
      <c r="Y28">
        <f t="shared" si="12"/>
        <v>8.1221198156682037E-2</v>
      </c>
      <c r="Z28">
        <f t="shared" si="13"/>
        <v>0.40649496080627101</v>
      </c>
      <c r="AA28">
        <f t="shared" si="14"/>
        <v>0.95859056847881796</v>
      </c>
      <c r="AC28">
        <f t="shared" si="16"/>
        <v>1.7033340397061014</v>
      </c>
      <c r="AD28">
        <f t="shared" si="17"/>
        <v>2.2266152183238019</v>
      </c>
      <c r="AE28">
        <f t="shared" si="18"/>
        <v>1.7033340397061014</v>
      </c>
      <c r="AF28">
        <f t="shared" si="19"/>
        <v>1</v>
      </c>
      <c r="AG28">
        <f t="shared" si="20"/>
        <v>0</v>
      </c>
    </row>
    <row r="29" spans="2:33" x14ac:dyDescent="0.3">
      <c r="B29">
        <v>142840</v>
      </c>
      <c r="C29">
        <v>49</v>
      </c>
      <c r="D29">
        <v>0.58599999999999997</v>
      </c>
      <c r="E29">
        <v>0.70899999999999996</v>
      </c>
      <c r="F29">
        <v>11</v>
      </c>
      <c r="G29">
        <v>-5.24</v>
      </c>
      <c r="H29">
        <v>5.4699999999999999E-2</v>
      </c>
      <c r="I29">
        <v>0.28199999999999997</v>
      </c>
      <c r="J29">
        <v>0</v>
      </c>
      <c r="K29">
        <v>0.16500000000000001</v>
      </c>
      <c r="L29">
        <v>0.45100000000000001</v>
      </c>
      <c r="M29">
        <v>93.296999999999997</v>
      </c>
      <c r="P29">
        <f t="shared" si="15"/>
        <v>0</v>
      </c>
      <c r="Q29">
        <f t="shared" si="4"/>
        <v>0.29032258064516131</v>
      </c>
      <c r="R29">
        <f t="shared" si="5"/>
        <v>0.7142857142857143</v>
      </c>
      <c r="S29">
        <f t="shared" si="6"/>
        <v>0.82896987238521247</v>
      </c>
      <c r="T29">
        <f t="shared" si="7"/>
        <v>1</v>
      </c>
      <c r="U29">
        <f t="shared" si="8"/>
        <v>0.88221056877773285</v>
      </c>
      <c r="V29">
        <f t="shared" si="9"/>
        <v>0.37596899224806202</v>
      </c>
      <c r="W29">
        <f t="shared" si="10"/>
        <v>0.29813367363215826</v>
      </c>
      <c r="X29">
        <f t="shared" si="11"/>
        <v>0</v>
      </c>
      <c r="Y29">
        <f t="shared" si="12"/>
        <v>0.17338709677419356</v>
      </c>
      <c r="Z29">
        <f t="shared" si="13"/>
        <v>0.56167013277875544</v>
      </c>
      <c r="AA29">
        <f t="shared" si="14"/>
        <v>0.21058115606032976</v>
      </c>
      <c r="AC29">
        <f t="shared" si="16"/>
        <v>1.9183573797932514</v>
      </c>
      <c r="AD29">
        <f t="shared" si="17"/>
        <v>2.2380874561626469</v>
      </c>
      <c r="AE29">
        <f t="shared" si="18"/>
        <v>1.9183573797932514</v>
      </c>
      <c r="AF29">
        <f t="shared" si="19"/>
        <v>1</v>
      </c>
      <c r="AG29">
        <f t="shared" si="20"/>
        <v>0</v>
      </c>
    </row>
    <row r="30" spans="2:33" x14ac:dyDescent="0.3">
      <c r="B30">
        <v>270426</v>
      </c>
      <c r="C30">
        <v>47</v>
      </c>
      <c r="D30">
        <v>0.55800000000000005</v>
      </c>
      <c r="E30">
        <v>0.39800000000000002</v>
      </c>
      <c r="F30">
        <v>5</v>
      </c>
      <c r="G30">
        <v>-7.5990000000000002</v>
      </c>
      <c r="H30">
        <v>2.98E-2</v>
      </c>
      <c r="I30">
        <v>0.68100000000000005</v>
      </c>
      <c r="J30">
        <v>0</v>
      </c>
      <c r="K30">
        <v>8.5900000000000004E-2</v>
      </c>
      <c r="L30">
        <v>0.183</v>
      </c>
      <c r="M30">
        <v>139.785</v>
      </c>
      <c r="P30">
        <f t="shared" si="15"/>
        <v>0.60799534899236107</v>
      </c>
      <c r="Q30">
        <f t="shared" si="4"/>
        <v>0.22580645161290322</v>
      </c>
      <c r="R30">
        <f t="shared" si="5"/>
        <v>0.65714285714285725</v>
      </c>
      <c r="S30">
        <f t="shared" si="6"/>
        <v>0.41981318247599009</v>
      </c>
      <c r="T30">
        <f t="shared" si="7"/>
        <v>0.45454545454545453</v>
      </c>
      <c r="U30">
        <f t="shared" si="8"/>
        <v>0.64431222267043153</v>
      </c>
      <c r="V30">
        <f t="shared" si="9"/>
        <v>5.4263565891472854E-2</v>
      </c>
      <c r="W30">
        <f t="shared" si="10"/>
        <v>0.72244377093635359</v>
      </c>
      <c r="X30">
        <f t="shared" si="11"/>
        <v>0</v>
      </c>
      <c r="Y30">
        <f t="shared" si="12"/>
        <v>5.9475806451612906E-2</v>
      </c>
      <c r="Z30">
        <f t="shared" si="13"/>
        <v>0.13293872980323149</v>
      </c>
      <c r="AA30">
        <f t="shared" si="14"/>
        <v>0.61423845372372299</v>
      </c>
      <c r="AC30">
        <f t="shared" si="16"/>
        <v>1.6043207421232728</v>
      </c>
      <c r="AD30">
        <f t="shared" si="17"/>
        <v>2.3211836108145745</v>
      </c>
      <c r="AE30">
        <f t="shared" si="18"/>
        <v>1.6043207421232728</v>
      </c>
      <c r="AF30">
        <f t="shared" si="19"/>
        <v>1</v>
      </c>
      <c r="AG30">
        <f t="shared" si="20"/>
        <v>0</v>
      </c>
    </row>
    <row r="31" spans="2:33" x14ac:dyDescent="0.3">
      <c r="B31">
        <v>303593</v>
      </c>
      <c r="C31">
        <v>51</v>
      </c>
      <c r="D31">
        <v>0.44400000000000001</v>
      </c>
      <c r="E31">
        <v>0.72899999999999998</v>
      </c>
      <c r="F31">
        <v>2</v>
      </c>
      <c r="G31">
        <v>-5.4420000000000002</v>
      </c>
      <c r="H31">
        <v>2.81E-2</v>
      </c>
      <c r="I31">
        <v>6.9499999999999996E-3</v>
      </c>
      <c r="J31">
        <v>1.7999999999999999E-6</v>
      </c>
      <c r="K31">
        <v>7.0300000000000001E-2</v>
      </c>
      <c r="L31">
        <v>0.38800000000000001</v>
      </c>
      <c r="M31">
        <v>95.257999999999996</v>
      </c>
      <c r="P31">
        <f t="shared" si="15"/>
        <v>0.76604859731137442</v>
      </c>
      <c r="Q31">
        <f t="shared" si="4"/>
        <v>0.35483870967741937</v>
      </c>
      <c r="R31">
        <f t="shared" si="5"/>
        <v>0.42448979591836739</v>
      </c>
      <c r="S31">
        <f t="shared" si="6"/>
        <v>0.85528219971056441</v>
      </c>
      <c r="T31">
        <f t="shared" si="7"/>
        <v>0.18181818181818182</v>
      </c>
      <c r="U31">
        <f t="shared" si="8"/>
        <v>0.86183945139169005</v>
      </c>
      <c r="V31">
        <f t="shared" si="9"/>
        <v>3.2299741602067167E-2</v>
      </c>
      <c r="W31">
        <f t="shared" si="10"/>
        <v>5.6361992874993348E-3</v>
      </c>
      <c r="X31">
        <f t="shared" si="11"/>
        <v>2.9900332225913621E-5</v>
      </c>
      <c r="Y31">
        <f t="shared" si="12"/>
        <v>3.7010368663594473E-2</v>
      </c>
      <c r="Z31">
        <f t="shared" si="13"/>
        <v>0.46088625819868828</v>
      </c>
      <c r="AA31">
        <f t="shared" si="14"/>
        <v>0.22760860315889098</v>
      </c>
      <c r="AC31">
        <f t="shared" si="16"/>
        <v>1.633074373714976</v>
      </c>
      <c r="AD31">
        <f t="shared" si="17"/>
        <v>2.5002711644826512</v>
      </c>
      <c r="AE31">
        <f t="shared" si="18"/>
        <v>1.633074373714976</v>
      </c>
      <c r="AF31">
        <f t="shared" si="19"/>
        <v>1</v>
      </c>
      <c r="AG31">
        <f t="shared" si="20"/>
        <v>0</v>
      </c>
    </row>
    <row r="32" spans="2:33" x14ac:dyDescent="0.3">
      <c r="B32">
        <v>230108</v>
      </c>
      <c r="C32">
        <v>47</v>
      </c>
      <c r="D32">
        <v>0.54200000000000004</v>
      </c>
      <c r="E32">
        <v>0.58399999999999996</v>
      </c>
      <c r="F32">
        <v>9</v>
      </c>
      <c r="G32">
        <v>-6.7839999999999998</v>
      </c>
      <c r="H32">
        <v>5.8700000000000002E-2</v>
      </c>
      <c r="I32">
        <v>0.38300000000000001</v>
      </c>
      <c r="J32">
        <v>3.2400000000000001E-5</v>
      </c>
      <c r="K32">
        <v>0.29699999999999999</v>
      </c>
      <c r="L32">
        <v>0.247</v>
      </c>
      <c r="M32">
        <v>91.647999999999996</v>
      </c>
      <c r="P32">
        <f t="shared" si="15"/>
        <v>0.41586489204039134</v>
      </c>
      <c r="Q32">
        <f t="shared" si="4"/>
        <v>0.22580645161290322</v>
      </c>
      <c r="R32">
        <f t="shared" si="5"/>
        <v>0.62448979591836751</v>
      </c>
      <c r="S32">
        <f t="shared" si="6"/>
        <v>0.66451782660176295</v>
      </c>
      <c r="T32">
        <f t="shared" si="7"/>
        <v>0.81818181818181823</v>
      </c>
      <c r="U32">
        <f t="shared" si="8"/>
        <v>0.72650262202501004</v>
      </c>
      <c r="V32">
        <f t="shared" si="9"/>
        <v>0.42764857881136958</v>
      </c>
      <c r="W32">
        <f t="shared" si="10"/>
        <v>0.40554049024299471</v>
      </c>
      <c r="X32">
        <f t="shared" si="11"/>
        <v>5.3820598006644525E-4</v>
      </c>
      <c r="Y32">
        <f t="shared" si="12"/>
        <v>0.363479262672811</v>
      </c>
      <c r="Z32">
        <f t="shared" si="13"/>
        <v>0.23532234842425215</v>
      </c>
      <c r="AA32">
        <f t="shared" si="14"/>
        <v>0.19626281834205977</v>
      </c>
      <c r="AC32">
        <f t="shared" si="16"/>
        <v>1.6810980692060249</v>
      </c>
      <c r="AD32">
        <f t="shared" si="17"/>
        <v>2.1489021607743366</v>
      </c>
      <c r="AE32">
        <f t="shared" si="18"/>
        <v>1.6810980692060249</v>
      </c>
      <c r="AF32">
        <f t="shared" si="19"/>
        <v>1</v>
      </c>
      <c r="AG32">
        <f t="shared" si="20"/>
        <v>0</v>
      </c>
    </row>
    <row r="33" spans="2:33" x14ac:dyDescent="0.3">
      <c r="B33">
        <v>193373</v>
      </c>
      <c r="C33">
        <v>48</v>
      </c>
      <c r="D33">
        <v>0.44400000000000001</v>
      </c>
      <c r="E33">
        <v>0.55800000000000005</v>
      </c>
      <c r="F33">
        <v>8</v>
      </c>
      <c r="G33">
        <v>-5.6840000000000002</v>
      </c>
      <c r="H33">
        <v>3.9E-2</v>
      </c>
      <c r="I33">
        <v>0.28199999999999997</v>
      </c>
      <c r="J33">
        <v>1.4899999999999999E-6</v>
      </c>
      <c r="K33">
        <v>0.10199999999999999</v>
      </c>
      <c r="L33">
        <v>0.24399999999999999</v>
      </c>
      <c r="M33">
        <v>119.22</v>
      </c>
      <c r="P33">
        <f t="shared" si="15"/>
        <v>0.24080877972999376</v>
      </c>
      <c r="Q33">
        <f t="shared" si="4"/>
        <v>0.25806451612903225</v>
      </c>
      <c r="R33">
        <f t="shared" si="5"/>
        <v>0.42448979591836739</v>
      </c>
      <c r="S33">
        <f t="shared" si="6"/>
        <v>0.63031180107880558</v>
      </c>
      <c r="T33">
        <f t="shared" si="7"/>
        <v>0.72727272727272729</v>
      </c>
      <c r="U33">
        <f t="shared" si="8"/>
        <v>0.83743444937474765</v>
      </c>
      <c r="V33">
        <f t="shared" si="9"/>
        <v>0.1731266149870801</v>
      </c>
      <c r="W33">
        <f t="shared" si="10"/>
        <v>0.29813367363215826</v>
      </c>
      <c r="X33">
        <f t="shared" si="11"/>
        <v>2.4750830564784055E-5</v>
      </c>
      <c r="Y33">
        <f t="shared" si="12"/>
        <v>8.2661290322580627E-2</v>
      </c>
      <c r="Z33">
        <f t="shared" si="13"/>
        <v>0.2305231163013918</v>
      </c>
      <c r="AA33">
        <f t="shared" si="14"/>
        <v>0.43567167678241164</v>
      </c>
      <c r="AC33">
        <f t="shared" si="16"/>
        <v>1.5168826295836715</v>
      </c>
      <c r="AD33">
        <f t="shared" si="17"/>
        <v>2.3714734928337173</v>
      </c>
      <c r="AE33">
        <f t="shared" si="18"/>
        <v>1.5168826295836715</v>
      </c>
      <c r="AF33">
        <f t="shared" si="19"/>
        <v>1</v>
      </c>
      <c r="AG33">
        <f t="shared" si="20"/>
        <v>0</v>
      </c>
    </row>
    <row r="34" spans="2:33" x14ac:dyDescent="0.3">
      <c r="B34">
        <v>222293</v>
      </c>
      <c r="C34">
        <v>47</v>
      </c>
      <c r="D34">
        <v>0.54300000000000004</v>
      </c>
      <c r="E34">
        <v>0.32700000000000001</v>
      </c>
      <c r="F34">
        <v>9</v>
      </c>
      <c r="G34">
        <v>-6.8129999999999997</v>
      </c>
      <c r="H34">
        <v>3.6799999999999999E-2</v>
      </c>
      <c r="I34">
        <v>0.78500000000000003</v>
      </c>
      <c r="J34">
        <v>0</v>
      </c>
      <c r="K34">
        <v>8.8800000000000004E-2</v>
      </c>
      <c r="L34">
        <v>0.249</v>
      </c>
      <c r="M34">
        <v>135.25700000000001</v>
      </c>
      <c r="P34">
        <f t="shared" si="15"/>
        <v>0.37862347329244639</v>
      </c>
      <c r="Q34">
        <f t="shared" si="4"/>
        <v>0.22580645161290322</v>
      </c>
      <c r="R34">
        <f t="shared" si="5"/>
        <v>0.62653061224489803</v>
      </c>
      <c r="S34">
        <f t="shared" si="6"/>
        <v>0.32640442047099066</v>
      </c>
      <c r="T34">
        <f t="shared" si="7"/>
        <v>0.81818181818181823</v>
      </c>
      <c r="U34">
        <f t="shared" si="8"/>
        <v>0.72357805566760791</v>
      </c>
      <c r="V34">
        <f t="shared" si="9"/>
        <v>0.14470284237726097</v>
      </c>
      <c r="W34">
        <f t="shared" si="10"/>
        <v>0.83304088903068019</v>
      </c>
      <c r="X34">
        <f t="shared" si="11"/>
        <v>0</v>
      </c>
      <c r="Y34">
        <f t="shared" si="12"/>
        <v>6.3652073732718903E-2</v>
      </c>
      <c r="Z34">
        <f t="shared" si="13"/>
        <v>0.23852183650615905</v>
      </c>
      <c r="AA34">
        <f t="shared" si="14"/>
        <v>0.57492163553795805</v>
      </c>
      <c r="AC34">
        <f t="shared" si="16"/>
        <v>1.7299672272986877</v>
      </c>
      <c r="AD34">
        <f t="shared" si="17"/>
        <v>2.2549630573950932</v>
      </c>
      <c r="AE34">
        <f t="shared" si="18"/>
        <v>1.7299672272986877</v>
      </c>
      <c r="AF34">
        <f t="shared" si="19"/>
        <v>1</v>
      </c>
      <c r="AG34">
        <f t="shared" si="20"/>
        <v>0</v>
      </c>
    </row>
    <row r="35" spans="2:33" x14ac:dyDescent="0.3">
      <c r="B35">
        <v>220720</v>
      </c>
      <c r="C35">
        <v>46</v>
      </c>
      <c r="D35">
        <v>0.45700000000000002</v>
      </c>
      <c r="E35">
        <v>0.36599999999999999</v>
      </c>
      <c r="F35">
        <v>2</v>
      </c>
      <c r="G35">
        <v>-7.3780000000000001</v>
      </c>
      <c r="H35">
        <v>4.1300000000000003E-2</v>
      </c>
      <c r="I35">
        <v>0.79200000000000004</v>
      </c>
      <c r="J35">
        <v>3.0700000000000001E-5</v>
      </c>
      <c r="K35">
        <v>8.8099999999999998E-2</v>
      </c>
      <c r="L35">
        <v>0.26300000000000001</v>
      </c>
      <c r="M35">
        <v>141.36000000000001</v>
      </c>
      <c r="P35">
        <f t="shared" si="15"/>
        <v>0.37112753577606544</v>
      </c>
      <c r="Q35">
        <f t="shared" si="4"/>
        <v>0.19354838709677419</v>
      </c>
      <c r="R35">
        <f t="shared" si="5"/>
        <v>0.45102040816326538</v>
      </c>
      <c r="S35">
        <f t="shared" si="6"/>
        <v>0.37771345875542695</v>
      </c>
      <c r="T35">
        <f t="shared" si="7"/>
        <v>0.18181818181818182</v>
      </c>
      <c r="U35">
        <f t="shared" si="8"/>
        <v>0.66659943525615162</v>
      </c>
      <c r="V35">
        <f t="shared" si="9"/>
        <v>0.20284237726098195</v>
      </c>
      <c r="W35">
        <f t="shared" si="10"/>
        <v>0.84048492582549061</v>
      </c>
      <c r="X35">
        <f t="shared" si="11"/>
        <v>5.0996677740863794E-4</v>
      </c>
      <c r="Y35">
        <f t="shared" si="12"/>
        <v>6.2644009216589858E-2</v>
      </c>
      <c r="Z35">
        <f t="shared" si="13"/>
        <v>0.26091825307950733</v>
      </c>
      <c r="AA35">
        <f t="shared" si="14"/>
        <v>0.62791424626846248</v>
      </c>
      <c r="AC35">
        <f t="shared" si="16"/>
        <v>1.4874593297814147</v>
      </c>
      <c r="AD35">
        <f t="shared" si="17"/>
        <v>2.3954650669891144</v>
      </c>
      <c r="AE35">
        <f t="shared" si="18"/>
        <v>1.4874593297814147</v>
      </c>
      <c r="AF35">
        <f t="shared" si="19"/>
        <v>1</v>
      </c>
      <c r="AG35">
        <f t="shared" si="20"/>
        <v>0</v>
      </c>
    </row>
    <row r="36" spans="2:33" x14ac:dyDescent="0.3">
      <c r="B36">
        <v>231693</v>
      </c>
      <c r="C36">
        <v>45</v>
      </c>
      <c r="D36">
        <v>0.42199999999999999</v>
      </c>
      <c r="E36">
        <v>0.47499999999999998</v>
      </c>
      <c r="F36">
        <v>11</v>
      </c>
      <c r="G36">
        <v>-5.9489999999999998</v>
      </c>
      <c r="H36">
        <v>3.6900000000000002E-2</v>
      </c>
      <c r="I36">
        <v>0.45500000000000002</v>
      </c>
      <c r="J36">
        <v>0</v>
      </c>
      <c r="K36">
        <v>0.14399999999999999</v>
      </c>
      <c r="L36">
        <v>0.28899999999999998</v>
      </c>
      <c r="M36">
        <v>167.64699999999999</v>
      </c>
      <c r="P36">
        <f t="shared" si="15"/>
        <v>0.4234180140769227</v>
      </c>
      <c r="Q36">
        <f t="shared" si="4"/>
        <v>0.16129032258064516</v>
      </c>
      <c r="R36">
        <f t="shared" si="5"/>
        <v>0.37959183673469388</v>
      </c>
      <c r="S36">
        <f t="shared" si="6"/>
        <v>0.52111564267859489</v>
      </c>
      <c r="T36">
        <f t="shared" si="7"/>
        <v>1</v>
      </c>
      <c r="U36">
        <f t="shared" si="8"/>
        <v>0.81070996369503823</v>
      </c>
      <c r="V36">
        <f t="shared" si="9"/>
        <v>0.1459948320413437</v>
      </c>
      <c r="W36">
        <f t="shared" si="10"/>
        <v>0.48210772584675926</v>
      </c>
      <c r="X36">
        <f t="shared" si="11"/>
        <v>0</v>
      </c>
      <c r="Y36">
        <f t="shared" si="12"/>
        <v>0.14314516129032256</v>
      </c>
      <c r="Z36">
        <f t="shared" si="13"/>
        <v>0.3025115981442969</v>
      </c>
      <c r="AA36">
        <f t="shared" si="14"/>
        <v>0.85616539460088392</v>
      </c>
      <c r="AC36">
        <f t="shared" si="16"/>
        <v>1.8376519912720193</v>
      </c>
      <c r="AD36">
        <f t="shared" si="17"/>
        <v>2.2192034286308715</v>
      </c>
      <c r="AE36">
        <f t="shared" si="18"/>
        <v>1.8376519912720193</v>
      </c>
      <c r="AF36">
        <f t="shared" si="19"/>
        <v>1</v>
      </c>
      <c r="AG36">
        <f t="shared" si="20"/>
        <v>0</v>
      </c>
    </row>
    <row r="37" spans="2:33" x14ac:dyDescent="0.3">
      <c r="B37">
        <v>174933</v>
      </c>
      <c r="C37">
        <v>49</v>
      </c>
      <c r="D37">
        <v>0.57899999999999996</v>
      </c>
      <c r="E37">
        <v>0.621</v>
      </c>
      <c r="F37">
        <v>5</v>
      </c>
      <c r="G37">
        <v>-5.9340000000000002</v>
      </c>
      <c r="H37">
        <v>3.5299999999999998E-2</v>
      </c>
      <c r="I37">
        <v>0.27</v>
      </c>
      <c r="J37">
        <v>0</v>
      </c>
      <c r="K37">
        <v>9.6500000000000002E-2</v>
      </c>
      <c r="L37">
        <v>0.61099999999999999</v>
      </c>
      <c r="M37">
        <v>139.38999999999999</v>
      </c>
      <c r="P37">
        <f t="shared" si="15"/>
        <v>0.15293523376555299</v>
      </c>
      <c r="Q37">
        <f t="shared" ref="Q37:Q55" si="21">(C37 - $C$1)/($C$2 - $C$1)</f>
        <v>0.29032258064516131</v>
      </c>
      <c r="R37">
        <f t="shared" ref="R37:R55" si="22">(D37 - $D$1)/($D$2 - $D$1)</f>
        <v>0.7</v>
      </c>
      <c r="S37">
        <f t="shared" ref="S37:S55" si="23">(E37 - $E$1)/($E$2- $E$1)</f>
        <v>0.71319563215366399</v>
      </c>
      <c r="T37">
        <f t="shared" ref="T37:T55" si="24">(F37 - $F$1)/($F$2- $F$1)</f>
        <v>0.45454545454545453</v>
      </c>
      <c r="U37">
        <f t="shared" ref="U37:U55" si="25">(G37 - $G$1)/($G$2- $G$1)</f>
        <v>0.81222267043162544</v>
      </c>
      <c r="V37">
        <f t="shared" ref="V37:V55" si="26">(H37 - $H$1)/($H$2- $H$1)</f>
        <v>0.12532299741602063</v>
      </c>
      <c r="W37">
        <f t="shared" ref="W37:W55" si="27">(I37 - $I$1)/($I$2- $I$1)</f>
        <v>0.28537246769819752</v>
      </c>
      <c r="X37">
        <f t="shared" ref="X37:X55" si="28">(J37 - $J$1)/($J$2- $J$1)</f>
        <v>0</v>
      </c>
      <c r="Y37">
        <f t="shared" ref="Y37:Y55" si="29">(K37 - $K$1)/($K$2- $K$1)</f>
        <v>7.4740783410138248E-2</v>
      </c>
      <c r="Z37">
        <f t="shared" ref="Z37:Z55" si="30">(L37 - $L$1)/($L$2- $L$1)</f>
        <v>0.81762917933130697</v>
      </c>
      <c r="AA37">
        <f t="shared" ref="AA37:AA55" si="31">(M37 - $M$1)/($M$2- $M$1)</f>
        <v>0.61080865178393107</v>
      </c>
      <c r="AC37">
        <f t="shared" si="16"/>
        <v>1.7654959078366099</v>
      </c>
      <c r="AD37">
        <f t="shared" si="17"/>
        <v>2.2456145034768791</v>
      </c>
      <c r="AE37">
        <f t="shared" si="18"/>
        <v>1.7654959078366099</v>
      </c>
      <c r="AF37">
        <f t="shared" si="19"/>
        <v>1</v>
      </c>
      <c r="AG37">
        <f t="shared" si="20"/>
        <v>0</v>
      </c>
    </row>
    <row r="38" spans="2:33" x14ac:dyDescent="0.3">
      <c r="B38">
        <v>291533</v>
      </c>
      <c r="C38">
        <v>49</v>
      </c>
      <c r="D38">
        <v>0.41699999999999998</v>
      </c>
      <c r="E38">
        <v>0.63400000000000001</v>
      </c>
      <c r="F38">
        <v>9</v>
      </c>
      <c r="G38">
        <v>-7.181</v>
      </c>
      <c r="H38">
        <v>4.82E-2</v>
      </c>
      <c r="I38">
        <v>1.7299999999999999E-2</v>
      </c>
      <c r="J38">
        <v>2.02E-5</v>
      </c>
      <c r="K38">
        <v>0.113</v>
      </c>
      <c r="L38">
        <v>0.32100000000000001</v>
      </c>
      <c r="M38">
        <v>152.65100000000001</v>
      </c>
      <c r="P38">
        <f t="shared" si="15"/>
        <v>0.70857815456022721</v>
      </c>
      <c r="Q38">
        <f t="shared" si="21"/>
        <v>0.29032258064516131</v>
      </c>
      <c r="R38">
        <f t="shared" si="22"/>
        <v>0.3693877551020408</v>
      </c>
      <c r="S38">
        <f t="shared" si="23"/>
        <v>0.73029864491514285</v>
      </c>
      <c r="T38">
        <f t="shared" si="24"/>
        <v>0.81818181818181823</v>
      </c>
      <c r="U38">
        <f t="shared" si="25"/>
        <v>0.68646631706333194</v>
      </c>
      <c r="V38">
        <f t="shared" si="26"/>
        <v>0.29198966408268734</v>
      </c>
      <c r="W38">
        <f t="shared" si="27"/>
        <v>1.6642739405540494E-2</v>
      </c>
      <c r="X38">
        <f t="shared" si="28"/>
        <v>3.3554817275747512E-4</v>
      </c>
      <c r="Y38">
        <f t="shared" si="29"/>
        <v>9.8502304147465441E-2</v>
      </c>
      <c r="Z38">
        <f t="shared" si="30"/>
        <v>0.35370340745480727</v>
      </c>
      <c r="AA38">
        <f t="shared" si="31"/>
        <v>0.72595448348919411</v>
      </c>
      <c r="AC38">
        <f t="shared" si="16"/>
        <v>1.7731793175442365</v>
      </c>
      <c r="AD38">
        <f t="shared" si="17"/>
        <v>2.2278774781675712</v>
      </c>
      <c r="AE38">
        <f t="shared" si="18"/>
        <v>1.7731793175442365</v>
      </c>
      <c r="AF38">
        <f t="shared" si="19"/>
        <v>1</v>
      </c>
      <c r="AG38">
        <f t="shared" si="20"/>
        <v>0</v>
      </c>
    </row>
    <row r="39" spans="2:33" x14ac:dyDescent="0.3">
      <c r="B39">
        <v>287346</v>
      </c>
      <c r="C39">
        <v>45</v>
      </c>
      <c r="D39">
        <v>0.53900000000000003</v>
      </c>
      <c r="E39">
        <v>0.187</v>
      </c>
      <c r="F39">
        <v>5</v>
      </c>
      <c r="G39">
        <v>-11.756</v>
      </c>
      <c r="H39">
        <v>3.5299999999999998E-2</v>
      </c>
      <c r="I39">
        <v>0.83299999999999996</v>
      </c>
      <c r="J39">
        <v>0</v>
      </c>
      <c r="K39">
        <v>0.11899999999999999</v>
      </c>
      <c r="L39">
        <v>0.35599999999999998</v>
      </c>
      <c r="M39">
        <v>128.96899999999999</v>
      </c>
      <c r="P39">
        <f t="shared" si="15"/>
        <v>0.68862552240441843</v>
      </c>
      <c r="Q39">
        <f t="shared" si="21"/>
        <v>0.16129032258064516</v>
      </c>
      <c r="R39">
        <f t="shared" si="22"/>
        <v>0.6183673469387756</v>
      </c>
      <c r="S39">
        <f t="shared" si="23"/>
        <v>0.14221812919352717</v>
      </c>
      <c r="T39">
        <f t="shared" si="24"/>
        <v>0.45454545454545453</v>
      </c>
      <c r="U39">
        <f t="shared" si="25"/>
        <v>0.22509076240419515</v>
      </c>
      <c r="V39">
        <f t="shared" si="26"/>
        <v>0.12532299741602063</v>
      </c>
      <c r="W39">
        <f t="shared" si="27"/>
        <v>0.88408571276652315</v>
      </c>
      <c r="X39">
        <f t="shared" si="28"/>
        <v>0</v>
      </c>
      <c r="Y39">
        <f t="shared" si="29"/>
        <v>0.10714285714285714</v>
      </c>
      <c r="Z39">
        <f t="shared" si="30"/>
        <v>0.40969444888817791</v>
      </c>
      <c r="AA39">
        <f t="shared" si="31"/>
        <v>0.52032266187362697</v>
      </c>
      <c r="AC39">
        <f t="shared" si="16"/>
        <v>1.5516054520428109</v>
      </c>
      <c r="AD39">
        <f t="shared" si="17"/>
        <v>2.3945912065529122</v>
      </c>
      <c r="AE39">
        <f t="shared" si="18"/>
        <v>1.5516054520428109</v>
      </c>
      <c r="AF39">
        <f t="shared" si="19"/>
        <v>1</v>
      </c>
      <c r="AG39">
        <f t="shared" si="20"/>
        <v>0</v>
      </c>
    </row>
    <row r="40" spans="2:33" x14ac:dyDescent="0.3">
      <c r="B40">
        <v>182186</v>
      </c>
      <c r="C40">
        <v>45</v>
      </c>
      <c r="D40">
        <v>0.55700000000000005</v>
      </c>
      <c r="E40">
        <v>0.185</v>
      </c>
      <c r="F40">
        <v>8</v>
      </c>
      <c r="G40">
        <v>-12.173999999999999</v>
      </c>
      <c r="H40">
        <v>4.3900000000000002E-2</v>
      </c>
      <c r="I40">
        <v>0.91300000000000003</v>
      </c>
      <c r="J40">
        <v>2.2200000000000001E-5</v>
      </c>
      <c r="K40">
        <v>0.15</v>
      </c>
      <c r="L40">
        <v>0.41799999999999998</v>
      </c>
      <c r="M40">
        <v>145.77199999999999</v>
      </c>
      <c r="P40">
        <f t="shared" si="15"/>
        <v>0.18749851081978774</v>
      </c>
      <c r="Q40">
        <f t="shared" si="21"/>
        <v>0.16129032258064516</v>
      </c>
      <c r="R40">
        <f t="shared" si="22"/>
        <v>0.65510204081632673</v>
      </c>
      <c r="S40">
        <f t="shared" si="23"/>
        <v>0.13958689646099198</v>
      </c>
      <c r="T40">
        <f t="shared" si="24"/>
        <v>0.72727272727272729</v>
      </c>
      <c r="U40">
        <f t="shared" si="25"/>
        <v>0.18293666801129488</v>
      </c>
      <c r="V40">
        <f t="shared" si="26"/>
        <v>0.23643410852713179</v>
      </c>
      <c r="W40">
        <f t="shared" si="27"/>
        <v>0.96916041899292826</v>
      </c>
      <c r="X40">
        <f t="shared" si="28"/>
        <v>3.6877076411960134E-4</v>
      </c>
      <c r="Y40">
        <f t="shared" si="29"/>
        <v>0.15178571428571427</v>
      </c>
      <c r="Z40">
        <f t="shared" si="30"/>
        <v>0.50887857942729164</v>
      </c>
      <c r="AA40">
        <f t="shared" si="31"/>
        <v>0.6662238314795037</v>
      </c>
      <c r="AC40">
        <f t="shared" si="16"/>
        <v>1.6712954664878252</v>
      </c>
      <c r="AD40">
        <f t="shared" si="17"/>
        <v>2.3706858411493141</v>
      </c>
      <c r="AE40">
        <f t="shared" si="18"/>
        <v>1.6712954664878252</v>
      </c>
      <c r="AF40">
        <f t="shared" si="19"/>
        <v>1</v>
      </c>
      <c r="AG40">
        <f t="shared" si="20"/>
        <v>0</v>
      </c>
    </row>
    <row r="41" spans="2:33" x14ac:dyDescent="0.3">
      <c r="B41">
        <v>169920</v>
      </c>
      <c r="C41">
        <v>46</v>
      </c>
      <c r="D41">
        <v>0.40300000000000002</v>
      </c>
      <c r="E41">
        <v>0.59599999999999997</v>
      </c>
      <c r="F41">
        <v>2</v>
      </c>
      <c r="G41">
        <v>-6.7469999999999999</v>
      </c>
      <c r="H41">
        <v>3.2099999999999997E-2</v>
      </c>
      <c r="I41">
        <v>0.255</v>
      </c>
      <c r="J41">
        <v>0</v>
      </c>
      <c r="K41">
        <v>0.307</v>
      </c>
      <c r="L41">
        <v>0.59399999999999997</v>
      </c>
      <c r="M41">
        <v>171.92</v>
      </c>
      <c r="P41">
        <f t="shared" si="15"/>
        <v>0.12904640047272536</v>
      </c>
      <c r="Q41">
        <f t="shared" si="21"/>
        <v>0.19354838709677419</v>
      </c>
      <c r="R41">
        <f t="shared" si="22"/>
        <v>0.34081632653061233</v>
      </c>
      <c r="S41">
        <f t="shared" si="23"/>
        <v>0.68030522299697405</v>
      </c>
      <c r="T41">
        <f t="shared" si="24"/>
        <v>0.18181818181818182</v>
      </c>
      <c r="U41">
        <f t="shared" si="25"/>
        <v>0.73023396530859208</v>
      </c>
      <c r="V41">
        <f t="shared" si="26"/>
        <v>8.3979328165374623E-2</v>
      </c>
      <c r="W41">
        <f t="shared" si="27"/>
        <v>0.26942096028074658</v>
      </c>
      <c r="X41">
        <f t="shared" si="28"/>
        <v>0</v>
      </c>
      <c r="Y41">
        <f t="shared" si="29"/>
        <v>0.37788018433179715</v>
      </c>
      <c r="Z41">
        <f t="shared" si="30"/>
        <v>0.79043353063509836</v>
      </c>
      <c r="AA41">
        <f t="shared" si="31"/>
        <v>0.893268036850834</v>
      </c>
      <c r="AC41">
        <f t="shared" si="16"/>
        <v>1.6865737395499323</v>
      </c>
      <c r="AD41">
        <f t="shared" si="17"/>
        <v>2.3458537742075958</v>
      </c>
      <c r="AE41">
        <f t="shared" si="18"/>
        <v>1.6865737395499323</v>
      </c>
      <c r="AF41">
        <f t="shared" si="19"/>
        <v>1</v>
      </c>
      <c r="AG41">
        <f t="shared" si="20"/>
        <v>0</v>
      </c>
    </row>
    <row r="42" spans="2:33" x14ac:dyDescent="0.3">
      <c r="B42">
        <v>156146</v>
      </c>
      <c r="C42">
        <v>43</v>
      </c>
      <c r="D42">
        <v>0.65</v>
      </c>
      <c r="E42">
        <v>0.188</v>
      </c>
      <c r="F42">
        <v>9</v>
      </c>
      <c r="G42">
        <v>-11.04</v>
      </c>
      <c r="H42">
        <v>3.9199999999999999E-2</v>
      </c>
      <c r="I42">
        <v>0.88200000000000001</v>
      </c>
      <c r="J42">
        <v>0</v>
      </c>
      <c r="K42">
        <v>0.114</v>
      </c>
      <c r="L42">
        <v>0.254</v>
      </c>
      <c r="M42">
        <v>114.142</v>
      </c>
      <c r="P42">
        <f t="shared" si="15"/>
        <v>6.340810209342998E-2</v>
      </c>
      <c r="Q42">
        <f t="shared" si="21"/>
        <v>9.6774193548387094E-2</v>
      </c>
      <c r="R42">
        <f t="shared" si="22"/>
        <v>0.84489795918367361</v>
      </c>
      <c r="S42">
        <f t="shared" si="23"/>
        <v>0.14353374555979476</v>
      </c>
      <c r="T42">
        <f t="shared" si="24"/>
        <v>0.81818181818181823</v>
      </c>
      <c r="U42">
        <f t="shared" si="25"/>
        <v>0.29729729729729731</v>
      </c>
      <c r="V42">
        <f t="shared" si="26"/>
        <v>0.17571059431524547</v>
      </c>
      <c r="W42">
        <f t="shared" si="27"/>
        <v>0.93619397033019625</v>
      </c>
      <c r="X42">
        <f t="shared" si="28"/>
        <v>0</v>
      </c>
      <c r="Y42">
        <f t="shared" si="29"/>
        <v>9.994239631336406E-2</v>
      </c>
      <c r="Z42">
        <f t="shared" si="30"/>
        <v>0.24652055671092629</v>
      </c>
      <c r="AA42">
        <f t="shared" si="31"/>
        <v>0.39157918500959477</v>
      </c>
      <c r="AC42">
        <f t="shared" si="16"/>
        <v>1.6239076293652632</v>
      </c>
      <c r="AD42">
        <f t="shared" si="17"/>
        <v>2.531599563837704</v>
      </c>
      <c r="AE42">
        <f t="shared" si="18"/>
        <v>1.6239076293652632</v>
      </c>
      <c r="AF42">
        <f t="shared" si="19"/>
        <v>1</v>
      </c>
      <c r="AG42">
        <f t="shared" si="20"/>
        <v>0</v>
      </c>
    </row>
    <row r="43" spans="2:33" x14ac:dyDescent="0.3">
      <c r="B43">
        <v>286093</v>
      </c>
      <c r="C43">
        <v>46</v>
      </c>
      <c r="D43">
        <v>0.42399999999999999</v>
      </c>
      <c r="E43">
        <v>0.25900000000000001</v>
      </c>
      <c r="F43">
        <v>9</v>
      </c>
      <c r="G43">
        <v>-13.585000000000001</v>
      </c>
      <c r="H43">
        <v>4.4400000000000002E-2</v>
      </c>
      <c r="I43">
        <v>0.93600000000000005</v>
      </c>
      <c r="J43">
        <v>2.0899999999999999E-6</v>
      </c>
      <c r="K43">
        <v>0.73899999999999999</v>
      </c>
      <c r="L43">
        <v>0.48699999999999999</v>
      </c>
      <c r="M43">
        <v>69.045000000000002</v>
      </c>
      <c r="P43">
        <f t="shared" si="15"/>
        <v>0.68265450542538131</v>
      </c>
      <c r="Q43">
        <f t="shared" si="21"/>
        <v>0.19354838709677419</v>
      </c>
      <c r="R43">
        <f t="shared" si="22"/>
        <v>0.3836734693877551</v>
      </c>
      <c r="S43">
        <f t="shared" si="23"/>
        <v>0.23694250756479412</v>
      </c>
      <c r="T43">
        <f t="shared" si="24"/>
        <v>0.81818181818181823</v>
      </c>
      <c r="U43">
        <f t="shared" si="25"/>
        <v>4.0641387656312894E-2</v>
      </c>
      <c r="V43">
        <f t="shared" si="26"/>
        <v>0.24289405684754525</v>
      </c>
      <c r="W43">
        <f t="shared" si="27"/>
        <v>0.99361939703301971</v>
      </c>
      <c r="X43">
        <f t="shared" si="28"/>
        <v>3.4717607973421925E-5</v>
      </c>
      <c r="Y43">
        <f t="shared" si="29"/>
        <v>1</v>
      </c>
      <c r="Z43">
        <f t="shared" si="30"/>
        <v>0.6192609182530795</v>
      </c>
      <c r="AA43">
        <f t="shared" si="31"/>
        <v>0</v>
      </c>
      <c r="AC43">
        <f t="shared" si="16"/>
        <v>1.95132251563279</v>
      </c>
      <c r="AD43">
        <f t="shared" si="17"/>
        <v>2.3205079680765097</v>
      </c>
      <c r="AE43">
        <f t="shared" si="18"/>
        <v>1.95132251563279</v>
      </c>
      <c r="AF43">
        <f t="shared" si="19"/>
        <v>1</v>
      </c>
      <c r="AG43">
        <f t="shared" si="20"/>
        <v>0</v>
      </c>
    </row>
    <row r="44" spans="2:33" x14ac:dyDescent="0.3">
      <c r="B44">
        <v>206268</v>
      </c>
      <c r="C44">
        <v>44</v>
      </c>
      <c r="D44">
        <v>0.68700000000000006</v>
      </c>
      <c r="E44">
        <v>0.79800000000000004</v>
      </c>
      <c r="F44">
        <v>3</v>
      </c>
      <c r="G44">
        <v>-5.548</v>
      </c>
      <c r="H44">
        <v>6.3700000000000007E-2</v>
      </c>
      <c r="I44">
        <v>0.13900000000000001</v>
      </c>
      <c r="J44">
        <v>2.0999999999999999E-5</v>
      </c>
      <c r="K44">
        <v>8.9800000000000005E-2</v>
      </c>
      <c r="L44">
        <v>0.68</v>
      </c>
      <c r="M44">
        <v>118.68600000000001</v>
      </c>
      <c r="P44">
        <f t="shared" si="15"/>
        <v>0.30225831200827269</v>
      </c>
      <c r="Q44">
        <f t="shared" si="21"/>
        <v>0.12903225806451613</v>
      </c>
      <c r="R44">
        <f t="shared" si="22"/>
        <v>0.92040816326530628</v>
      </c>
      <c r="S44">
        <f t="shared" si="23"/>
        <v>0.94605972898302859</v>
      </c>
      <c r="T44">
        <f t="shared" si="24"/>
        <v>0.27272727272727271</v>
      </c>
      <c r="U44">
        <f t="shared" si="25"/>
        <v>0.85114965711980628</v>
      </c>
      <c r="V44">
        <f t="shared" si="26"/>
        <v>0.49224806201550403</v>
      </c>
      <c r="W44">
        <f t="shared" si="27"/>
        <v>0.14606263625245922</v>
      </c>
      <c r="X44">
        <f t="shared" si="28"/>
        <v>3.4883720930232559E-4</v>
      </c>
      <c r="Y44">
        <f t="shared" si="29"/>
        <v>6.5092165898617521E-2</v>
      </c>
      <c r="Z44">
        <f t="shared" si="30"/>
        <v>0.92801151815709493</v>
      </c>
      <c r="AA44">
        <f t="shared" si="31"/>
        <v>0.43103493188152864</v>
      </c>
      <c r="AC44">
        <f t="shared" si="16"/>
        <v>1.9909549374766757</v>
      </c>
      <c r="AD44">
        <f t="shared" si="17"/>
        <v>2.2349573767518107</v>
      </c>
      <c r="AE44">
        <f t="shared" si="18"/>
        <v>1.9909549374766757</v>
      </c>
      <c r="AF44">
        <f t="shared" si="19"/>
        <v>1</v>
      </c>
      <c r="AG44">
        <f t="shared" si="20"/>
        <v>0</v>
      </c>
    </row>
    <row r="45" spans="2:33" x14ac:dyDescent="0.3">
      <c r="B45">
        <v>151333</v>
      </c>
      <c r="C45">
        <v>41</v>
      </c>
      <c r="D45">
        <v>0.55500000000000005</v>
      </c>
      <c r="E45">
        <v>0.37</v>
      </c>
      <c r="F45">
        <v>10</v>
      </c>
      <c r="G45">
        <v>-9.827</v>
      </c>
      <c r="H45">
        <v>3.04E-2</v>
      </c>
      <c r="I45">
        <v>0.85099999999999998</v>
      </c>
      <c r="J45">
        <v>2.0599999999999999E-4</v>
      </c>
      <c r="K45">
        <v>0.129</v>
      </c>
      <c r="L45">
        <v>0.53300000000000003</v>
      </c>
      <c r="M45">
        <v>80.338999999999999</v>
      </c>
      <c r="P45">
        <f t="shared" si="15"/>
        <v>4.0472344136442268E-2</v>
      </c>
      <c r="Q45">
        <f t="shared" si="21"/>
        <v>3.2258064516129031E-2</v>
      </c>
      <c r="R45">
        <f t="shared" si="22"/>
        <v>0.65102040816326545</v>
      </c>
      <c r="S45">
        <f t="shared" si="23"/>
        <v>0.38297592422049731</v>
      </c>
      <c r="T45">
        <f t="shared" si="24"/>
        <v>0.90909090909090906</v>
      </c>
      <c r="U45">
        <f t="shared" si="25"/>
        <v>0.41962484872932626</v>
      </c>
      <c r="V45">
        <f t="shared" si="26"/>
        <v>6.2015503875968978E-2</v>
      </c>
      <c r="W45">
        <f t="shared" si="27"/>
        <v>0.90322752166746423</v>
      </c>
      <c r="X45">
        <f t="shared" si="28"/>
        <v>3.4219269102990033E-3</v>
      </c>
      <c r="Y45">
        <f t="shared" si="29"/>
        <v>0.12154377880184332</v>
      </c>
      <c r="Z45">
        <f t="shared" si="30"/>
        <v>0.69284914413693821</v>
      </c>
      <c r="AA45">
        <f t="shared" si="31"/>
        <v>9.8066286349388257E-2</v>
      </c>
      <c r="AC45">
        <f t="shared" si="16"/>
        <v>1.7028844440607467</v>
      </c>
      <c r="AD45">
        <f t="shared" si="17"/>
        <v>2.5033341983497004</v>
      </c>
      <c r="AE45">
        <f t="shared" si="18"/>
        <v>1.7028844440607467</v>
      </c>
      <c r="AF45">
        <f t="shared" si="19"/>
        <v>1</v>
      </c>
      <c r="AG45">
        <f t="shared" si="20"/>
        <v>0</v>
      </c>
    </row>
    <row r="46" spans="2:33" x14ac:dyDescent="0.3">
      <c r="B46">
        <v>209051</v>
      </c>
      <c r="C46">
        <v>45</v>
      </c>
      <c r="D46">
        <v>0.41499999999999998</v>
      </c>
      <c r="E46">
        <v>0.59899999999999998</v>
      </c>
      <c r="F46">
        <v>2</v>
      </c>
      <c r="G46">
        <v>-5.891</v>
      </c>
      <c r="H46">
        <v>3.1800000000000002E-2</v>
      </c>
      <c r="I46">
        <v>0.219</v>
      </c>
      <c r="J46">
        <v>1.11E-6</v>
      </c>
      <c r="K46">
        <v>0.32800000000000001</v>
      </c>
      <c r="L46">
        <v>0.55300000000000005</v>
      </c>
      <c r="M46">
        <v>172.709</v>
      </c>
      <c r="P46">
        <f t="shared" si="15"/>
        <v>0.3155203553064852</v>
      </c>
      <c r="Q46">
        <f t="shared" si="21"/>
        <v>0.16129032258064516</v>
      </c>
      <c r="R46">
        <f t="shared" si="22"/>
        <v>0.36530612244897959</v>
      </c>
      <c r="S46">
        <f t="shared" si="23"/>
        <v>0.68425207209577688</v>
      </c>
      <c r="T46">
        <f t="shared" si="24"/>
        <v>0.18181818181818182</v>
      </c>
      <c r="U46">
        <f t="shared" si="25"/>
        <v>0.81655909640984259</v>
      </c>
      <c r="V46">
        <f t="shared" si="26"/>
        <v>8.0103359173126623E-2</v>
      </c>
      <c r="W46">
        <f t="shared" si="27"/>
        <v>0.23113734247886425</v>
      </c>
      <c r="X46">
        <f t="shared" si="28"/>
        <v>1.8438538205980066E-5</v>
      </c>
      <c r="Y46">
        <f t="shared" si="29"/>
        <v>0.40812211981566815</v>
      </c>
      <c r="Z46">
        <f t="shared" si="30"/>
        <v>0.72484402495600719</v>
      </c>
      <c r="AA46">
        <f t="shared" si="31"/>
        <v>0.90011895768753214</v>
      </c>
      <c r="AC46">
        <f t="shared" si="16"/>
        <v>1.7288902266977622</v>
      </c>
      <c r="AD46">
        <f t="shared" si="17"/>
        <v>2.2914800084993994</v>
      </c>
      <c r="AE46">
        <f t="shared" si="18"/>
        <v>1.7288902266977622</v>
      </c>
      <c r="AF46">
        <f t="shared" si="19"/>
        <v>1</v>
      </c>
      <c r="AG46">
        <f t="shared" si="20"/>
        <v>0</v>
      </c>
    </row>
    <row r="47" spans="2:33" x14ac:dyDescent="0.3">
      <c r="B47">
        <v>211600</v>
      </c>
      <c r="C47">
        <v>42</v>
      </c>
      <c r="D47">
        <v>0.56699999999999995</v>
      </c>
      <c r="E47">
        <v>0.66500000000000004</v>
      </c>
      <c r="F47">
        <v>11</v>
      </c>
      <c r="G47">
        <v>-4.4649999999999999</v>
      </c>
      <c r="H47">
        <v>2.5600000000000001E-2</v>
      </c>
      <c r="I47">
        <v>7.1400000000000005E-2</v>
      </c>
      <c r="J47">
        <v>0</v>
      </c>
      <c r="K47">
        <v>0.17699999999999999</v>
      </c>
      <c r="L47">
        <v>0.59799999999999998</v>
      </c>
      <c r="M47">
        <v>97.814999999999998</v>
      </c>
      <c r="P47">
        <f t="shared" si="15"/>
        <v>0.32766730046176501</v>
      </c>
      <c r="Q47">
        <f t="shared" si="21"/>
        <v>6.4516129032258063E-2</v>
      </c>
      <c r="R47">
        <f t="shared" si="22"/>
        <v>0.67551020408163254</v>
      </c>
      <c r="S47">
        <f t="shared" si="23"/>
        <v>0.77108275226943834</v>
      </c>
      <c r="T47">
        <f t="shared" si="24"/>
        <v>1</v>
      </c>
      <c r="U47">
        <f t="shared" si="25"/>
        <v>0.96036708350141176</v>
      </c>
      <c r="V47">
        <f t="shared" si="26"/>
        <v>0</v>
      </c>
      <c r="W47">
        <f t="shared" si="27"/>
        <v>7.4174509491146928E-2</v>
      </c>
      <c r="X47">
        <f t="shared" si="28"/>
        <v>0</v>
      </c>
      <c r="Y47">
        <f t="shared" si="29"/>
        <v>0.19066820276497695</v>
      </c>
      <c r="Z47">
        <f t="shared" si="30"/>
        <v>0.79683250679891215</v>
      </c>
      <c r="AA47">
        <f t="shared" si="31"/>
        <v>0.24981114381723932</v>
      </c>
      <c r="AC47">
        <f t="shared" si="16"/>
        <v>1.9554845039801849</v>
      </c>
      <c r="AD47">
        <f t="shared" si="17"/>
        <v>2.3669938700531246</v>
      </c>
      <c r="AE47">
        <f t="shared" si="18"/>
        <v>1.9554845039801849</v>
      </c>
      <c r="AF47">
        <f t="shared" si="19"/>
        <v>1</v>
      </c>
      <c r="AG47">
        <f t="shared" si="20"/>
        <v>0</v>
      </c>
    </row>
    <row r="48" spans="2:33" x14ac:dyDescent="0.3">
      <c r="B48">
        <v>309746</v>
      </c>
      <c r="C48">
        <v>45</v>
      </c>
      <c r="D48">
        <v>0.32</v>
      </c>
      <c r="E48">
        <v>0.438</v>
      </c>
      <c r="F48">
        <v>0</v>
      </c>
      <c r="G48">
        <v>-7.5529999999999999</v>
      </c>
      <c r="H48">
        <v>8.8999999999999996E-2</v>
      </c>
      <c r="I48">
        <v>0.70299999999999996</v>
      </c>
      <c r="J48">
        <v>1.26E-5</v>
      </c>
      <c r="K48">
        <v>0.10100000000000001</v>
      </c>
      <c r="L48">
        <v>0.46500000000000002</v>
      </c>
      <c r="M48">
        <v>184.21199999999999</v>
      </c>
      <c r="P48">
        <f t="shared" si="15"/>
        <v>0.7953699600184897</v>
      </c>
      <c r="Q48">
        <f t="shared" si="21"/>
        <v>0.16129032258064516</v>
      </c>
      <c r="R48">
        <f t="shared" si="22"/>
        <v>0.17142857142857146</v>
      </c>
      <c r="S48">
        <f t="shared" si="23"/>
        <v>0.47243783712669385</v>
      </c>
      <c r="T48">
        <f t="shared" si="24"/>
        <v>0</v>
      </c>
      <c r="U48">
        <f t="shared" si="25"/>
        <v>0.64895118999596602</v>
      </c>
      <c r="V48">
        <f t="shared" si="26"/>
        <v>0.81912144702842382</v>
      </c>
      <c r="W48">
        <f t="shared" si="27"/>
        <v>0.7458393151486149</v>
      </c>
      <c r="X48">
        <f t="shared" si="28"/>
        <v>2.0930232558139536E-4</v>
      </c>
      <c r="Y48">
        <f t="shared" si="29"/>
        <v>8.1221198156682037E-2</v>
      </c>
      <c r="Z48">
        <f t="shared" si="30"/>
        <v>0.58406654935210378</v>
      </c>
      <c r="AA48">
        <f t="shared" si="31"/>
        <v>1</v>
      </c>
      <c r="AC48">
        <f t="shared" si="16"/>
        <v>1.9766936392417995</v>
      </c>
      <c r="AD48">
        <f t="shared" si="17"/>
        <v>2.2242855835291127</v>
      </c>
      <c r="AE48">
        <f t="shared" si="18"/>
        <v>1.9766936392417995</v>
      </c>
      <c r="AF48">
        <f t="shared" si="19"/>
        <v>1</v>
      </c>
      <c r="AG48">
        <f t="shared" si="20"/>
        <v>0</v>
      </c>
    </row>
    <row r="49" spans="2:33" x14ac:dyDescent="0.3">
      <c r="B49">
        <v>200040</v>
      </c>
      <c r="C49">
        <v>43</v>
      </c>
      <c r="D49">
        <v>0.47899999999999998</v>
      </c>
      <c r="E49">
        <v>0.502</v>
      </c>
      <c r="F49">
        <v>6</v>
      </c>
      <c r="G49">
        <v>-5.1639999999999997</v>
      </c>
      <c r="H49">
        <v>5.1900000000000002E-2</v>
      </c>
      <c r="I49">
        <v>0.223</v>
      </c>
      <c r="J49">
        <v>0</v>
      </c>
      <c r="K49">
        <v>7.9899999999999999E-2</v>
      </c>
      <c r="L49">
        <v>0.57799999999999996</v>
      </c>
      <c r="M49">
        <v>176.49</v>
      </c>
      <c r="P49">
        <f t="shared" si="15"/>
        <v>0.27257954605021756</v>
      </c>
      <c r="Q49">
        <f t="shared" si="21"/>
        <v>9.6774193548387094E-2</v>
      </c>
      <c r="R49">
        <f t="shared" si="22"/>
        <v>0.49591836734693878</v>
      </c>
      <c r="S49">
        <f t="shared" si="23"/>
        <v>0.55663728456782002</v>
      </c>
      <c r="T49">
        <f t="shared" si="24"/>
        <v>0.54545454545454541</v>
      </c>
      <c r="U49">
        <f t="shared" si="25"/>
        <v>0.88987494957644209</v>
      </c>
      <c r="V49">
        <f t="shared" si="26"/>
        <v>0.33979328165374678</v>
      </c>
      <c r="W49">
        <f t="shared" si="27"/>
        <v>0.23539107779018453</v>
      </c>
      <c r="X49">
        <f t="shared" si="28"/>
        <v>0</v>
      </c>
      <c r="Y49">
        <f t="shared" si="29"/>
        <v>5.0835253456221197E-2</v>
      </c>
      <c r="Z49">
        <f t="shared" si="30"/>
        <v>0.76483762597984317</v>
      </c>
      <c r="AA49">
        <f t="shared" si="31"/>
        <v>0.93294954283779219</v>
      </c>
      <c r="AC49">
        <f t="shared" si="16"/>
        <v>1.8323938262545001</v>
      </c>
      <c r="AD49">
        <f t="shared" si="17"/>
        <v>2.2350784769155934</v>
      </c>
      <c r="AE49">
        <f t="shared" si="18"/>
        <v>1.8323938262545001</v>
      </c>
      <c r="AF49">
        <f t="shared" si="19"/>
        <v>1</v>
      </c>
      <c r="AG49">
        <f t="shared" si="20"/>
        <v>0</v>
      </c>
    </row>
    <row r="50" spans="2:33" x14ac:dyDescent="0.3">
      <c r="B50">
        <v>345026</v>
      </c>
      <c r="C50">
        <v>44</v>
      </c>
      <c r="D50">
        <v>0.38800000000000001</v>
      </c>
      <c r="E50">
        <v>0.57499999999999996</v>
      </c>
      <c r="F50">
        <v>5</v>
      </c>
      <c r="G50">
        <v>-7.2720000000000002</v>
      </c>
      <c r="H50">
        <v>2.93E-2</v>
      </c>
      <c r="I50">
        <v>0.26600000000000001</v>
      </c>
      <c r="J50">
        <v>2.2499999999999998E-3</v>
      </c>
      <c r="K50">
        <v>9.5600000000000004E-2</v>
      </c>
      <c r="L50">
        <v>0.218</v>
      </c>
      <c r="M50">
        <v>86.582999999999998</v>
      </c>
      <c r="P50">
        <f t="shared" si="15"/>
        <v>0.96349244926065181</v>
      </c>
      <c r="Q50">
        <f t="shared" si="21"/>
        <v>0.12903225806451613</v>
      </c>
      <c r="R50">
        <f t="shared" si="22"/>
        <v>0.31020408163265312</v>
      </c>
      <c r="S50">
        <f t="shared" si="23"/>
        <v>0.65267727930535457</v>
      </c>
      <c r="T50">
        <f t="shared" si="24"/>
        <v>0.45454545454545453</v>
      </c>
      <c r="U50">
        <f t="shared" si="25"/>
        <v>0.67728922952803539</v>
      </c>
      <c r="V50">
        <f t="shared" si="26"/>
        <v>4.7803617571059415E-2</v>
      </c>
      <c r="W50">
        <f t="shared" si="27"/>
        <v>0.28111873238687729</v>
      </c>
      <c r="X50">
        <f t="shared" si="28"/>
        <v>3.7375415282392029E-2</v>
      </c>
      <c r="Y50">
        <f t="shared" si="29"/>
        <v>7.3444700460829501E-2</v>
      </c>
      <c r="Z50">
        <f t="shared" si="30"/>
        <v>0.18892977123660215</v>
      </c>
      <c r="AA50">
        <f t="shared" si="31"/>
        <v>0.15228320612675506</v>
      </c>
      <c r="AC50">
        <f t="shared" si="16"/>
        <v>1.5098020081593098</v>
      </c>
      <c r="AD50">
        <f t="shared" si="17"/>
        <v>2.5185530991105831</v>
      </c>
      <c r="AE50">
        <f t="shared" si="18"/>
        <v>1.5098020081593098</v>
      </c>
      <c r="AF50">
        <f t="shared" si="19"/>
        <v>1</v>
      </c>
      <c r="AG50">
        <f t="shared" si="20"/>
        <v>0</v>
      </c>
    </row>
    <row r="51" spans="2:33" x14ac:dyDescent="0.3">
      <c r="B51">
        <v>159173</v>
      </c>
      <c r="C51">
        <v>40</v>
      </c>
      <c r="D51">
        <v>0.57199999999999995</v>
      </c>
      <c r="E51">
        <v>0.191</v>
      </c>
      <c r="F51">
        <v>11</v>
      </c>
      <c r="G51">
        <v>-10.545</v>
      </c>
      <c r="H51">
        <v>3.7999999999999999E-2</v>
      </c>
      <c r="I51">
        <v>0.94</v>
      </c>
      <c r="J51">
        <v>6.2500000000000001E-5</v>
      </c>
      <c r="K51">
        <v>0.221</v>
      </c>
      <c r="L51">
        <v>0.48399999999999999</v>
      </c>
      <c r="M51">
        <v>139.797</v>
      </c>
      <c r="P51">
        <f t="shared" si="15"/>
        <v>7.7832897301367193E-2</v>
      </c>
      <c r="Q51">
        <f t="shared" si="21"/>
        <v>0</v>
      </c>
      <c r="R51">
        <f t="shared" si="22"/>
        <v>0.68571428571428561</v>
      </c>
      <c r="S51">
        <f t="shared" si="23"/>
        <v>0.14748059465859756</v>
      </c>
      <c r="T51">
        <f t="shared" si="24"/>
        <v>1</v>
      </c>
      <c r="U51">
        <f t="shared" si="25"/>
        <v>0.34721661960467926</v>
      </c>
      <c r="V51">
        <f t="shared" si="26"/>
        <v>0.16020671834625322</v>
      </c>
      <c r="W51">
        <f t="shared" si="27"/>
        <v>0.99787313234433983</v>
      </c>
      <c r="X51">
        <f t="shared" si="28"/>
        <v>1.0382059800664453E-3</v>
      </c>
      <c r="Y51">
        <f t="shared" si="29"/>
        <v>0.25403225806451613</v>
      </c>
      <c r="Z51">
        <f t="shared" si="30"/>
        <v>0.61446168613021912</v>
      </c>
      <c r="AA51">
        <f t="shared" si="31"/>
        <v>0.61434265023834955</v>
      </c>
      <c r="AC51">
        <f t="shared" si="16"/>
        <v>1.8599737769002005</v>
      </c>
      <c r="AD51">
        <f t="shared" si="17"/>
        <v>2.3788872091780746</v>
      </c>
      <c r="AE51">
        <f t="shared" si="18"/>
        <v>1.8599737769002005</v>
      </c>
      <c r="AF51">
        <f t="shared" si="19"/>
        <v>1</v>
      </c>
      <c r="AG51">
        <f t="shared" si="20"/>
        <v>0</v>
      </c>
    </row>
    <row r="52" spans="2:33" x14ac:dyDescent="0.3">
      <c r="B52">
        <v>346397</v>
      </c>
      <c r="C52">
        <v>45</v>
      </c>
      <c r="D52">
        <v>0.28799999999999998</v>
      </c>
      <c r="E52">
        <v>0.18</v>
      </c>
      <c r="F52">
        <v>7</v>
      </c>
      <c r="G52">
        <v>-10.987</v>
      </c>
      <c r="H52">
        <v>4.0300000000000002E-2</v>
      </c>
      <c r="I52">
        <v>0.90500000000000003</v>
      </c>
      <c r="J52">
        <v>0</v>
      </c>
      <c r="K52">
        <v>0.159</v>
      </c>
      <c r="L52">
        <v>0.20200000000000001</v>
      </c>
      <c r="M52">
        <v>88.054000000000002</v>
      </c>
      <c r="P52">
        <f t="shared" si="15"/>
        <v>0.97002578068783452</v>
      </c>
      <c r="Q52">
        <f t="shared" si="21"/>
        <v>0.16129032258064516</v>
      </c>
      <c r="R52">
        <f t="shared" si="22"/>
        <v>0.10612244897959182</v>
      </c>
      <c r="S52">
        <f t="shared" si="23"/>
        <v>0.133008814629654</v>
      </c>
      <c r="T52">
        <f t="shared" si="24"/>
        <v>0.63636363636363635</v>
      </c>
      <c r="U52">
        <f t="shared" si="25"/>
        <v>0.30264219443323914</v>
      </c>
      <c r="V52">
        <f t="shared" si="26"/>
        <v>0.18992248062015507</v>
      </c>
      <c r="W52">
        <f t="shared" si="27"/>
        <v>0.9606529483702877</v>
      </c>
      <c r="X52">
        <f t="shared" si="28"/>
        <v>0</v>
      </c>
      <c r="Y52">
        <f t="shared" si="29"/>
        <v>0.16474654377880185</v>
      </c>
      <c r="Z52">
        <f t="shared" si="30"/>
        <v>0.16333386658134699</v>
      </c>
      <c r="AA52">
        <f t="shared" si="31"/>
        <v>0.16505596221139737</v>
      </c>
      <c r="AC52">
        <f t="shared" si="16"/>
        <v>1.5913693348872802</v>
      </c>
      <c r="AD52">
        <f t="shared" si="17"/>
        <v>2.574126329756643</v>
      </c>
      <c r="AE52">
        <f t="shared" si="18"/>
        <v>1.5913693348872802</v>
      </c>
      <c r="AF52">
        <f t="shared" si="19"/>
        <v>1</v>
      </c>
      <c r="AG52">
        <f t="shared" si="20"/>
        <v>0</v>
      </c>
    </row>
    <row r="53" spans="2:33" x14ac:dyDescent="0.3">
      <c r="B53">
        <v>247133</v>
      </c>
      <c r="C53">
        <v>42</v>
      </c>
      <c r="D53">
        <v>0.40600000000000003</v>
      </c>
      <c r="E53">
        <v>0.34100000000000003</v>
      </c>
      <c r="F53">
        <v>7</v>
      </c>
      <c r="G53">
        <v>-7.7469999999999999</v>
      </c>
      <c r="H53">
        <v>3.49E-2</v>
      </c>
      <c r="I53">
        <v>0.68100000000000005</v>
      </c>
      <c r="J53">
        <v>5.6800000000000004E-4</v>
      </c>
      <c r="K53">
        <v>7.8899999999999998E-2</v>
      </c>
      <c r="L53">
        <v>0.28599999999999998</v>
      </c>
      <c r="M53">
        <v>148.654</v>
      </c>
      <c r="P53">
        <f t="shared" si="15"/>
        <v>0.49699543000376467</v>
      </c>
      <c r="Q53">
        <f t="shared" si="21"/>
        <v>6.4516129032258063E-2</v>
      </c>
      <c r="R53">
        <f t="shared" si="22"/>
        <v>0.34693877551020419</v>
      </c>
      <c r="S53">
        <f t="shared" si="23"/>
        <v>0.344823049598737</v>
      </c>
      <c r="T53">
        <f t="shared" si="24"/>
        <v>0.63636363636363635</v>
      </c>
      <c r="U53">
        <f t="shared" si="25"/>
        <v>0.62938684953610324</v>
      </c>
      <c r="V53">
        <f t="shared" si="26"/>
        <v>0.12015503875968991</v>
      </c>
      <c r="W53">
        <f t="shared" si="27"/>
        <v>0.72244377093635359</v>
      </c>
      <c r="X53">
        <f t="shared" si="28"/>
        <v>9.4352159468438553E-3</v>
      </c>
      <c r="Y53">
        <f t="shared" si="29"/>
        <v>4.9395161290322578E-2</v>
      </c>
      <c r="Z53">
        <f t="shared" si="30"/>
        <v>0.29771236602143658</v>
      </c>
      <c r="AA53">
        <f t="shared" si="31"/>
        <v>0.69124836107565535</v>
      </c>
      <c r="AC53">
        <f t="shared" si="16"/>
        <v>1.5481830680597051</v>
      </c>
      <c r="AD53">
        <f t="shared" si="17"/>
        <v>2.3617881454687568</v>
      </c>
      <c r="AE53">
        <f t="shared" si="18"/>
        <v>1.5481830680597051</v>
      </c>
      <c r="AF53">
        <f t="shared" si="19"/>
        <v>1</v>
      </c>
      <c r="AG53">
        <f t="shared" si="20"/>
        <v>0</v>
      </c>
    </row>
    <row r="54" spans="2:33" x14ac:dyDescent="0.3">
      <c r="B54">
        <v>206636</v>
      </c>
      <c r="C54">
        <v>42</v>
      </c>
      <c r="D54">
        <v>0.68400000000000005</v>
      </c>
      <c r="E54">
        <v>0.53600000000000003</v>
      </c>
      <c r="F54">
        <v>5</v>
      </c>
      <c r="G54">
        <v>-7.6349999999999998</v>
      </c>
      <c r="H54">
        <v>4.02E-2</v>
      </c>
      <c r="I54">
        <v>1.65E-3</v>
      </c>
      <c r="J54">
        <v>6.0199999999999997E-2</v>
      </c>
      <c r="K54">
        <v>0.106</v>
      </c>
      <c r="L54">
        <v>0.40899999999999997</v>
      </c>
      <c r="M54">
        <v>107.98099999999999</v>
      </c>
      <c r="P54">
        <f t="shared" si="15"/>
        <v>0.30401197062621815</v>
      </c>
      <c r="Q54">
        <f t="shared" si="21"/>
        <v>6.4516129032258063E-2</v>
      </c>
      <c r="R54">
        <f t="shared" si="22"/>
        <v>0.91428571428571448</v>
      </c>
      <c r="S54">
        <f t="shared" si="23"/>
        <v>0.60136824102091835</v>
      </c>
      <c r="T54">
        <f t="shared" si="24"/>
        <v>0.45454545454545453</v>
      </c>
      <c r="U54">
        <f t="shared" si="25"/>
        <v>0.64068172650262201</v>
      </c>
      <c r="V54">
        <f t="shared" si="26"/>
        <v>0.18863049095607234</v>
      </c>
      <c r="W54">
        <f t="shared" si="27"/>
        <v>0</v>
      </c>
      <c r="X54">
        <f t="shared" si="28"/>
        <v>1</v>
      </c>
      <c r="Y54">
        <f t="shared" si="29"/>
        <v>8.8421658986175114E-2</v>
      </c>
      <c r="Z54">
        <f t="shared" si="30"/>
        <v>0.49448088305871057</v>
      </c>
      <c r="AA54">
        <f t="shared" si="31"/>
        <v>0.33808295779172853</v>
      </c>
      <c r="AC54">
        <f t="shared" si="16"/>
        <v>1.8202866984964519</v>
      </c>
      <c r="AD54">
        <f t="shared" si="17"/>
        <v>2.2661405982664373</v>
      </c>
      <c r="AE54">
        <f t="shared" si="18"/>
        <v>1.8202866984964519</v>
      </c>
      <c r="AF54">
        <f t="shared" si="19"/>
        <v>1</v>
      </c>
      <c r="AG54">
        <f t="shared" si="20"/>
        <v>0</v>
      </c>
    </row>
    <row r="55" spans="2:33" x14ac:dyDescent="0.3">
      <c r="B55">
        <v>276146</v>
      </c>
      <c r="C55">
        <v>40</v>
      </c>
      <c r="D55">
        <v>0.46300000000000002</v>
      </c>
      <c r="E55">
        <v>0.248</v>
      </c>
      <c r="F55">
        <v>10</v>
      </c>
      <c r="G55">
        <v>-10.246</v>
      </c>
      <c r="H55">
        <v>4.48E-2</v>
      </c>
      <c r="I55">
        <v>0.871</v>
      </c>
      <c r="J55">
        <v>2.83E-5</v>
      </c>
      <c r="K55">
        <v>0.10299999999999999</v>
      </c>
      <c r="L55">
        <v>0.18099999999999999</v>
      </c>
      <c r="M55">
        <v>139.31</v>
      </c>
      <c r="P55">
        <f t="shared" si="15"/>
        <v>0.63525330359738286</v>
      </c>
      <c r="Q55">
        <f t="shared" si="21"/>
        <v>0</v>
      </c>
      <c r="R55">
        <f t="shared" si="22"/>
        <v>0.46326530612244904</v>
      </c>
      <c r="S55">
        <f t="shared" si="23"/>
        <v>0.22247072753585054</v>
      </c>
      <c r="T55">
        <f t="shared" si="24"/>
        <v>0.90909090909090906</v>
      </c>
      <c r="U55">
        <f t="shared" si="25"/>
        <v>0.37736990722065339</v>
      </c>
      <c r="V55">
        <f t="shared" si="26"/>
        <v>0.24806201550387597</v>
      </c>
      <c r="W55">
        <f t="shared" si="27"/>
        <v>0.92449619822406559</v>
      </c>
      <c r="X55">
        <f t="shared" si="28"/>
        <v>4.7009966777408643E-4</v>
      </c>
      <c r="Y55">
        <f t="shared" si="29"/>
        <v>8.4101382488479245E-2</v>
      </c>
      <c r="Z55">
        <f t="shared" si="30"/>
        <v>0.12973924172132459</v>
      </c>
      <c r="AA55">
        <f t="shared" si="31"/>
        <v>0.61011400835308738</v>
      </c>
      <c r="AC55">
        <f t="shared" si="16"/>
        <v>1.7172308166620376</v>
      </c>
      <c r="AD55">
        <f t="shared" si="17"/>
        <v>2.3958329404701959</v>
      </c>
      <c r="AE55">
        <f t="shared" si="18"/>
        <v>1.7172308166620376</v>
      </c>
      <c r="AF55">
        <f t="shared" si="19"/>
        <v>1</v>
      </c>
      <c r="AG55">
        <f t="shared" si="20"/>
        <v>0</v>
      </c>
    </row>
    <row r="56" spans="2:33" x14ac:dyDescent="0.3">
      <c r="AE56">
        <f>SUM(AE5:AE55)</f>
        <v>86.929696532993802</v>
      </c>
      <c r="AF56">
        <f>SUM(AF5:AF55)</f>
        <v>49</v>
      </c>
    </row>
    <row r="58" spans="2:33" x14ac:dyDescent="0.3">
      <c r="P58" t="s">
        <v>14</v>
      </c>
      <c r="Q58" t="s">
        <v>15</v>
      </c>
    </row>
    <row r="59" spans="2:33" x14ac:dyDescent="0.3">
      <c r="Q59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ca_cest_brandi_carlile - copia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</dc:creator>
  <cp:lastModifiedBy>RANFERY JOSUA PEREGRINA MORALES</cp:lastModifiedBy>
  <dcterms:created xsi:type="dcterms:W3CDTF">2026-03-25T23:09:52Z</dcterms:created>
  <dcterms:modified xsi:type="dcterms:W3CDTF">2026-04-18T02:41:34Z</dcterms:modified>
</cp:coreProperties>
</file>
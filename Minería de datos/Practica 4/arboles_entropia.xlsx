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A:\Repositorios\Semestre-EneJun2026\Minería de datos\Practica 4\"/>
    </mc:Choice>
  </mc:AlternateContent>
  <xr:revisionPtr revIDLastSave="0" documentId="13_ncr:1_{02CA7D95-3EF6-4FA9-9940-B3C7FE79EACB}" xr6:coauthVersionLast="47" xr6:coauthVersionMax="47" xr10:uidLastSave="{00000000-0000-0000-0000-000000000000}"/>
  <bookViews>
    <workbookView xWindow="-108" yWindow="-108" windowWidth="20376" windowHeight="12216" activeTab="5" xr2:uid="{00000000-000D-0000-FFFF-FFFF00000000}"/>
  </bookViews>
  <sheets>
    <sheet name="MTE" sheetId="1" r:id="rId1"/>
    <sheet name="MET" sheetId="2" r:id="rId2"/>
    <sheet name="TME" sheetId="3" r:id="rId3"/>
    <sheet name="TEM" sheetId="4" r:id="rId4"/>
    <sheet name="EMT" sheetId="5" r:id="rId5"/>
    <sheet name="ETM" sheetId="6" r:id="rId6"/>
  </sheets>
  <calcPr calcId="191029"/>
</workbook>
</file>

<file path=xl/calcChain.xml><?xml version="1.0" encoding="utf-8"?>
<calcChain xmlns="http://schemas.openxmlformats.org/spreadsheetml/2006/main">
  <c r="A21" i="6" l="1"/>
  <c r="Q28" i="6"/>
  <c r="J6" i="6"/>
  <c r="D5" i="6"/>
  <c r="A21" i="5"/>
  <c r="Q28" i="5"/>
  <c r="J25" i="5"/>
  <c r="D5" i="5"/>
  <c r="A21" i="4"/>
  <c r="Q28" i="4"/>
  <c r="J6" i="4"/>
  <c r="D4" i="4"/>
  <c r="A21" i="2"/>
  <c r="Q28" i="2"/>
  <c r="J25" i="2"/>
  <c r="D17" i="2"/>
  <c r="A21" i="1"/>
  <c r="Q28" i="1"/>
  <c r="J23" i="1"/>
  <c r="D17" i="1"/>
  <c r="A21" i="3"/>
  <c r="Q28" i="3"/>
  <c r="J23" i="3"/>
  <c r="D4" i="3"/>
</calcChain>
</file>

<file path=xl/sharedStrings.xml><?xml version="1.0" encoding="utf-8"?>
<sst xmlns="http://schemas.openxmlformats.org/spreadsheetml/2006/main" count="796" uniqueCount="31">
  <si>
    <t>M</t>
  </si>
  <si>
    <t>FreqABS</t>
  </si>
  <si>
    <t>FreqRel</t>
  </si>
  <si>
    <t>Entropy</t>
  </si>
  <si>
    <t>AUDI</t>
  </si>
  <si>
    <t>BMW</t>
  </si>
  <si>
    <t>CADILLAC</t>
  </si>
  <si>
    <t>CHEVROLET</t>
  </si>
  <si>
    <t>FIAT</t>
  </si>
  <si>
    <t>FORD</t>
  </si>
  <si>
    <t>HYUNDAI</t>
  </si>
  <si>
    <t>JEEP</t>
  </si>
  <si>
    <t>KIA</t>
  </si>
  <si>
    <t>NISSAN</t>
  </si>
  <si>
    <t>POLESTAR</t>
  </si>
  <si>
    <t>PORSCHE</t>
  </si>
  <si>
    <t>TESLA</t>
  </si>
  <si>
    <t>VOLKSWAGEN</t>
  </si>
  <si>
    <t>VOLVO</t>
  </si>
  <si>
    <t>T</t>
  </si>
  <si>
    <t>Battery Electric Vehicle (BEV)</t>
  </si>
  <si>
    <t>Plug-in Hybrid Electric Vehicle (PHEV)</t>
  </si>
  <si>
    <t>E</t>
  </si>
  <si>
    <t>Clean Alternative Fuel Vehicle Eligible</t>
  </si>
  <si>
    <t>Not eligible due to low battery range</t>
  </si>
  <si>
    <t>Eligibility unknown as battery range has not been researched</t>
  </si>
  <si>
    <t>Para TME</t>
  </si>
  <si>
    <t>Para MET</t>
  </si>
  <si>
    <t>Para TEM</t>
  </si>
  <si>
    <t>Para EMT</t>
  </si>
  <si>
    <t>Para MTE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</si>
</sst>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zoomScale="55" zoomScaleNormal="55" workbookViewId="0">
      <selection sqref="A1:Q28"/>
    </sheetView>
  </sheetViews>
  <sheetFormatPr baseColWidth="10" defaultColWidth="8.88671875" defaultRowHeight="14.4" x14ac:dyDescent="0.3"/>
  <cols>
    <col min="1" max="1" width="30.44140625" bestFit="1" customWidth="1"/>
    <col min="2" max="2" width="8.33203125" bestFit="1" customWidth="1"/>
    <col min="3" max="3" width="7.77734375" bestFit="1" customWidth="1"/>
    <col min="4" max="4" width="13.33203125" bestFit="1" customWidth="1"/>
    <col min="6" max="6" width="13" bestFit="1" customWidth="1"/>
    <col min="7" max="7" width="34.109375" bestFit="1" customWidth="1"/>
    <col min="8" max="8" width="8.33203125" bestFit="1" customWidth="1"/>
    <col min="9" max="9" width="7.77734375" bestFit="1" customWidth="1"/>
    <col min="10" max="10" width="13.33203125" bestFit="1" customWidth="1"/>
    <col min="12" max="12" width="13" bestFit="1" customWidth="1"/>
    <col min="13" max="14" width="8" customWidth="1"/>
    <col min="15" max="15" width="8.33203125" bestFit="1" customWidth="1"/>
    <col min="16" max="16" width="7.77734375" bestFit="1" customWidth="1"/>
    <col min="17" max="17" width="13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19</v>
      </c>
      <c r="H1" s="1" t="s">
        <v>1</v>
      </c>
      <c r="I1" s="1" t="s">
        <v>2</v>
      </c>
      <c r="J1" s="1" t="s">
        <v>3</v>
      </c>
      <c r="L1" s="1" t="s">
        <v>0</v>
      </c>
      <c r="M1" s="1" t="s">
        <v>19</v>
      </c>
      <c r="N1" s="1" t="s">
        <v>22</v>
      </c>
      <c r="O1" s="1" t="s">
        <v>1</v>
      </c>
      <c r="P1" s="1" t="s">
        <v>2</v>
      </c>
      <c r="Q1" s="1" t="s">
        <v>3</v>
      </c>
    </row>
    <row r="2" spans="1:17" x14ac:dyDescent="0.3">
      <c r="A2" t="s">
        <v>4</v>
      </c>
      <c r="B2">
        <v>4</v>
      </c>
      <c r="C2">
        <v>0.04</v>
      </c>
      <c r="D2">
        <v>5.5917600346881501E-2</v>
      </c>
      <c r="F2" t="s">
        <v>4</v>
      </c>
      <c r="G2" t="s">
        <v>20</v>
      </c>
      <c r="H2">
        <v>1</v>
      </c>
      <c r="I2">
        <v>0.01</v>
      </c>
      <c r="J2">
        <v>0.02</v>
      </c>
      <c r="L2" t="s">
        <v>4</v>
      </c>
      <c r="M2" t="s">
        <v>20</v>
      </c>
      <c r="N2" t="s">
        <v>23</v>
      </c>
      <c r="O2">
        <v>1</v>
      </c>
      <c r="P2">
        <v>0.01</v>
      </c>
      <c r="Q2">
        <v>0.02</v>
      </c>
    </row>
    <row r="3" spans="1:17" x14ac:dyDescent="0.3">
      <c r="A3" t="s">
        <v>5</v>
      </c>
      <c r="B3">
        <v>16</v>
      </c>
      <c r="C3">
        <v>0.16</v>
      </c>
      <c r="D3">
        <v>0.127340802775052</v>
      </c>
      <c r="F3" t="s">
        <v>4</v>
      </c>
      <c r="G3" t="s">
        <v>21</v>
      </c>
      <c r="H3">
        <v>3</v>
      </c>
      <c r="I3">
        <v>0.03</v>
      </c>
      <c r="J3">
        <v>4.5686362358410129E-2</v>
      </c>
      <c r="L3" t="s">
        <v>4</v>
      </c>
      <c r="M3" t="s">
        <v>21</v>
      </c>
      <c r="N3" t="s">
        <v>24</v>
      </c>
      <c r="O3">
        <v>3</v>
      </c>
      <c r="P3">
        <v>0.03</v>
      </c>
      <c r="Q3">
        <v>4.5686362358410129E-2</v>
      </c>
    </row>
    <row r="4" spans="1:17" x14ac:dyDescent="0.3">
      <c r="A4" t="s">
        <v>6</v>
      </c>
      <c r="B4">
        <v>1</v>
      </c>
      <c r="C4">
        <v>0.01</v>
      </c>
      <c r="D4">
        <v>0.02</v>
      </c>
      <c r="F4" t="s">
        <v>5</v>
      </c>
      <c r="G4" t="s">
        <v>20</v>
      </c>
      <c r="H4">
        <v>3</v>
      </c>
      <c r="I4">
        <v>0.03</v>
      </c>
      <c r="J4">
        <v>4.5686362358410129E-2</v>
      </c>
      <c r="L4" t="s">
        <v>5</v>
      </c>
      <c r="M4" t="s">
        <v>20</v>
      </c>
      <c r="N4" t="s">
        <v>23</v>
      </c>
      <c r="O4">
        <v>1</v>
      </c>
      <c r="P4">
        <v>0.01</v>
      </c>
      <c r="Q4">
        <v>0.02</v>
      </c>
    </row>
    <row r="5" spans="1:17" x14ac:dyDescent="0.3">
      <c r="A5" t="s">
        <v>7</v>
      </c>
      <c r="B5">
        <v>5</v>
      </c>
      <c r="C5">
        <v>0.05</v>
      </c>
      <c r="D5">
        <v>6.505149978319906E-2</v>
      </c>
      <c r="F5" t="s">
        <v>5</v>
      </c>
      <c r="G5" t="s">
        <v>21</v>
      </c>
      <c r="H5">
        <v>13</v>
      </c>
      <c r="I5">
        <v>0.13</v>
      </c>
      <c r="J5">
        <v>0.11518736420011121</v>
      </c>
      <c r="L5" t="s">
        <v>5</v>
      </c>
      <c r="M5" t="s">
        <v>20</v>
      </c>
      <c r="N5" t="s">
        <v>25</v>
      </c>
      <c r="O5">
        <v>2</v>
      </c>
      <c r="P5">
        <v>0.02</v>
      </c>
      <c r="Q5">
        <v>3.3979400086720367E-2</v>
      </c>
    </row>
    <row r="6" spans="1:17" x14ac:dyDescent="0.3">
      <c r="A6" t="s">
        <v>8</v>
      </c>
      <c r="B6">
        <v>2</v>
      </c>
      <c r="C6">
        <v>0.02</v>
      </c>
      <c r="D6">
        <v>3.3979400086720367E-2</v>
      </c>
      <c r="F6" t="s">
        <v>6</v>
      </c>
      <c r="G6" t="s">
        <v>21</v>
      </c>
      <c r="H6">
        <v>1</v>
      </c>
      <c r="I6">
        <v>0.01</v>
      </c>
      <c r="J6">
        <v>0.02</v>
      </c>
      <c r="L6" t="s">
        <v>5</v>
      </c>
      <c r="M6" t="s">
        <v>21</v>
      </c>
      <c r="N6" t="s">
        <v>23</v>
      </c>
      <c r="O6">
        <v>7</v>
      </c>
      <c r="P6">
        <v>7.0000000000000007E-2</v>
      </c>
      <c r="Q6">
        <v>8.0843137199002019E-2</v>
      </c>
    </row>
    <row r="7" spans="1:17" x14ac:dyDescent="0.3">
      <c r="A7" t="s">
        <v>9</v>
      </c>
      <c r="B7">
        <v>2</v>
      </c>
      <c r="C7">
        <v>0.02</v>
      </c>
      <c r="D7">
        <v>3.3979400086720367E-2</v>
      </c>
      <c r="F7" t="s">
        <v>7</v>
      </c>
      <c r="G7" t="s">
        <v>20</v>
      </c>
      <c r="H7">
        <v>3</v>
      </c>
      <c r="I7">
        <v>0.03</v>
      </c>
      <c r="J7">
        <v>4.5686362358410129E-2</v>
      </c>
      <c r="L7" t="s">
        <v>5</v>
      </c>
      <c r="M7" t="s">
        <v>21</v>
      </c>
      <c r="N7" t="s">
        <v>24</v>
      </c>
      <c r="O7">
        <v>6</v>
      </c>
      <c r="P7">
        <v>0.06</v>
      </c>
      <c r="Q7">
        <v>7.3310924976981384E-2</v>
      </c>
    </row>
    <row r="8" spans="1:17" x14ac:dyDescent="0.3">
      <c r="A8" t="s">
        <v>10</v>
      </c>
      <c r="B8">
        <v>1</v>
      </c>
      <c r="C8">
        <v>0.01</v>
      </c>
      <c r="D8">
        <v>0.02</v>
      </c>
      <c r="F8" t="s">
        <v>7</v>
      </c>
      <c r="G8" t="s">
        <v>21</v>
      </c>
      <c r="H8">
        <v>2</v>
      </c>
      <c r="I8">
        <v>0.02</v>
      </c>
      <c r="J8">
        <v>3.3979400086720367E-2</v>
      </c>
      <c r="L8" t="s">
        <v>6</v>
      </c>
      <c r="M8" t="s">
        <v>21</v>
      </c>
      <c r="N8" t="s">
        <v>23</v>
      </c>
      <c r="O8">
        <v>1</v>
      </c>
      <c r="P8">
        <v>0.01</v>
      </c>
      <c r="Q8">
        <v>0.02</v>
      </c>
    </row>
    <row r="9" spans="1:17" x14ac:dyDescent="0.3">
      <c r="A9" t="s">
        <v>11</v>
      </c>
      <c r="B9">
        <v>4</v>
      </c>
      <c r="C9">
        <v>0.04</v>
      </c>
      <c r="D9">
        <v>5.5917600346881501E-2</v>
      </c>
      <c r="F9" t="s">
        <v>8</v>
      </c>
      <c r="G9" t="s">
        <v>20</v>
      </c>
      <c r="H9">
        <v>2</v>
      </c>
      <c r="I9">
        <v>0.02</v>
      </c>
      <c r="J9">
        <v>3.3979400086720367E-2</v>
      </c>
      <c r="L9" t="s">
        <v>7</v>
      </c>
      <c r="M9" t="s">
        <v>20</v>
      </c>
      <c r="N9" t="s">
        <v>23</v>
      </c>
      <c r="O9">
        <v>3</v>
      </c>
      <c r="P9">
        <v>0.03</v>
      </c>
      <c r="Q9">
        <v>4.5686362358410129E-2</v>
      </c>
    </row>
    <row r="10" spans="1:17" x14ac:dyDescent="0.3">
      <c r="A10" t="s">
        <v>12</v>
      </c>
      <c r="B10">
        <v>13</v>
      </c>
      <c r="C10">
        <v>0.13</v>
      </c>
      <c r="D10">
        <v>0.11518736420011121</v>
      </c>
      <c r="F10" t="s">
        <v>9</v>
      </c>
      <c r="G10" t="s">
        <v>20</v>
      </c>
      <c r="H10">
        <v>1</v>
      </c>
      <c r="I10">
        <v>0.01</v>
      </c>
      <c r="J10">
        <v>0.02</v>
      </c>
      <c r="L10" t="s">
        <v>7</v>
      </c>
      <c r="M10" t="s">
        <v>21</v>
      </c>
      <c r="N10" t="s">
        <v>23</v>
      </c>
      <c r="O10">
        <v>2</v>
      </c>
      <c r="P10">
        <v>0.02</v>
      </c>
      <c r="Q10">
        <v>3.3979400086720367E-2</v>
      </c>
    </row>
    <row r="11" spans="1:17" x14ac:dyDescent="0.3">
      <c r="A11" t="s">
        <v>13</v>
      </c>
      <c r="B11">
        <v>13</v>
      </c>
      <c r="C11">
        <v>0.13</v>
      </c>
      <c r="D11">
        <v>0.11518736420011121</v>
      </c>
      <c r="F11" t="s">
        <v>9</v>
      </c>
      <c r="G11" t="s">
        <v>21</v>
      </c>
      <c r="H11">
        <v>1</v>
      </c>
      <c r="I11">
        <v>0.01</v>
      </c>
      <c r="J11">
        <v>0.02</v>
      </c>
      <c r="L11" t="s">
        <v>8</v>
      </c>
      <c r="M11" t="s">
        <v>20</v>
      </c>
      <c r="N11" t="s">
        <v>23</v>
      </c>
      <c r="O11">
        <v>2</v>
      </c>
      <c r="P11">
        <v>0.02</v>
      </c>
      <c r="Q11">
        <v>3.3979400086720367E-2</v>
      </c>
    </row>
    <row r="12" spans="1:17" x14ac:dyDescent="0.3">
      <c r="A12" t="s">
        <v>14</v>
      </c>
      <c r="B12">
        <v>1</v>
      </c>
      <c r="C12">
        <v>0.01</v>
      </c>
      <c r="D12">
        <v>0.02</v>
      </c>
      <c r="F12" t="s">
        <v>10</v>
      </c>
      <c r="G12" t="s">
        <v>21</v>
      </c>
      <c r="H12">
        <v>1</v>
      </c>
      <c r="I12">
        <v>0.01</v>
      </c>
      <c r="J12">
        <v>0.02</v>
      </c>
      <c r="L12" t="s">
        <v>9</v>
      </c>
      <c r="M12" t="s">
        <v>20</v>
      </c>
      <c r="N12" t="s">
        <v>25</v>
      </c>
      <c r="O12">
        <v>1</v>
      </c>
      <c r="P12">
        <v>0.01</v>
      </c>
      <c r="Q12">
        <v>0.02</v>
      </c>
    </row>
    <row r="13" spans="1:17" x14ac:dyDescent="0.3">
      <c r="A13" t="s">
        <v>15</v>
      </c>
      <c r="B13">
        <v>1</v>
      </c>
      <c r="C13">
        <v>0.01</v>
      </c>
      <c r="D13">
        <v>0.02</v>
      </c>
      <c r="F13" t="s">
        <v>11</v>
      </c>
      <c r="G13" t="s">
        <v>21</v>
      </c>
      <c r="H13">
        <v>4</v>
      </c>
      <c r="I13">
        <v>0.04</v>
      </c>
      <c r="J13">
        <v>5.5917600346881501E-2</v>
      </c>
      <c r="L13" t="s">
        <v>9</v>
      </c>
      <c r="M13" t="s">
        <v>21</v>
      </c>
      <c r="N13" t="s">
        <v>24</v>
      </c>
      <c r="O13">
        <v>1</v>
      </c>
      <c r="P13">
        <v>0.01</v>
      </c>
      <c r="Q13">
        <v>0.02</v>
      </c>
    </row>
    <row r="14" spans="1:17" x14ac:dyDescent="0.3">
      <c r="A14" t="s">
        <v>16</v>
      </c>
      <c r="B14">
        <v>30</v>
      </c>
      <c r="C14">
        <v>0.3</v>
      </c>
      <c r="D14">
        <v>0.1568636235841013</v>
      </c>
      <c r="F14" t="s">
        <v>12</v>
      </c>
      <c r="G14" t="s">
        <v>20</v>
      </c>
      <c r="H14">
        <v>7</v>
      </c>
      <c r="I14">
        <v>7.0000000000000007E-2</v>
      </c>
      <c r="J14">
        <v>8.0843137199002019E-2</v>
      </c>
      <c r="L14" t="s">
        <v>10</v>
      </c>
      <c r="M14" t="s">
        <v>21</v>
      </c>
      <c r="N14" t="s">
        <v>23</v>
      </c>
      <c r="O14">
        <v>1</v>
      </c>
      <c r="P14">
        <v>0.01</v>
      </c>
      <c r="Q14">
        <v>0.02</v>
      </c>
    </row>
    <row r="15" spans="1:17" x14ac:dyDescent="0.3">
      <c r="A15" t="s">
        <v>17</v>
      </c>
      <c r="B15">
        <v>1</v>
      </c>
      <c r="C15">
        <v>0.01</v>
      </c>
      <c r="D15">
        <v>0.02</v>
      </c>
      <c r="F15" t="s">
        <v>12</v>
      </c>
      <c r="G15" t="s">
        <v>21</v>
      </c>
      <c r="H15">
        <v>6</v>
      </c>
      <c r="I15">
        <v>0.06</v>
      </c>
      <c r="J15">
        <v>7.3310924976981384E-2</v>
      </c>
      <c r="L15" t="s">
        <v>11</v>
      </c>
      <c r="M15" t="s">
        <v>21</v>
      </c>
      <c r="N15" t="s">
        <v>24</v>
      </c>
      <c r="O15">
        <v>4</v>
      </c>
      <c r="P15">
        <v>0.04</v>
      </c>
      <c r="Q15">
        <v>5.5917600346881501E-2</v>
      </c>
    </row>
    <row r="16" spans="1:17" x14ac:dyDescent="0.3">
      <c r="A16" t="s">
        <v>18</v>
      </c>
      <c r="B16">
        <v>6</v>
      </c>
      <c r="C16">
        <v>0.06</v>
      </c>
      <c r="D16">
        <v>7.3310924976981384E-2</v>
      </c>
      <c r="F16" t="s">
        <v>13</v>
      </c>
      <c r="G16" t="s">
        <v>20</v>
      </c>
      <c r="H16">
        <v>13</v>
      </c>
      <c r="I16">
        <v>0.13</v>
      </c>
      <c r="J16">
        <v>0.11518736420011121</v>
      </c>
      <c r="L16" t="s">
        <v>12</v>
      </c>
      <c r="M16" t="s">
        <v>20</v>
      </c>
      <c r="N16" t="s">
        <v>23</v>
      </c>
      <c r="O16">
        <v>7</v>
      </c>
      <c r="P16">
        <v>7.0000000000000007E-2</v>
      </c>
      <c r="Q16">
        <v>8.0843137199002019E-2</v>
      </c>
    </row>
    <row r="17" spans="1:17" x14ac:dyDescent="0.3">
      <c r="D17">
        <f>SUM(D2:D16)</f>
        <v>0.93273558038675985</v>
      </c>
      <c r="F17" t="s">
        <v>14</v>
      </c>
      <c r="G17" t="s">
        <v>20</v>
      </c>
      <c r="H17">
        <v>1</v>
      </c>
      <c r="I17">
        <v>0.01</v>
      </c>
      <c r="J17">
        <v>0.02</v>
      </c>
      <c r="L17" t="s">
        <v>12</v>
      </c>
      <c r="M17" t="s">
        <v>21</v>
      </c>
      <c r="N17" t="s">
        <v>23</v>
      </c>
      <c r="O17">
        <v>3</v>
      </c>
      <c r="P17">
        <v>0.03</v>
      </c>
      <c r="Q17">
        <v>4.5686362358410129E-2</v>
      </c>
    </row>
    <row r="18" spans="1:17" x14ac:dyDescent="0.3">
      <c r="F18" t="s">
        <v>15</v>
      </c>
      <c r="G18" t="s">
        <v>20</v>
      </c>
      <c r="H18">
        <v>1</v>
      </c>
      <c r="I18">
        <v>0.01</v>
      </c>
      <c r="J18">
        <v>0.02</v>
      </c>
      <c r="L18" t="s">
        <v>12</v>
      </c>
      <c r="M18" t="s">
        <v>21</v>
      </c>
      <c r="N18" t="s">
        <v>24</v>
      </c>
      <c r="O18">
        <v>3</v>
      </c>
      <c r="P18">
        <v>0.03</v>
      </c>
      <c r="Q18">
        <v>4.5686362358410129E-2</v>
      </c>
    </row>
    <row r="19" spans="1:17" x14ac:dyDescent="0.3">
      <c r="F19" t="s">
        <v>16</v>
      </c>
      <c r="G19" t="s">
        <v>20</v>
      </c>
      <c r="H19">
        <v>30</v>
      </c>
      <c r="I19">
        <v>0.3</v>
      </c>
      <c r="J19">
        <v>0.1568636235841013</v>
      </c>
      <c r="L19" t="s">
        <v>13</v>
      </c>
      <c r="M19" t="s">
        <v>20</v>
      </c>
      <c r="N19" t="s">
        <v>23</v>
      </c>
      <c r="O19">
        <v>13</v>
      </c>
      <c r="P19">
        <v>0.13</v>
      </c>
      <c r="Q19">
        <v>0.11518736420011121</v>
      </c>
    </row>
    <row r="20" spans="1:17" x14ac:dyDescent="0.3">
      <c r="A20" s="2" t="s">
        <v>30</v>
      </c>
      <c r="F20" t="s">
        <v>17</v>
      </c>
      <c r="G20" t="s">
        <v>20</v>
      </c>
      <c r="H20">
        <v>1</v>
      </c>
      <c r="I20">
        <v>0.01</v>
      </c>
      <c r="J20">
        <v>0.02</v>
      </c>
      <c r="L20" t="s">
        <v>14</v>
      </c>
      <c r="M20" t="s">
        <v>20</v>
      </c>
      <c r="N20" t="s">
        <v>23</v>
      </c>
      <c r="O20">
        <v>1</v>
      </c>
      <c r="P20">
        <v>0.01</v>
      </c>
      <c r="Q20">
        <v>0.02</v>
      </c>
    </row>
    <row r="21" spans="1:17" x14ac:dyDescent="0.3">
      <c r="A21" s="2" t="str">
        <f>_xlfn.CONCAT("Entropía total: ", SUM(D17, J23, Q28))</f>
        <v>Entropía total: 3.1585910878612</v>
      </c>
      <c r="F21" t="s">
        <v>18</v>
      </c>
      <c r="G21" t="s">
        <v>20</v>
      </c>
      <c r="H21">
        <v>1</v>
      </c>
      <c r="I21">
        <v>0.01</v>
      </c>
      <c r="J21">
        <v>0.02</v>
      </c>
      <c r="L21" t="s">
        <v>15</v>
      </c>
      <c r="M21" t="s">
        <v>20</v>
      </c>
      <c r="N21" t="s">
        <v>23</v>
      </c>
      <c r="O21">
        <v>1</v>
      </c>
      <c r="P21">
        <v>0.01</v>
      </c>
      <c r="Q21">
        <v>0.02</v>
      </c>
    </row>
    <row r="22" spans="1:17" x14ac:dyDescent="0.3">
      <c r="F22" t="s">
        <v>18</v>
      </c>
      <c r="G22" t="s">
        <v>21</v>
      </c>
      <c r="H22">
        <v>5</v>
      </c>
      <c r="I22">
        <v>0.05</v>
      </c>
      <c r="J22">
        <v>6.505149978319906E-2</v>
      </c>
      <c r="L22" t="s">
        <v>16</v>
      </c>
      <c r="M22" t="s">
        <v>20</v>
      </c>
      <c r="N22" t="s">
        <v>23</v>
      </c>
      <c r="O22">
        <v>26</v>
      </c>
      <c r="P22">
        <v>0.26</v>
      </c>
      <c r="Q22">
        <v>0.15210692952758731</v>
      </c>
    </row>
    <row r="23" spans="1:17" x14ac:dyDescent="0.3">
      <c r="J23">
        <f>SUM(J2:J22)</f>
        <v>1.047379401539059</v>
      </c>
      <c r="L23" t="s">
        <v>16</v>
      </c>
      <c r="M23" t="s">
        <v>20</v>
      </c>
      <c r="N23" t="s">
        <v>25</v>
      </c>
      <c r="O23">
        <v>4</v>
      </c>
      <c r="P23">
        <v>0.04</v>
      </c>
      <c r="Q23">
        <v>5.5917600346881501E-2</v>
      </c>
    </row>
    <row r="24" spans="1:17" x14ac:dyDescent="0.3">
      <c r="L24" t="s">
        <v>17</v>
      </c>
      <c r="M24" t="s">
        <v>20</v>
      </c>
      <c r="N24" t="s">
        <v>25</v>
      </c>
      <c r="O24">
        <v>1</v>
      </c>
      <c r="P24">
        <v>0.01</v>
      </c>
      <c r="Q24">
        <v>0.02</v>
      </c>
    </row>
    <row r="25" spans="1:17" x14ac:dyDescent="0.3">
      <c r="L25" t="s">
        <v>18</v>
      </c>
      <c r="M25" t="s">
        <v>20</v>
      </c>
      <c r="N25" t="s">
        <v>25</v>
      </c>
      <c r="O25">
        <v>1</v>
      </c>
      <c r="P25">
        <v>0.01</v>
      </c>
      <c r="Q25">
        <v>0.02</v>
      </c>
    </row>
    <row r="26" spans="1:17" x14ac:dyDescent="0.3">
      <c r="L26" t="s">
        <v>18</v>
      </c>
      <c r="M26" t="s">
        <v>21</v>
      </c>
      <c r="N26" t="s">
        <v>23</v>
      </c>
      <c r="O26">
        <v>2</v>
      </c>
      <c r="P26">
        <v>0.02</v>
      </c>
      <c r="Q26">
        <v>3.3979400086720367E-2</v>
      </c>
    </row>
    <row r="27" spans="1:17" x14ac:dyDescent="0.3">
      <c r="L27" t="s">
        <v>18</v>
      </c>
      <c r="M27" t="s">
        <v>21</v>
      </c>
      <c r="N27" t="s">
        <v>24</v>
      </c>
      <c r="O27">
        <v>3</v>
      </c>
      <c r="P27">
        <v>0.03</v>
      </c>
      <c r="Q27">
        <v>4.5686362358410129E-2</v>
      </c>
    </row>
    <row r="28" spans="1:17" x14ac:dyDescent="0.3">
      <c r="Q28">
        <f>SUM(Q2:Q27)</f>
        <v>1.1784761059353792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zoomScale="40" zoomScaleNormal="40" workbookViewId="0">
      <selection activeCell="Q28" sqref="A1:Q28"/>
    </sheetView>
  </sheetViews>
  <sheetFormatPr baseColWidth="10" defaultColWidth="8.88671875" defaultRowHeight="14.4" x14ac:dyDescent="0.3"/>
  <cols>
    <col min="1" max="1" width="29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22</v>
      </c>
      <c r="H1" s="1" t="s">
        <v>1</v>
      </c>
      <c r="I1" s="1" t="s">
        <v>2</v>
      </c>
      <c r="J1" s="1" t="s">
        <v>3</v>
      </c>
      <c r="L1" s="1" t="s">
        <v>0</v>
      </c>
      <c r="M1" s="1" t="s">
        <v>22</v>
      </c>
      <c r="N1" s="1" t="s">
        <v>19</v>
      </c>
      <c r="O1" s="1" t="s">
        <v>1</v>
      </c>
      <c r="P1" s="1" t="s">
        <v>2</v>
      </c>
      <c r="Q1" s="1" t="s">
        <v>3</v>
      </c>
    </row>
    <row r="2" spans="1:17" x14ac:dyDescent="0.3">
      <c r="A2" t="s">
        <v>4</v>
      </c>
      <c r="B2">
        <v>4</v>
      </c>
      <c r="C2">
        <v>0.04</v>
      </c>
      <c r="D2">
        <v>5.5917600346881501E-2</v>
      </c>
      <c r="F2" t="s">
        <v>4</v>
      </c>
      <c r="G2" t="s">
        <v>23</v>
      </c>
      <c r="H2">
        <v>1</v>
      </c>
      <c r="I2">
        <v>0.01</v>
      </c>
      <c r="J2">
        <v>0.02</v>
      </c>
      <c r="L2" t="s">
        <v>4</v>
      </c>
      <c r="M2" t="s">
        <v>23</v>
      </c>
      <c r="N2" t="s">
        <v>20</v>
      </c>
      <c r="O2">
        <v>1</v>
      </c>
      <c r="P2">
        <v>0.01</v>
      </c>
      <c r="Q2">
        <v>0.02</v>
      </c>
    </row>
    <row r="3" spans="1:17" x14ac:dyDescent="0.3">
      <c r="A3" t="s">
        <v>5</v>
      </c>
      <c r="B3">
        <v>16</v>
      </c>
      <c r="C3">
        <v>0.16</v>
      </c>
      <c r="D3">
        <v>0.127340802775052</v>
      </c>
      <c r="F3" t="s">
        <v>4</v>
      </c>
      <c r="G3" t="s">
        <v>24</v>
      </c>
      <c r="H3">
        <v>3</v>
      </c>
      <c r="I3">
        <v>0.03</v>
      </c>
      <c r="J3">
        <v>4.5686362358410129E-2</v>
      </c>
      <c r="L3" t="s">
        <v>4</v>
      </c>
      <c r="M3" t="s">
        <v>24</v>
      </c>
      <c r="N3" t="s">
        <v>21</v>
      </c>
      <c r="O3">
        <v>3</v>
      </c>
      <c r="P3">
        <v>0.03</v>
      </c>
      <c r="Q3">
        <v>4.5686362358410129E-2</v>
      </c>
    </row>
    <row r="4" spans="1:17" x14ac:dyDescent="0.3">
      <c r="A4" t="s">
        <v>6</v>
      </c>
      <c r="B4">
        <v>1</v>
      </c>
      <c r="C4">
        <v>0.01</v>
      </c>
      <c r="D4">
        <v>0.02</v>
      </c>
      <c r="F4" t="s">
        <v>5</v>
      </c>
      <c r="G4" t="s">
        <v>23</v>
      </c>
      <c r="H4">
        <v>8</v>
      </c>
      <c r="I4">
        <v>0.08</v>
      </c>
      <c r="J4">
        <v>8.7752801040644521E-2</v>
      </c>
      <c r="L4" t="s">
        <v>5</v>
      </c>
      <c r="M4" t="s">
        <v>23</v>
      </c>
      <c r="N4" t="s">
        <v>20</v>
      </c>
      <c r="O4">
        <v>1</v>
      </c>
      <c r="P4">
        <v>0.01</v>
      </c>
      <c r="Q4">
        <v>0.02</v>
      </c>
    </row>
    <row r="5" spans="1:17" x14ac:dyDescent="0.3">
      <c r="A5" t="s">
        <v>7</v>
      </c>
      <c r="B5">
        <v>5</v>
      </c>
      <c r="C5">
        <v>0.05</v>
      </c>
      <c r="D5">
        <v>6.505149978319906E-2</v>
      </c>
      <c r="F5" t="s">
        <v>5</v>
      </c>
      <c r="G5" t="s">
        <v>25</v>
      </c>
      <c r="H5">
        <v>2</v>
      </c>
      <c r="I5">
        <v>0.02</v>
      </c>
      <c r="J5">
        <v>3.3979400086720367E-2</v>
      </c>
      <c r="L5" t="s">
        <v>5</v>
      </c>
      <c r="M5" t="s">
        <v>23</v>
      </c>
      <c r="N5" t="s">
        <v>21</v>
      </c>
      <c r="O5">
        <v>7</v>
      </c>
      <c r="P5">
        <v>7.0000000000000007E-2</v>
      </c>
      <c r="Q5">
        <v>8.0843137199002019E-2</v>
      </c>
    </row>
    <row r="6" spans="1:17" x14ac:dyDescent="0.3">
      <c r="A6" t="s">
        <v>8</v>
      </c>
      <c r="B6">
        <v>2</v>
      </c>
      <c r="C6">
        <v>0.02</v>
      </c>
      <c r="D6">
        <v>3.3979400086720367E-2</v>
      </c>
      <c r="F6" t="s">
        <v>5</v>
      </c>
      <c r="G6" t="s">
        <v>24</v>
      </c>
      <c r="H6">
        <v>6</v>
      </c>
      <c r="I6">
        <v>0.06</v>
      </c>
      <c r="J6">
        <v>7.3310924976981384E-2</v>
      </c>
      <c r="L6" t="s">
        <v>5</v>
      </c>
      <c r="M6" t="s">
        <v>25</v>
      </c>
      <c r="N6" t="s">
        <v>20</v>
      </c>
      <c r="O6">
        <v>2</v>
      </c>
      <c r="P6">
        <v>0.02</v>
      </c>
      <c r="Q6">
        <v>3.3979400086720367E-2</v>
      </c>
    </row>
    <row r="7" spans="1:17" x14ac:dyDescent="0.3">
      <c r="A7" t="s">
        <v>9</v>
      </c>
      <c r="B7">
        <v>2</v>
      </c>
      <c r="C7">
        <v>0.02</v>
      </c>
      <c r="D7">
        <v>3.3979400086720367E-2</v>
      </c>
      <c r="F7" t="s">
        <v>6</v>
      </c>
      <c r="G7" t="s">
        <v>23</v>
      </c>
      <c r="H7">
        <v>1</v>
      </c>
      <c r="I7">
        <v>0.01</v>
      </c>
      <c r="J7">
        <v>0.02</v>
      </c>
      <c r="L7" t="s">
        <v>5</v>
      </c>
      <c r="M7" t="s">
        <v>24</v>
      </c>
      <c r="N7" t="s">
        <v>21</v>
      </c>
      <c r="O7">
        <v>6</v>
      </c>
      <c r="P7">
        <v>0.06</v>
      </c>
      <c r="Q7">
        <v>7.3310924976981384E-2</v>
      </c>
    </row>
    <row r="8" spans="1:17" x14ac:dyDescent="0.3">
      <c r="A8" t="s">
        <v>10</v>
      </c>
      <c r="B8">
        <v>1</v>
      </c>
      <c r="C8">
        <v>0.01</v>
      </c>
      <c r="D8">
        <v>0.02</v>
      </c>
      <c r="F8" t="s">
        <v>7</v>
      </c>
      <c r="G8" t="s">
        <v>23</v>
      </c>
      <c r="H8">
        <v>5</v>
      </c>
      <c r="I8">
        <v>0.05</v>
      </c>
      <c r="J8">
        <v>6.505149978319906E-2</v>
      </c>
      <c r="L8" t="s">
        <v>6</v>
      </c>
      <c r="M8" t="s">
        <v>23</v>
      </c>
      <c r="N8" t="s">
        <v>21</v>
      </c>
      <c r="O8">
        <v>1</v>
      </c>
      <c r="P8">
        <v>0.01</v>
      </c>
      <c r="Q8">
        <v>0.02</v>
      </c>
    </row>
    <row r="9" spans="1:17" x14ac:dyDescent="0.3">
      <c r="A9" t="s">
        <v>11</v>
      </c>
      <c r="B9">
        <v>4</v>
      </c>
      <c r="C9">
        <v>0.04</v>
      </c>
      <c r="D9">
        <v>5.5917600346881501E-2</v>
      </c>
      <c r="F9" t="s">
        <v>8</v>
      </c>
      <c r="G9" t="s">
        <v>23</v>
      </c>
      <c r="H9">
        <v>2</v>
      </c>
      <c r="I9">
        <v>0.02</v>
      </c>
      <c r="J9">
        <v>3.3979400086720367E-2</v>
      </c>
      <c r="L9" t="s">
        <v>7</v>
      </c>
      <c r="M9" t="s">
        <v>23</v>
      </c>
      <c r="N9" t="s">
        <v>20</v>
      </c>
      <c r="O9">
        <v>3</v>
      </c>
      <c r="P9">
        <v>0.03</v>
      </c>
      <c r="Q9">
        <v>4.5686362358410129E-2</v>
      </c>
    </row>
    <row r="10" spans="1:17" x14ac:dyDescent="0.3">
      <c r="A10" t="s">
        <v>12</v>
      </c>
      <c r="B10">
        <v>13</v>
      </c>
      <c r="C10">
        <v>0.13</v>
      </c>
      <c r="D10">
        <v>0.11518736420011121</v>
      </c>
      <c r="F10" t="s">
        <v>9</v>
      </c>
      <c r="G10" t="s">
        <v>25</v>
      </c>
      <c r="H10">
        <v>1</v>
      </c>
      <c r="I10">
        <v>0.01</v>
      </c>
      <c r="J10">
        <v>0.02</v>
      </c>
      <c r="L10" t="s">
        <v>7</v>
      </c>
      <c r="M10" t="s">
        <v>23</v>
      </c>
      <c r="N10" t="s">
        <v>21</v>
      </c>
      <c r="O10">
        <v>2</v>
      </c>
      <c r="P10">
        <v>0.02</v>
      </c>
      <c r="Q10">
        <v>3.3979400086720367E-2</v>
      </c>
    </row>
    <row r="11" spans="1:17" x14ac:dyDescent="0.3">
      <c r="A11" t="s">
        <v>13</v>
      </c>
      <c r="B11">
        <v>13</v>
      </c>
      <c r="C11">
        <v>0.13</v>
      </c>
      <c r="D11">
        <v>0.11518736420011121</v>
      </c>
      <c r="F11" t="s">
        <v>9</v>
      </c>
      <c r="G11" t="s">
        <v>24</v>
      </c>
      <c r="H11">
        <v>1</v>
      </c>
      <c r="I11">
        <v>0.01</v>
      </c>
      <c r="J11">
        <v>0.02</v>
      </c>
      <c r="L11" t="s">
        <v>8</v>
      </c>
      <c r="M11" t="s">
        <v>23</v>
      </c>
      <c r="N11" t="s">
        <v>20</v>
      </c>
      <c r="O11">
        <v>2</v>
      </c>
      <c r="P11">
        <v>0.02</v>
      </c>
      <c r="Q11">
        <v>3.3979400086720367E-2</v>
      </c>
    </row>
    <row r="12" spans="1:17" x14ac:dyDescent="0.3">
      <c r="A12" t="s">
        <v>14</v>
      </c>
      <c r="B12">
        <v>1</v>
      </c>
      <c r="C12">
        <v>0.01</v>
      </c>
      <c r="D12">
        <v>0.02</v>
      </c>
      <c r="F12" t="s">
        <v>10</v>
      </c>
      <c r="G12" t="s">
        <v>23</v>
      </c>
      <c r="H12">
        <v>1</v>
      </c>
      <c r="I12">
        <v>0.01</v>
      </c>
      <c r="J12">
        <v>0.02</v>
      </c>
      <c r="L12" t="s">
        <v>9</v>
      </c>
      <c r="M12" t="s">
        <v>25</v>
      </c>
      <c r="N12" t="s">
        <v>20</v>
      </c>
      <c r="O12">
        <v>1</v>
      </c>
      <c r="P12">
        <v>0.01</v>
      </c>
      <c r="Q12">
        <v>0.02</v>
      </c>
    </row>
    <row r="13" spans="1:17" x14ac:dyDescent="0.3">
      <c r="A13" t="s">
        <v>15</v>
      </c>
      <c r="B13">
        <v>1</v>
      </c>
      <c r="C13">
        <v>0.01</v>
      </c>
      <c r="D13">
        <v>0.02</v>
      </c>
      <c r="F13" t="s">
        <v>11</v>
      </c>
      <c r="G13" t="s">
        <v>24</v>
      </c>
      <c r="H13">
        <v>4</v>
      </c>
      <c r="I13">
        <v>0.04</v>
      </c>
      <c r="J13">
        <v>5.5917600346881501E-2</v>
      </c>
      <c r="L13" t="s">
        <v>9</v>
      </c>
      <c r="M13" t="s">
        <v>24</v>
      </c>
      <c r="N13" t="s">
        <v>21</v>
      </c>
      <c r="O13">
        <v>1</v>
      </c>
      <c r="P13">
        <v>0.01</v>
      </c>
      <c r="Q13">
        <v>0.02</v>
      </c>
    </row>
    <row r="14" spans="1:17" x14ac:dyDescent="0.3">
      <c r="A14" t="s">
        <v>16</v>
      </c>
      <c r="B14">
        <v>30</v>
      </c>
      <c r="C14">
        <v>0.3</v>
      </c>
      <c r="D14">
        <v>0.1568636235841013</v>
      </c>
      <c r="F14" t="s">
        <v>12</v>
      </c>
      <c r="G14" t="s">
        <v>23</v>
      </c>
      <c r="H14">
        <v>10</v>
      </c>
      <c r="I14">
        <v>0.1</v>
      </c>
      <c r="J14">
        <v>0.1</v>
      </c>
      <c r="L14" t="s">
        <v>10</v>
      </c>
      <c r="M14" t="s">
        <v>23</v>
      </c>
      <c r="N14" t="s">
        <v>21</v>
      </c>
      <c r="O14">
        <v>1</v>
      </c>
      <c r="P14">
        <v>0.01</v>
      </c>
      <c r="Q14">
        <v>0.02</v>
      </c>
    </row>
    <row r="15" spans="1:17" x14ac:dyDescent="0.3">
      <c r="A15" t="s">
        <v>17</v>
      </c>
      <c r="B15">
        <v>1</v>
      </c>
      <c r="C15">
        <v>0.01</v>
      </c>
      <c r="D15">
        <v>0.02</v>
      </c>
      <c r="F15" t="s">
        <v>12</v>
      </c>
      <c r="G15" t="s">
        <v>24</v>
      </c>
      <c r="H15">
        <v>3</v>
      </c>
      <c r="I15">
        <v>0.03</v>
      </c>
      <c r="J15">
        <v>4.5686362358410129E-2</v>
      </c>
      <c r="L15" t="s">
        <v>11</v>
      </c>
      <c r="M15" t="s">
        <v>24</v>
      </c>
      <c r="N15" t="s">
        <v>21</v>
      </c>
      <c r="O15">
        <v>4</v>
      </c>
      <c r="P15">
        <v>0.04</v>
      </c>
      <c r="Q15">
        <v>5.5917600346881501E-2</v>
      </c>
    </row>
    <row r="16" spans="1:17" x14ac:dyDescent="0.3">
      <c r="A16" t="s">
        <v>18</v>
      </c>
      <c r="B16">
        <v>6</v>
      </c>
      <c r="C16">
        <v>0.06</v>
      </c>
      <c r="D16">
        <v>7.3310924976981384E-2</v>
      </c>
      <c r="F16" t="s">
        <v>13</v>
      </c>
      <c r="G16" t="s">
        <v>23</v>
      </c>
      <c r="H16">
        <v>13</v>
      </c>
      <c r="I16">
        <v>0.13</v>
      </c>
      <c r="J16">
        <v>0.11518736420011121</v>
      </c>
      <c r="L16" t="s">
        <v>12</v>
      </c>
      <c r="M16" t="s">
        <v>23</v>
      </c>
      <c r="N16" t="s">
        <v>20</v>
      </c>
      <c r="O16">
        <v>7</v>
      </c>
      <c r="P16">
        <v>7.0000000000000007E-2</v>
      </c>
      <c r="Q16">
        <v>8.0843137199002019E-2</v>
      </c>
    </row>
    <row r="17" spans="1:17" x14ac:dyDescent="0.3">
      <c r="D17">
        <f>SUM(D2:D16)</f>
        <v>0.93273558038675985</v>
      </c>
      <c r="F17" t="s">
        <v>14</v>
      </c>
      <c r="G17" t="s">
        <v>23</v>
      </c>
      <c r="H17">
        <v>1</v>
      </c>
      <c r="I17">
        <v>0.01</v>
      </c>
      <c r="J17">
        <v>0.02</v>
      </c>
      <c r="L17" t="s">
        <v>12</v>
      </c>
      <c r="M17" t="s">
        <v>23</v>
      </c>
      <c r="N17" t="s">
        <v>21</v>
      </c>
      <c r="O17">
        <v>3</v>
      </c>
      <c r="P17">
        <v>0.03</v>
      </c>
      <c r="Q17">
        <v>4.5686362358410129E-2</v>
      </c>
    </row>
    <row r="18" spans="1:17" x14ac:dyDescent="0.3">
      <c r="F18" t="s">
        <v>15</v>
      </c>
      <c r="G18" t="s">
        <v>23</v>
      </c>
      <c r="H18">
        <v>1</v>
      </c>
      <c r="I18">
        <v>0.01</v>
      </c>
      <c r="J18">
        <v>0.02</v>
      </c>
      <c r="L18" t="s">
        <v>12</v>
      </c>
      <c r="M18" t="s">
        <v>24</v>
      </c>
      <c r="N18" t="s">
        <v>21</v>
      </c>
      <c r="O18">
        <v>3</v>
      </c>
      <c r="P18">
        <v>0.03</v>
      </c>
      <c r="Q18">
        <v>4.5686362358410129E-2</v>
      </c>
    </row>
    <row r="19" spans="1:17" x14ac:dyDescent="0.3">
      <c r="F19" t="s">
        <v>16</v>
      </c>
      <c r="G19" t="s">
        <v>23</v>
      </c>
      <c r="H19">
        <v>26</v>
      </c>
      <c r="I19">
        <v>0.26</v>
      </c>
      <c r="J19">
        <v>0.15210692952758731</v>
      </c>
      <c r="L19" t="s">
        <v>13</v>
      </c>
      <c r="M19" t="s">
        <v>23</v>
      </c>
      <c r="N19" t="s">
        <v>20</v>
      </c>
      <c r="O19">
        <v>13</v>
      </c>
      <c r="P19">
        <v>0.13</v>
      </c>
      <c r="Q19">
        <v>0.11518736420011121</v>
      </c>
    </row>
    <row r="20" spans="1:17" x14ac:dyDescent="0.3">
      <c r="A20" s="2" t="s">
        <v>27</v>
      </c>
      <c r="F20" t="s">
        <v>16</v>
      </c>
      <c r="G20" t="s">
        <v>25</v>
      </c>
      <c r="H20">
        <v>4</v>
      </c>
      <c r="I20">
        <v>0.04</v>
      </c>
      <c r="J20">
        <v>5.5917600346881501E-2</v>
      </c>
      <c r="L20" t="s">
        <v>14</v>
      </c>
      <c r="M20" t="s">
        <v>23</v>
      </c>
      <c r="N20" t="s">
        <v>20</v>
      </c>
      <c r="O20">
        <v>1</v>
      </c>
      <c r="P20">
        <v>0.01</v>
      </c>
      <c r="Q20">
        <v>0.02</v>
      </c>
    </row>
    <row r="21" spans="1:17" x14ac:dyDescent="0.3">
      <c r="A21" s="2" t="str">
        <f>_xlfn.CONCAT("Entropía total: ", SUM(D17, J25, Q28))</f>
        <v>Entropía total: 3.23545369387982</v>
      </c>
      <c r="F21" t="s">
        <v>17</v>
      </c>
      <c r="G21" t="s">
        <v>25</v>
      </c>
      <c r="H21">
        <v>1</v>
      </c>
      <c r="I21">
        <v>0.01</v>
      </c>
      <c r="J21">
        <v>0.02</v>
      </c>
      <c r="L21" t="s">
        <v>15</v>
      </c>
      <c r="M21" t="s">
        <v>23</v>
      </c>
      <c r="N21" t="s">
        <v>20</v>
      </c>
      <c r="O21">
        <v>1</v>
      </c>
      <c r="P21">
        <v>0.01</v>
      </c>
      <c r="Q21">
        <v>0.02</v>
      </c>
    </row>
    <row r="22" spans="1:17" x14ac:dyDescent="0.3">
      <c r="F22" t="s">
        <v>18</v>
      </c>
      <c r="G22" t="s">
        <v>23</v>
      </c>
      <c r="H22">
        <v>2</v>
      </c>
      <c r="I22">
        <v>0.02</v>
      </c>
      <c r="J22">
        <v>3.3979400086720367E-2</v>
      </c>
      <c r="L22" t="s">
        <v>16</v>
      </c>
      <c r="M22" t="s">
        <v>23</v>
      </c>
      <c r="N22" t="s">
        <v>20</v>
      </c>
      <c r="O22">
        <v>26</v>
      </c>
      <c r="P22">
        <v>0.26</v>
      </c>
      <c r="Q22">
        <v>0.15210692952758731</v>
      </c>
    </row>
    <row r="23" spans="1:17" x14ac:dyDescent="0.3">
      <c r="F23" t="s">
        <v>18</v>
      </c>
      <c r="G23" t="s">
        <v>25</v>
      </c>
      <c r="H23">
        <v>1</v>
      </c>
      <c r="I23">
        <v>0.01</v>
      </c>
      <c r="J23">
        <v>0.02</v>
      </c>
      <c r="L23" t="s">
        <v>16</v>
      </c>
      <c r="M23" t="s">
        <v>25</v>
      </c>
      <c r="N23" t="s">
        <v>20</v>
      </c>
      <c r="O23">
        <v>4</v>
      </c>
      <c r="P23">
        <v>0.04</v>
      </c>
      <c r="Q23">
        <v>5.5917600346881501E-2</v>
      </c>
    </row>
    <row r="24" spans="1:17" x14ac:dyDescent="0.3">
      <c r="F24" t="s">
        <v>18</v>
      </c>
      <c r="G24" t="s">
        <v>24</v>
      </c>
      <c r="H24">
        <v>3</v>
      </c>
      <c r="I24">
        <v>0.03</v>
      </c>
      <c r="J24">
        <v>4.5686362358410129E-2</v>
      </c>
      <c r="L24" t="s">
        <v>17</v>
      </c>
      <c r="M24" t="s">
        <v>25</v>
      </c>
      <c r="N24" t="s">
        <v>20</v>
      </c>
      <c r="O24">
        <v>1</v>
      </c>
      <c r="P24">
        <v>0.01</v>
      </c>
      <c r="Q24">
        <v>0.02</v>
      </c>
    </row>
    <row r="25" spans="1:17" x14ac:dyDescent="0.3">
      <c r="J25">
        <f>SUM(J2:J24)</f>
        <v>1.1242420075576782</v>
      </c>
      <c r="L25" t="s">
        <v>18</v>
      </c>
      <c r="M25" t="s">
        <v>23</v>
      </c>
      <c r="N25" t="s">
        <v>21</v>
      </c>
      <c r="O25">
        <v>2</v>
      </c>
      <c r="P25">
        <v>0.02</v>
      </c>
      <c r="Q25">
        <v>3.3979400086720367E-2</v>
      </c>
    </row>
    <row r="26" spans="1:17" x14ac:dyDescent="0.3">
      <c r="L26" t="s">
        <v>18</v>
      </c>
      <c r="M26" t="s">
        <v>25</v>
      </c>
      <c r="N26" t="s">
        <v>20</v>
      </c>
      <c r="O26">
        <v>1</v>
      </c>
      <c r="P26">
        <v>0.01</v>
      </c>
      <c r="Q26">
        <v>0.02</v>
      </c>
    </row>
    <row r="27" spans="1:17" x14ac:dyDescent="0.3">
      <c r="L27" t="s">
        <v>18</v>
      </c>
      <c r="M27" t="s">
        <v>24</v>
      </c>
      <c r="N27" t="s">
        <v>21</v>
      </c>
      <c r="O27">
        <v>3</v>
      </c>
      <c r="P27">
        <v>0.03</v>
      </c>
      <c r="Q27">
        <v>4.5686362358410129E-2</v>
      </c>
    </row>
    <row r="28" spans="1:17" x14ac:dyDescent="0.3">
      <c r="Q28">
        <f>SUM(Q2:Q27)</f>
        <v>1.1784761059353792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8"/>
  <sheetViews>
    <sheetView zoomScale="40" zoomScaleNormal="40" workbookViewId="0">
      <selection activeCell="Q28" sqref="A1:Q28"/>
    </sheetView>
  </sheetViews>
  <sheetFormatPr baseColWidth="10" defaultColWidth="8.88671875" defaultRowHeight="14.4" x14ac:dyDescent="0.3"/>
  <cols>
    <col min="1" max="1" width="33.33203125" customWidth="1"/>
  </cols>
  <sheetData>
    <row r="1" spans="1:17" x14ac:dyDescent="0.3">
      <c r="A1" s="1" t="s">
        <v>19</v>
      </c>
      <c r="B1" s="1" t="s">
        <v>1</v>
      </c>
      <c r="C1" s="1" t="s">
        <v>2</v>
      </c>
      <c r="D1" s="1" t="s">
        <v>3</v>
      </c>
      <c r="F1" s="1" t="s">
        <v>19</v>
      </c>
      <c r="G1" s="1" t="s">
        <v>0</v>
      </c>
      <c r="H1" s="1" t="s">
        <v>1</v>
      </c>
      <c r="I1" s="1" t="s">
        <v>2</v>
      </c>
      <c r="J1" s="1" t="s">
        <v>3</v>
      </c>
      <c r="L1" s="1" t="s">
        <v>19</v>
      </c>
      <c r="M1" s="1" t="s">
        <v>0</v>
      </c>
      <c r="N1" s="1" t="s">
        <v>22</v>
      </c>
      <c r="O1" s="1" t="s">
        <v>1</v>
      </c>
      <c r="P1" s="1" t="s">
        <v>2</v>
      </c>
      <c r="Q1" s="1" t="s">
        <v>3</v>
      </c>
    </row>
    <row r="2" spans="1:17" x14ac:dyDescent="0.3">
      <c r="A2" t="s">
        <v>20</v>
      </c>
      <c r="B2">
        <v>64</v>
      </c>
      <c r="C2">
        <v>0.64</v>
      </c>
      <c r="D2">
        <v>0.1240448166503122</v>
      </c>
      <c r="F2" t="s">
        <v>20</v>
      </c>
      <c r="G2" t="s">
        <v>4</v>
      </c>
      <c r="H2">
        <v>1</v>
      </c>
      <c r="I2">
        <v>0.01</v>
      </c>
      <c r="J2">
        <v>0.02</v>
      </c>
      <c r="L2" t="s">
        <v>20</v>
      </c>
      <c r="M2" t="s">
        <v>4</v>
      </c>
      <c r="N2" t="s">
        <v>23</v>
      </c>
      <c r="O2">
        <v>1</v>
      </c>
      <c r="P2">
        <v>0.01</v>
      </c>
      <c r="Q2">
        <v>0.02</v>
      </c>
    </row>
    <row r="3" spans="1:17" x14ac:dyDescent="0.3">
      <c r="A3" t="s">
        <v>21</v>
      </c>
      <c r="B3">
        <v>36</v>
      </c>
      <c r="C3">
        <v>0.36</v>
      </c>
      <c r="D3">
        <v>0.15973109972377661</v>
      </c>
      <c r="F3" t="s">
        <v>20</v>
      </c>
      <c r="G3" t="s">
        <v>5</v>
      </c>
      <c r="H3">
        <v>3</v>
      </c>
      <c r="I3">
        <v>0.03</v>
      </c>
      <c r="J3">
        <v>4.5686362358410129E-2</v>
      </c>
      <c r="L3" t="s">
        <v>20</v>
      </c>
      <c r="M3" t="s">
        <v>5</v>
      </c>
      <c r="N3" t="s">
        <v>23</v>
      </c>
      <c r="O3">
        <v>1</v>
      </c>
      <c r="P3">
        <v>0.01</v>
      </c>
      <c r="Q3">
        <v>0.02</v>
      </c>
    </row>
    <row r="4" spans="1:17" x14ac:dyDescent="0.3">
      <c r="D4">
        <f>SUM(D2:D3)</f>
        <v>0.28377591637408883</v>
      </c>
      <c r="F4" t="s">
        <v>20</v>
      </c>
      <c r="G4" t="s">
        <v>7</v>
      </c>
      <c r="H4">
        <v>3</v>
      </c>
      <c r="I4">
        <v>0.03</v>
      </c>
      <c r="J4">
        <v>4.5686362358410129E-2</v>
      </c>
      <c r="L4" t="s">
        <v>20</v>
      </c>
      <c r="M4" t="s">
        <v>5</v>
      </c>
      <c r="N4" t="s">
        <v>25</v>
      </c>
      <c r="O4">
        <v>2</v>
      </c>
      <c r="P4">
        <v>0.02</v>
      </c>
      <c r="Q4">
        <v>3.3979400086720367E-2</v>
      </c>
    </row>
    <row r="5" spans="1:17" x14ac:dyDescent="0.3">
      <c r="F5" t="s">
        <v>20</v>
      </c>
      <c r="G5" t="s">
        <v>8</v>
      </c>
      <c r="H5">
        <v>2</v>
      </c>
      <c r="I5">
        <v>0.02</v>
      </c>
      <c r="J5">
        <v>3.3979400086720367E-2</v>
      </c>
      <c r="L5" t="s">
        <v>20</v>
      </c>
      <c r="M5" t="s">
        <v>7</v>
      </c>
      <c r="N5" t="s">
        <v>23</v>
      </c>
      <c r="O5">
        <v>3</v>
      </c>
      <c r="P5">
        <v>0.03</v>
      </c>
      <c r="Q5">
        <v>4.5686362358410129E-2</v>
      </c>
    </row>
    <row r="6" spans="1:17" x14ac:dyDescent="0.3">
      <c r="F6" t="s">
        <v>20</v>
      </c>
      <c r="G6" t="s">
        <v>9</v>
      </c>
      <c r="H6">
        <v>1</v>
      </c>
      <c r="I6">
        <v>0.01</v>
      </c>
      <c r="J6">
        <v>0.02</v>
      </c>
      <c r="L6" t="s">
        <v>20</v>
      </c>
      <c r="M6" t="s">
        <v>8</v>
      </c>
      <c r="N6" t="s">
        <v>23</v>
      </c>
      <c r="O6">
        <v>2</v>
      </c>
      <c r="P6">
        <v>0.02</v>
      </c>
      <c r="Q6">
        <v>3.3979400086720367E-2</v>
      </c>
    </row>
    <row r="7" spans="1:17" x14ac:dyDescent="0.3">
      <c r="F7" t="s">
        <v>20</v>
      </c>
      <c r="G7" t="s">
        <v>12</v>
      </c>
      <c r="H7">
        <v>7</v>
      </c>
      <c r="I7">
        <v>7.0000000000000007E-2</v>
      </c>
      <c r="J7">
        <v>8.0843137199002019E-2</v>
      </c>
      <c r="L7" t="s">
        <v>20</v>
      </c>
      <c r="M7" t="s">
        <v>9</v>
      </c>
      <c r="N7" t="s">
        <v>25</v>
      </c>
      <c r="O7">
        <v>1</v>
      </c>
      <c r="P7">
        <v>0.01</v>
      </c>
      <c r="Q7">
        <v>0.02</v>
      </c>
    </row>
    <row r="8" spans="1:17" x14ac:dyDescent="0.3">
      <c r="F8" t="s">
        <v>20</v>
      </c>
      <c r="G8" t="s">
        <v>13</v>
      </c>
      <c r="H8">
        <v>13</v>
      </c>
      <c r="I8">
        <v>0.13</v>
      </c>
      <c r="J8">
        <v>0.11518736420011121</v>
      </c>
      <c r="L8" t="s">
        <v>20</v>
      </c>
      <c r="M8" t="s">
        <v>12</v>
      </c>
      <c r="N8" t="s">
        <v>23</v>
      </c>
      <c r="O8">
        <v>7</v>
      </c>
      <c r="P8">
        <v>7.0000000000000007E-2</v>
      </c>
      <c r="Q8">
        <v>8.0843137199002019E-2</v>
      </c>
    </row>
    <row r="9" spans="1:17" x14ac:dyDescent="0.3">
      <c r="F9" t="s">
        <v>20</v>
      </c>
      <c r="G9" t="s">
        <v>14</v>
      </c>
      <c r="H9">
        <v>1</v>
      </c>
      <c r="I9">
        <v>0.01</v>
      </c>
      <c r="J9">
        <v>0.02</v>
      </c>
      <c r="L9" t="s">
        <v>20</v>
      </c>
      <c r="M9" t="s">
        <v>13</v>
      </c>
      <c r="N9" t="s">
        <v>23</v>
      </c>
      <c r="O9">
        <v>13</v>
      </c>
      <c r="P9">
        <v>0.13</v>
      </c>
      <c r="Q9">
        <v>0.11518736420011121</v>
      </c>
    </row>
    <row r="10" spans="1:17" x14ac:dyDescent="0.3">
      <c r="F10" t="s">
        <v>20</v>
      </c>
      <c r="G10" t="s">
        <v>15</v>
      </c>
      <c r="H10">
        <v>1</v>
      </c>
      <c r="I10">
        <v>0.01</v>
      </c>
      <c r="J10">
        <v>0.02</v>
      </c>
      <c r="L10" t="s">
        <v>20</v>
      </c>
      <c r="M10" t="s">
        <v>14</v>
      </c>
      <c r="N10" t="s">
        <v>23</v>
      </c>
      <c r="O10">
        <v>1</v>
      </c>
      <c r="P10">
        <v>0.01</v>
      </c>
      <c r="Q10">
        <v>0.02</v>
      </c>
    </row>
    <row r="11" spans="1:17" x14ac:dyDescent="0.3">
      <c r="F11" t="s">
        <v>20</v>
      </c>
      <c r="G11" t="s">
        <v>16</v>
      </c>
      <c r="H11">
        <v>30</v>
      </c>
      <c r="I11">
        <v>0.3</v>
      </c>
      <c r="J11">
        <v>0.1568636235841013</v>
      </c>
      <c r="L11" t="s">
        <v>20</v>
      </c>
      <c r="M11" t="s">
        <v>15</v>
      </c>
      <c r="N11" t="s">
        <v>23</v>
      </c>
      <c r="O11">
        <v>1</v>
      </c>
      <c r="P11">
        <v>0.01</v>
      </c>
      <c r="Q11">
        <v>0.02</v>
      </c>
    </row>
    <row r="12" spans="1:17" x14ac:dyDescent="0.3">
      <c r="F12" t="s">
        <v>20</v>
      </c>
      <c r="G12" t="s">
        <v>17</v>
      </c>
      <c r="H12">
        <v>1</v>
      </c>
      <c r="I12">
        <v>0.01</v>
      </c>
      <c r="J12">
        <v>0.02</v>
      </c>
      <c r="L12" t="s">
        <v>20</v>
      </c>
      <c r="M12" t="s">
        <v>16</v>
      </c>
      <c r="N12" t="s">
        <v>23</v>
      </c>
      <c r="O12">
        <v>26</v>
      </c>
      <c r="P12">
        <v>0.26</v>
      </c>
      <c r="Q12">
        <v>0.15210692952758731</v>
      </c>
    </row>
    <row r="13" spans="1:17" x14ac:dyDescent="0.3">
      <c r="F13" t="s">
        <v>20</v>
      </c>
      <c r="G13" t="s">
        <v>18</v>
      </c>
      <c r="H13">
        <v>1</v>
      </c>
      <c r="I13">
        <v>0.01</v>
      </c>
      <c r="J13">
        <v>0.02</v>
      </c>
      <c r="L13" t="s">
        <v>20</v>
      </c>
      <c r="M13" t="s">
        <v>16</v>
      </c>
      <c r="N13" t="s">
        <v>25</v>
      </c>
      <c r="O13">
        <v>4</v>
      </c>
      <c r="P13">
        <v>0.04</v>
      </c>
      <c r="Q13">
        <v>5.5917600346881501E-2</v>
      </c>
    </row>
    <row r="14" spans="1:17" x14ac:dyDescent="0.3">
      <c r="F14" t="s">
        <v>21</v>
      </c>
      <c r="G14" t="s">
        <v>4</v>
      </c>
      <c r="H14">
        <v>3</v>
      </c>
      <c r="I14">
        <v>0.03</v>
      </c>
      <c r="J14">
        <v>4.5686362358410129E-2</v>
      </c>
      <c r="L14" t="s">
        <v>20</v>
      </c>
      <c r="M14" t="s">
        <v>17</v>
      </c>
      <c r="N14" t="s">
        <v>25</v>
      </c>
      <c r="O14">
        <v>1</v>
      </c>
      <c r="P14">
        <v>0.01</v>
      </c>
      <c r="Q14">
        <v>0.02</v>
      </c>
    </row>
    <row r="15" spans="1:17" x14ac:dyDescent="0.3">
      <c r="F15" t="s">
        <v>21</v>
      </c>
      <c r="G15" t="s">
        <v>5</v>
      </c>
      <c r="H15">
        <v>13</v>
      </c>
      <c r="I15">
        <v>0.13</v>
      </c>
      <c r="J15">
        <v>0.11518736420011121</v>
      </c>
      <c r="L15" t="s">
        <v>20</v>
      </c>
      <c r="M15" t="s">
        <v>18</v>
      </c>
      <c r="N15" t="s">
        <v>25</v>
      </c>
      <c r="O15">
        <v>1</v>
      </c>
      <c r="P15">
        <v>0.01</v>
      </c>
      <c r="Q15">
        <v>0.02</v>
      </c>
    </row>
    <row r="16" spans="1:17" x14ac:dyDescent="0.3">
      <c r="F16" t="s">
        <v>21</v>
      </c>
      <c r="G16" t="s">
        <v>6</v>
      </c>
      <c r="H16">
        <v>1</v>
      </c>
      <c r="I16">
        <v>0.01</v>
      </c>
      <c r="J16">
        <v>0.02</v>
      </c>
      <c r="L16" t="s">
        <v>21</v>
      </c>
      <c r="M16" t="s">
        <v>4</v>
      </c>
      <c r="N16" t="s">
        <v>24</v>
      </c>
      <c r="O16">
        <v>3</v>
      </c>
      <c r="P16">
        <v>0.03</v>
      </c>
      <c r="Q16">
        <v>4.5686362358410129E-2</v>
      </c>
    </row>
    <row r="17" spans="1:17" x14ac:dyDescent="0.3">
      <c r="F17" t="s">
        <v>21</v>
      </c>
      <c r="G17" t="s">
        <v>7</v>
      </c>
      <c r="H17">
        <v>2</v>
      </c>
      <c r="I17">
        <v>0.02</v>
      </c>
      <c r="J17">
        <v>3.3979400086720367E-2</v>
      </c>
      <c r="L17" t="s">
        <v>21</v>
      </c>
      <c r="M17" t="s">
        <v>5</v>
      </c>
      <c r="N17" t="s">
        <v>23</v>
      </c>
      <c r="O17">
        <v>7</v>
      </c>
      <c r="P17">
        <v>7.0000000000000007E-2</v>
      </c>
      <c r="Q17">
        <v>8.0843137199002019E-2</v>
      </c>
    </row>
    <row r="18" spans="1:17" x14ac:dyDescent="0.3">
      <c r="F18" t="s">
        <v>21</v>
      </c>
      <c r="G18" t="s">
        <v>9</v>
      </c>
      <c r="H18">
        <v>1</v>
      </c>
      <c r="I18">
        <v>0.01</v>
      </c>
      <c r="J18">
        <v>0.02</v>
      </c>
      <c r="L18" t="s">
        <v>21</v>
      </c>
      <c r="M18" t="s">
        <v>5</v>
      </c>
      <c r="N18" t="s">
        <v>24</v>
      </c>
      <c r="O18">
        <v>6</v>
      </c>
      <c r="P18">
        <v>0.06</v>
      </c>
      <c r="Q18">
        <v>7.3310924976981384E-2</v>
      </c>
    </row>
    <row r="19" spans="1:17" x14ac:dyDescent="0.3">
      <c r="F19" t="s">
        <v>21</v>
      </c>
      <c r="G19" t="s">
        <v>10</v>
      </c>
      <c r="H19">
        <v>1</v>
      </c>
      <c r="I19">
        <v>0.01</v>
      </c>
      <c r="J19">
        <v>0.02</v>
      </c>
      <c r="L19" t="s">
        <v>21</v>
      </c>
      <c r="M19" t="s">
        <v>6</v>
      </c>
      <c r="N19" t="s">
        <v>23</v>
      </c>
      <c r="O19">
        <v>1</v>
      </c>
      <c r="P19">
        <v>0.01</v>
      </c>
      <c r="Q19">
        <v>0.02</v>
      </c>
    </row>
    <row r="20" spans="1:17" x14ac:dyDescent="0.3">
      <c r="A20" s="2" t="s">
        <v>26</v>
      </c>
      <c r="F20" t="s">
        <v>21</v>
      </c>
      <c r="G20" t="s">
        <v>11</v>
      </c>
      <c r="H20">
        <v>4</v>
      </c>
      <c r="I20">
        <v>0.04</v>
      </c>
      <c r="J20">
        <v>5.5917600346881501E-2</v>
      </c>
      <c r="L20" t="s">
        <v>21</v>
      </c>
      <c r="M20" t="s">
        <v>7</v>
      </c>
      <c r="N20" t="s">
        <v>23</v>
      </c>
      <c r="O20">
        <v>2</v>
      </c>
      <c r="P20">
        <v>0.02</v>
      </c>
      <c r="Q20">
        <v>3.3979400086720367E-2</v>
      </c>
    </row>
    <row r="21" spans="1:17" x14ac:dyDescent="0.3">
      <c r="A21" s="2" t="str">
        <f>_xlfn.CONCAT("Entropía total: ", SUM(D4, J23, Q28))</f>
        <v>Entropía total: 2.50963142384853</v>
      </c>
      <c r="F21" t="s">
        <v>21</v>
      </c>
      <c r="G21" t="s">
        <v>12</v>
      </c>
      <c r="H21">
        <v>6</v>
      </c>
      <c r="I21">
        <v>0.06</v>
      </c>
      <c r="J21">
        <v>7.3310924976981384E-2</v>
      </c>
      <c r="L21" t="s">
        <v>21</v>
      </c>
      <c r="M21" t="s">
        <v>9</v>
      </c>
      <c r="N21" t="s">
        <v>24</v>
      </c>
      <c r="O21">
        <v>1</v>
      </c>
      <c r="P21">
        <v>0.01</v>
      </c>
      <c r="Q21">
        <v>0.02</v>
      </c>
    </row>
    <row r="22" spans="1:17" x14ac:dyDescent="0.3">
      <c r="F22" t="s">
        <v>21</v>
      </c>
      <c r="G22" t="s">
        <v>18</v>
      </c>
      <c r="H22">
        <v>5</v>
      </c>
      <c r="I22">
        <v>0.05</v>
      </c>
      <c r="J22">
        <v>6.505149978319906E-2</v>
      </c>
      <c r="L22" t="s">
        <v>21</v>
      </c>
      <c r="M22" t="s">
        <v>10</v>
      </c>
      <c r="N22" t="s">
        <v>23</v>
      </c>
      <c r="O22">
        <v>1</v>
      </c>
      <c r="P22">
        <v>0.01</v>
      </c>
      <c r="Q22">
        <v>0.02</v>
      </c>
    </row>
    <row r="23" spans="1:17" x14ac:dyDescent="0.3">
      <c r="J23">
        <f>SUM(J2:J22)</f>
        <v>1.047379401539059</v>
      </c>
      <c r="L23" t="s">
        <v>21</v>
      </c>
      <c r="M23" t="s">
        <v>11</v>
      </c>
      <c r="N23" t="s">
        <v>24</v>
      </c>
      <c r="O23">
        <v>4</v>
      </c>
      <c r="P23">
        <v>0.04</v>
      </c>
      <c r="Q23">
        <v>5.5917600346881501E-2</v>
      </c>
    </row>
    <row r="24" spans="1:17" x14ac:dyDescent="0.3">
      <c r="L24" t="s">
        <v>21</v>
      </c>
      <c r="M24" t="s">
        <v>12</v>
      </c>
      <c r="N24" t="s">
        <v>23</v>
      </c>
      <c r="O24">
        <v>3</v>
      </c>
      <c r="P24">
        <v>0.03</v>
      </c>
      <c r="Q24">
        <v>4.5686362358410129E-2</v>
      </c>
    </row>
    <row r="25" spans="1:17" x14ac:dyDescent="0.3">
      <c r="L25" t="s">
        <v>21</v>
      </c>
      <c r="M25" t="s">
        <v>12</v>
      </c>
      <c r="N25" t="s">
        <v>24</v>
      </c>
      <c r="O25">
        <v>3</v>
      </c>
      <c r="P25">
        <v>0.03</v>
      </c>
      <c r="Q25">
        <v>4.5686362358410129E-2</v>
      </c>
    </row>
    <row r="26" spans="1:17" x14ac:dyDescent="0.3">
      <c r="L26" t="s">
        <v>21</v>
      </c>
      <c r="M26" t="s">
        <v>18</v>
      </c>
      <c r="N26" t="s">
        <v>23</v>
      </c>
      <c r="O26">
        <v>2</v>
      </c>
      <c r="P26">
        <v>0.02</v>
      </c>
      <c r="Q26">
        <v>3.3979400086720367E-2</v>
      </c>
    </row>
    <row r="27" spans="1:17" x14ac:dyDescent="0.3">
      <c r="L27" t="s">
        <v>21</v>
      </c>
      <c r="M27" t="s">
        <v>18</v>
      </c>
      <c r="N27" t="s">
        <v>24</v>
      </c>
      <c r="O27">
        <v>3</v>
      </c>
      <c r="P27">
        <v>0.03</v>
      </c>
      <c r="Q27">
        <v>4.5686362358410129E-2</v>
      </c>
    </row>
    <row r="28" spans="1:17" x14ac:dyDescent="0.3">
      <c r="Q28">
        <f>SUM(Q2:Q27)</f>
        <v>1.1784761059353792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"/>
  <sheetViews>
    <sheetView zoomScale="55" zoomScaleNormal="55" workbookViewId="0">
      <selection activeCell="F43" sqref="F43"/>
    </sheetView>
  </sheetViews>
  <sheetFormatPr baseColWidth="10" defaultColWidth="8.88671875" defaultRowHeight="14.4" x14ac:dyDescent="0.3"/>
  <cols>
    <col min="1" max="1" width="31.109375" bestFit="1" customWidth="1"/>
  </cols>
  <sheetData>
    <row r="1" spans="1:17" x14ac:dyDescent="0.3">
      <c r="A1" s="1" t="s">
        <v>19</v>
      </c>
      <c r="B1" s="1" t="s">
        <v>1</v>
      </c>
      <c r="C1" s="1" t="s">
        <v>2</v>
      </c>
      <c r="D1" s="1" t="s">
        <v>3</v>
      </c>
      <c r="F1" s="1" t="s">
        <v>19</v>
      </c>
      <c r="G1" s="1" t="s">
        <v>22</v>
      </c>
      <c r="H1" s="1" t="s">
        <v>1</v>
      </c>
      <c r="I1" s="1" t="s">
        <v>2</v>
      </c>
      <c r="J1" s="1" t="s">
        <v>3</v>
      </c>
      <c r="L1" s="1" t="s">
        <v>19</v>
      </c>
      <c r="M1" s="1" t="s">
        <v>22</v>
      </c>
      <c r="N1" s="1" t="s">
        <v>0</v>
      </c>
      <c r="O1" s="1" t="s">
        <v>1</v>
      </c>
      <c r="P1" s="1" t="s">
        <v>2</v>
      </c>
      <c r="Q1" s="1" t="s">
        <v>3</v>
      </c>
    </row>
    <row r="2" spans="1:17" x14ac:dyDescent="0.3">
      <c r="A2" t="s">
        <v>20</v>
      </c>
      <c r="B2">
        <v>64</v>
      </c>
      <c r="C2">
        <v>0.64</v>
      </c>
      <c r="D2">
        <v>0.1240448166503122</v>
      </c>
      <c r="F2" t="s">
        <v>20</v>
      </c>
      <c r="G2" t="s">
        <v>23</v>
      </c>
      <c r="H2">
        <v>55</v>
      </c>
      <c r="I2">
        <v>0.55000000000000004</v>
      </c>
      <c r="J2">
        <v>0.14280052077816591</v>
      </c>
      <c r="L2" t="s">
        <v>20</v>
      </c>
      <c r="M2" t="s">
        <v>23</v>
      </c>
      <c r="N2" t="s">
        <v>4</v>
      </c>
      <c r="O2">
        <v>1</v>
      </c>
      <c r="P2">
        <v>0.01</v>
      </c>
      <c r="Q2">
        <v>0.02</v>
      </c>
    </row>
    <row r="3" spans="1:17" x14ac:dyDescent="0.3">
      <c r="A3" t="s">
        <v>21</v>
      </c>
      <c r="B3">
        <v>36</v>
      </c>
      <c r="C3">
        <v>0.36</v>
      </c>
      <c r="D3">
        <v>0.15973109972377661</v>
      </c>
      <c r="F3" t="s">
        <v>20</v>
      </c>
      <c r="G3" t="s">
        <v>25</v>
      </c>
      <c r="H3">
        <v>9</v>
      </c>
      <c r="I3">
        <v>0.09</v>
      </c>
      <c r="J3">
        <v>9.4118174150460768E-2</v>
      </c>
      <c r="L3" t="s">
        <v>20</v>
      </c>
      <c r="M3" t="s">
        <v>23</v>
      </c>
      <c r="N3" t="s">
        <v>5</v>
      </c>
      <c r="O3">
        <v>1</v>
      </c>
      <c r="P3">
        <v>0.01</v>
      </c>
      <c r="Q3">
        <v>0.02</v>
      </c>
    </row>
    <row r="4" spans="1:17" x14ac:dyDescent="0.3">
      <c r="D4">
        <f>SUM(D2:D3)</f>
        <v>0.28377591637408883</v>
      </c>
      <c r="F4" t="s">
        <v>21</v>
      </c>
      <c r="G4" t="s">
        <v>23</v>
      </c>
      <c r="H4">
        <v>16</v>
      </c>
      <c r="I4">
        <v>0.16</v>
      </c>
      <c r="J4">
        <v>0.127340802775052</v>
      </c>
      <c r="L4" t="s">
        <v>20</v>
      </c>
      <c r="M4" t="s">
        <v>23</v>
      </c>
      <c r="N4" t="s">
        <v>7</v>
      </c>
      <c r="O4">
        <v>3</v>
      </c>
      <c r="P4">
        <v>0.03</v>
      </c>
      <c r="Q4">
        <v>4.5686362358410129E-2</v>
      </c>
    </row>
    <row r="5" spans="1:17" x14ac:dyDescent="0.3">
      <c r="F5" t="s">
        <v>21</v>
      </c>
      <c r="G5" t="s">
        <v>24</v>
      </c>
      <c r="H5">
        <v>20</v>
      </c>
      <c r="I5">
        <v>0.2</v>
      </c>
      <c r="J5">
        <v>0.13979400086720381</v>
      </c>
      <c r="L5" t="s">
        <v>20</v>
      </c>
      <c r="M5" t="s">
        <v>23</v>
      </c>
      <c r="N5" t="s">
        <v>8</v>
      </c>
      <c r="O5">
        <v>2</v>
      </c>
      <c r="P5">
        <v>0.02</v>
      </c>
      <c r="Q5">
        <v>3.3979400086720367E-2</v>
      </c>
    </row>
    <row r="6" spans="1:17" x14ac:dyDescent="0.3">
      <c r="J6">
        <f>SUM(J2:J5)</f>
        <v>0.50405349857088244</v>
      </c>
      <c r="L6" t="s">
        <v>20</v>
      </c>
      <c r="M6" t="s">
        <v>23</v>
      </c>
      <c r="N6" t="s">
        <v>12</v>
      </c>
      <c r="O6">
        <v>7</v>
      </c>
      <c r="P6">
        <v>7.0000000000000007E-2</v>
      </c>
      <c r="Q6">
        <v>8.0843137199002019E-2</v>
      </c>
    </row>
    <row r="7" spans="1:17" x14ac:dyDescent="0.3">
      <c r="L7" t="s">
        <v>20</v>
      </c>
      <c r="M7" t="s">
        <v>23</v>
      </c>
      <c r="N7" t="s">
        <v>13</v>
      </c>
      <c r="O7">
        <v>13</v>
      </c>
      <c r="P7">
        <v>0.13</v>
      </c>
      <c r="Q7">
        <v>0.11518736420011121</v>
      </c>
    </row>
    <row r="8" spans="1:17" x14ac:dyDescent="0.3">
      <c r="L8" t="s">
        <v>20</v>
      </c>
      <c r="M8" t="s">
        <v>23</v>
      </c>
      <c r="N8" t="s">
        <v>14</v>
      </c>
      <c r="O8">
        <v>1</v>
      </c>
      <c r="P8">
        <v>0.01</v>
      </c>
      <c r="Q8">
        <v>0.02</v>
      </c>
    </row>
    <row r="9" spans="1:17" x14ac:dyDescent="0.3">
      <c r="L9" t="s">
        <v>20</v>
      </c>
      <c r="M9" t="s">
        <v>23</v>
      </c>
      <c r="N9" t="s">
        <v>15</v>
      </c>
      <c r="O9">
        <v>1</v>
      </c>
      <c r="P9">
        <v>0.01</v>
      </c>
      <c r="Q9">
        <v>0.02</v>
      </c>
    </row>
    <row r="10" spans="1:17" x14ac:dyDescent="0.3">
      <c r="L10" t="s">
        <v>20</v>
      </c>
      <c r="M10" t="s">
        <v>23</v>
      </c>
      <c r="N10" t="s">
        <v>16</v>
      </c>
      <c r="O10">
        <v>26</v>
      </c>
      <c r="P10">
        <v>0.26</v>
      </c>
      <c r="Q10">
        <v>0.15210692952758731</v>
      </c>
    </row>
    <row r="11" spans="1:17" x14ac:dyDescent="0.3">
      <c r="L11" t="s">
        <v>20</v>
      </c>
      <c r="M11" t="s">
        <v>25</v>
      </c>
      <c r="N11" t="s">
        <v>5</v>
      </c>
      <c r="O11">
        <v>2</v>
      </c>
      <c r="P11">
        <v>0.02</v>
      </c>
      <c r="Q11">
        <v>3.3979400086720367E-2</v>
      </c>
    </row>
    <row r="12" spans="1:17" x14ac:dyDescent="0.3">
      <c r="L12" t="s">
        <v>20</v>
      </c>
      <c r="M12" t="s">
        <v>25</v>
      </c>
      <c r="N12" t="s">
        <v>9</v>
      </c>
      <c r="O12">
        <v>1</v>
      </c>
      <c r="P12">
        <v>0.01</v>
      </c>
      <c r="Q12">
        <v>0.02</v>
      </c>
    </row>
    <row r="13" spans="1:17" x14ac:dyDescent="0.3">
      <c r="L13" t="s">
        <v>20</v>
      </c>
      <c r="M13" t="s">
        <v>25</v>
      </c>
      <c r="N13" t="s">
        <v>16</v>
      </c>
      <c r="O13">
        <v>4</v>
      </c>
      <c r="P13">
        <v>0.04</v>
      </c>
      <c r="Q13">
        <v>5.5917600346881501E-2</v>
      </c>
    </row>
    <row r="14" spans="1:17" x14ac:dyDescent="0.3">
      <c r="L14" t="s">
        <v>20</v>
      </c>
      <c r="M14" t="s">
        <v>25</v>
      </c>
      <c r="N14" t="s">
        <v>17</v>
      </c>
      <c r="O14">
        <v>1</v>
      </c>
      <c r="P14">
        <v>0.01</v>
      </c>
      <c r="Q14">
        <v>0.02</v>
      </c>
    </row>
    <row r="15" spans="1:17" x14ac:dyDescent="0.3">
      <c r="L15" t="s">
        <v>20</v>
      </c>
      <c r="M15" t="s">
        <v>25</v>
      </c>
      <c r="N15" t="s">
        <v>18</v>
      </c>
      <c r="O15">
        <v>1</v>
      </c>
      <c r="P15">
        <v>0.01</v>
      </c>
      <c r="Q15">
        <v>0.02</v>
      </c>
    </row>
    <row r="16" spans="1:17" x14ac:dyDescent="0.3">
      <c r="L16" t="s">
        <v>21</v>
      </c>
      <c r="M16" t="s">
        <v>23</v>
      </c>
      <c r="N16" t="s">
        <v>5</v>
      </c>
      <c r="O16">
        <v>7</v>
      </c>
      <c r="P16">
        <v>7.0000000000000007E-2</v>
      </c>
      <c r="Q16">
        <v>8.0843137199002019E-2</v>
      </c>
    </row>
    <row r="17" spans="1:17" x14ac:dyDescent="0.3">
      <c r="L17" t="s">
        <v>21</v>
      </c>
      <c r="M17" t="s">
        <v>23</v>
      </c>
      <c r="N17" t="s">
        <v>6</v>
      </c>
      <c r="O17">
        <v>1</v>
      </c>
      <c r="P17">
        <v>0.01</v>
      </c>
      <c r="Q17">
        <v>0.02</v>
      </c>
    </row>
    <row r="18" spans="1:17" x14ac:dyDescent="0.3">
      <c r="L18" t="s">
        <v>21</v>
      </c>
      <c r="M18" t="s">
        <v>23</v>
      </c>
      <c r="N18" t="s">
        <v>7</v>
      </c>
      <c r="O18">
        <v>2</v>
      </c>
      <c r="P18">
        <v>0.02</v>
      </c>
      <c r="Q18">
        <v>3.3979400086720367E-2</v>
      </c>
    </row>
    <row r="19" spans="1:17" x14ac:dyDescent="0.3">
      <c r="L19" t="s">
        <v>21</v>
      </c>
      <c r="M19" t="s">
        <v>23</v>
      </c>
      <c r="N19" t="s">
        <v>10</v>
      </c>
      <c r="O19">
        <v>1</v>
      </c>
      <c r="P19">
        <v>0.01</v>
      </c>
      <c r="Q19">
        <v>0.02</v>
      </c>
    </row>
    <row r="20" spans="1:17" x14ac:dyDescent="0.3">
      <c r="A20" s="2" t="s">
        <v>28</v>
      </c>
      <c r="L20" t="s">
        <v>21</v>
      </c>
      <c r="M20" t="s">
        <v>23</v>
      </c>
      <c r="N20" t="s">
        <v>12</v>
      </c>
      <c r="O20">
        <v>3</v>
      </c>
      <c r="P20">
        <v>0.03</v>
      </c>
      <c r="Q20">
        <v>4.5686362358410129E-2</v>
      </c>
    </row>
    <row r="21" spans="1:17" x14ac:dyDescent="0.3">
      <c r="A21" s="2" t="str">
        <f>_xlfn.CONCAT("Entropía total: ", SUM(D4, J6, Q28))</f>
        <v>Entropía total: 1.96630552088035</v>
      </c>
      <c r="L21" t="s">
        <v>21</v>
      </c>
      <c r="M21" t="s">
        <v>23</v>
      </c>
      <c r="N21" t="s">
        <v>18</v>
      </c>
      <c r="O21">
        <v>2</v>
      </c>
      <c r="P21">
        <v>0.02</v>
      </c>
      <c r="Q21">
        <v>3.3979400086720367E-2</v>
      </c>
    </row>
    <row r="22" spans="1:17" x14ac:dyDescent="0.3">
      <c r="L22" t="s">
        <v>21</v>
      </c>
      <c r="M22" t="s">
        <v>24</v>
      </c>
      <c r="N22" t="s">
        <v>4</v>
      </c>
      <c r="O22">
        <v>3</v>
      </c>
      <c r="P22">
        <v>0.03</v>
      </c>
      <c r="Q22">
        <v>4.5686362358410129E-2</v>
      </c>
    </row>
    <row r="23" spans="1:17" x14ac:dyDescent="0.3">
      <c r="L23" t="s">
        <v>21</v>
      </c>
      <c r="M23" t="s">
        <v>24</v>
      </c>
      <c r="N23" t="s">
        <v>5</v>
      </c>
      <c r="O23">
        <v>6</v>
      </c>
      <c r="P23">
        <v>0.06</v>
      </c>
      <c r="Q23">
        <v>7.3310924976981384E-2</v>
      </c>
    </row>
    <row r="24" spans="1:17" x14ac:dyDescent="0.3">
      <c r="L24" t="s">
        <v>21</v>
      </c>
      <c r="M24" t="s">
        <v>24</v>
      </c>
      <c r="N24" t="s">
        <v>9</v>
      </c>
      <c r="O24">
        <v>1</v>
      </c>
      <c r="P24">
        <v>0.01</v>
      </c>
      <c r="Q24">
        <v>0.02</v>
      </c>
    </row>
    <row r="25" spans="1:17" x14ac:dyDescent="0.3">
      <c r="L25" t="s">
        <v>21</v>
      </c>
      <c r="M25" t="s">
        <v>24</v>
      </c>
      <c r="N25" t="s">
        <v>11</v>
      </c>
      <c r="O25">
        <v>4</v>
      </c>
      <c r="P25">
        <v>0.04</v>
      </c>
      <c r="Q25">
        <v>5.5917600346881501E-2</v>
      </c>
    </row>
    <row r="26" spans="1:17" x14ac:dyDescent="0.3">
      <c r="L26" t="s">
        <v>21</v>
      </c>
      <c r="M26" t="s">
        <v>24</v>
      </c>
      <c r="N26" t="s">
        <v>12</v>
      </c>
      <c r="O26">
        <v>3</v>
      </c>
      <c r="P26">
        <v>0.03</v>
      </c>
      <c r="Q26">
        <v>4.5686362358410129E-2</v>
      </c>
    </row>
    <row r="27" spans="1:17" x14ac:dyDescent="0.3">
      <c r="L27" t="s">
        <v>21</v>
      </c>
      <c r="M27" t="s">
        <v>24</v>
      </c>
      <c r="N27" t="s">
        <v>18</v>
      </c>
      <c r="O27">
        <v>3</v>
      </c>
      <c r="P27">
        <v>0.03</v>
      </c>
      <c r="Q27">
        <v>4.5686362358410129E-2</v>
      </c>
    </row>
    <row r="28" spans="1:17" x14ac:dyDescent="0.3">
      <c r="Q28">
        <f>SUM(Q2:Q27)</f>
        <v>1.1784761059353792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8"/>
  <sheetViews>
    <sheetView zoomScale="55" zoomScaleNormal="55" workbookViewId="0">
      <selection activeCell="Q28" sqref="A1:Q28"/>
    </sheetView>
  </sheetViews>
  <sheetFormatPr baseColWidth="10" defaultColWidth="8.88671875" defaultRowHeight="14.4" x14ac:dyDescent="0.3"/>
  <cols>
    <col min="1" max="1" width="50.6640625" bestFit="1" customWidth="1"/>
    <col min="2" max="2" width="8" bestFit="1" customWidth="1"/>
    <col min="3" max="3" width="7.21875" bestFit="1" customWidth="1"/>
    <col min="4" max="4" width="12" bestFit="1" customWidth="1"/>
    <col min="6" max="6" width="50.6640625" bestFit="1" customWidth="1"/>
    <col min="7" max="7" width="12.6640625" bestFit="1" customWidth="1"/>
    <col min="8" max="8" width="8" bestFit="1" customWidth="1"/>
    <col min="9" max="9" width="7.21875" bestFit="1" customWidth="1"/>
    <col min="10" max="10" width="12" bestFit="1" customWidth="1"/>
    <col min="12" max="14" width="10.5546875" customWidth="1"/>
    <col min="15" max="15" width="8" bestFit="1" customWidth="1"/>
    <col min="16" max="16" width="7.21875" bestFit="1" customWidth="1"/>
    <col min="17" max="17" width="12" bestFit="1" customWidth="1"/>
  </cols>
  <sheetData>
    <row r="1" spans="1:17" x14ac:dyDescent="0.3">
      <c r="A1" s="1" t="s">
        <v>22</v>
      </c>
      <c r="B1" s="1" t="s">
        <v>1</v>
      </c>
      <c r="C1" s="1" t="s">
        <v>2</v>
      </c>
      <c r="D1" s="1" t="s">
        <v>3</v>
      </c>
      <c r="F1" s="1" t="s">
        <v>22</v>
      </c>
      <c r="G1" s="1" t="s">
        <v>0</v>
      </c>
      <c r="H1" s="1" t="s">
        <v>1</v>
      </c>
      <c r="I1" s="1" t="s">
        <v>2</v>
      </c>
      <c r="J1" s="1" t="s">
        <v>3</v>
      </c>
      <c r="L1" s="1" t="s">
        <v>22</v>
      </c>
      <c r="M1" s="1" t="s">
        <v>0</v>
      </c>
      <c r="N1" s="1" t="s">
        <v>19</v>
      </c>
      <c r="O1" s="1" t="s">
        <v>1</v>
      </c>
      <c r="P1" s="1" t="s">
        <v>2</v>
      </c>
      <c r="Q1" s="1" t="s">
        <v>3</v>
      </c>
    </row>
    <row r="2" spans="1:17" x14ac:dyDescent="0.3">
      <c r="A2" t="s">
        <v>23</v>
      </c>
      <c r="B2">
        <v>71</v>
      </c>
      <c r="C2">
        <v>0.71</v>
      </c>
      <c r="D2">
        <v>0.10560657240945651</v>
      </c>
      <c r="F2" t="s">
        <v>23</v>
      </c>
      <c r="G2" t="s">
        <v>4</v>
      </c>
      <c r="H2">
        <v>1</v>
      </c>
      <c r="I2">
        <v>0.01</v>
      </c>
      <c r="J2">
        <v>0.02</v>
      </c>
      <c r="L2" t="s">
        <v>23</v>
      </c>
      <c r="M2" t="s">
        <v>4</v>
      </c>
      <c r="N2" t="s">
        <v>20</v>
      </c>
      <c r="O2">
        <v>1</v>
      </c>
      <c r="P2">
        <v>0.01</v>
      </c>
      <c r="Q2">
        <v>0.02</v>
      </c>
    </row>
    <row r="3" spans="1:17" x14ac:dyDescent="0.3">
      <c r="A3" t="s">
        <v>25</v>
      </c>
      <c r="B3">
        <v>9</v>
      </c>
      <c r="C3">
        <v>0.09</v>
      </c>
      <c r="D3">
        <v>9.4118174150460768E-2</v>
      </c>
      <c r="F3" t="s">
        <v>23</v>
      </c>
      <c r="G3" t="s">
        <v>5</v>
      </c>
      <c r="H3">
        <v>8</v>
      </c>
      <c r="I3">
        <v>0.08</v>
      </c>
      <c r="J3">
        <v>8.7752801040644521E-2</v>
      </c>
      <c r="L3" t="s">
        <v>23</v>
      </c>
      <c r="M3" t="s">
        <v>5</v>
      </c>
      <c r="N3" t="s">
        <v>20</v>
      </c>
      <c r="O3">
        <v>1</v>
      </c>
      <c r="P3">
        <v>0.01</v>
      </c>
      <c r="Q3">
        <v>0.02</v>
      </c>
    </row>
    <row r="4" spans="1:17" x14ac:dyDescent="0.3">
      <c r="A4" t="s">
        <v>24</v>
      </c>
      <c r="B4">
        <v>20</v>
      </c>
      <c r="C4">
        <v>0.2</v>
      </c>
      <c r="D4">
        <v>0.13979400086720381</v>
      </c>
      <c r="F4" t="s">
        <v>23</v>
      </c>
      <c r="G4" t="s">
        <v>6</v>
      </c>
      <c r="H4">
        <v>1</v>
      </c>
      <c r="I4">
        <v>0.01</v>
      </c>
      <c r="J4">
        <v>0.02</v>
      </c>
      <c r="L4" t="s">
        <v>23</v>
      </c>
      <c r="M4" t="s">
        <v>5</v>
      </c>
      <c r="N4" t="s">
        <v>21</v>
      </c>
      <c r="O4">
        <v>7</v>
      </c>
      <c r="P4">
        <v>7.0000000000000007E-2</v>
      </c>
      <c r="Q4">
        <v>8.0843137199002019E-2</v>
      </c>
    </row>
    <row r="5" spans="1:17" x14ac:dyDescent="0.3">
      <c r="D5">
        <f>SUM(D2:D4)</f>
        <v>0.33951874742712107</v>
      </c>
      <c r="F5" t="s">
        <v>23</v>
      </c>
      <c r="G5" t="s">
        <v>7</v>
      </c>
      <c r="H5">
        <v>5</v>
      </c>
      <c r="I5">
        <v>0.05</v>
      </c>
      <c r="J5">
        <v>6.505149978319906E-2</v>
      </c>
      <c r="L5" t="s">
        <v>23</v>
      </c>
      <c r="M5" t="s">
        <v>6</v>
      </c>
      <c r="N5" t="s">
        <v>21</v>
      </c>
      <c r="O5">
        <v>1</v>
      </c>
      <c r="P5">
        <v>0.01</v>
      </c>
      <c r="Q5">
        <v>0.02</v>
      </c>
    </row>
    <row r="6" spans="1:17" x14ac:dyDescent="0.3">
      <c r="F6" t="s">
        <v>23</v>
      </c>
      <c r="G6" t="s">
        <v>8</v>
      </c>
      <c r="H6">
        <v>2</v>
      </c>
      <c r="I6">
        <v>0.02</v>
      </c>
      <c r="J6">
        <v>3.3979400086720367E-2</v>
      </c>
      <c r="L6" t="s">
        <v>23</v>
      </c>
      <c r="M6" t="s">
        <v>7</v>
      </c>
      <c r="N6" t="s">
        <v>20</v>
      </c>
      <c r="O6">
        <v>3</v>
      </c>
      <c r="P6">
        <v>0.03</v>
      </c>
      <c r="Q6">
        <v>4.5686362358410129E-2</v>
      </c>
    </row>
    <row r="7" spans="1:17" x14ac:dyDescent="0.3">
      <c r="F7" t="s">
        <v>23</v>
      </c>
      <c r="G7" t="s">
        <v>10</v>
      </c>
      <c r="H7">
        <v>1</v>
      </c>
      <c r="I7">
        <v>0.01</v>
      </c>
      <c r="J7">
        <v>0.02</v>
      </c>
      <c r="L7" t="s">
        <v>23</v>
      </c>
      <c r="M7" t="s">
        <v>7</v>
      </c>
      <c r="N7" t="s">
        <v>21</v>
      </c>
      <c r="O7">
        <v>2</v>
      </c>
      <c r="P7">
        <v>0.02</v>
      </c>
      <c r="Q7">
        <v>3.3979400086720367E-2</v>
      </c>
    </row>
    <row r="8" spans="1:17" x14ac:dyDescent="0.3">
      <c r="F8" t="s">
        <v>23</v>
      </c>
      <c r="G8" t="s">
        <v>12</v>
      </c>
      <c r="H8">
        <v>10</v>
      </c>
      <c r="I8">
        <v>0.1</v>
      </c>
      <c r="J8">
        <v>0.1</v>
      </c>
      <c r="L8" t="s">
        <v>23</v>
      </c>
      <c r="M8" t="s">
        <v>8</v>
      </c>
      <c r="N8" t="s">
        <v>20</v>
      </c>
      <c r="O8">
        <v>2</v>
      </c>
      <c r="P8">
        <v>0.02</v>
      </c>
      <c r="Q8">
        <v>3.3979400086720367E-2</v>
      </c>
    </row>
    <row r="9" spans="1:17" x14ac:dyDescent="0.3">
      <c r="F9" t="s">
        <v>23</v>
      </c>
      <c r="G9" t="s">
        <v>13</v>
      </c>
      <c r="H9">
        <v>13</v>
      </c>
      <c r="I9">
        <v>0.13</v>
      </c>
      <c r="J9">
        <v>0.11518736420011121</v>
      </c>
      <c r="L9" t="s">
        <v>23</v>
      </c>
      <c r="M9" t="s">
        <v>10</v>
      </c>
      <c r="N9" t="s">
        <v>21</v>
      </c>
      <c r="O9">
        <v>1</v>
      </c>
      <c r="P9">
        <v>0.01</v>
      </c>
      <c r="Q9">
        <v>0.02</v>
      </c>
    </row>
    <row r="10" spans="1:17" x14ac:dyDescent="0.3">
      <c r="F10" t="s">
        <v>23</v>
      </c>
      <c r="G10" t="s">
        <v>14</v>
      </c>
      <c r="H10">
        <v>1</v>
      </c>
      <c r="I10">
        <v>0.01</v>
      </c>
      <c r="J10">
        <v>0.02</v>
      </c>
      <c r="L10" t="s">
        <v>23</v>
      </c>
      <c r="M10" t="s">
        <v>12</v>
      </c>
      <c r="N10" t="s">
        <v>20</v>
      </c>
      <c r="O10">
        <v>7</v>
      </c>
      <c r="P10">
        <v>7.0000000000000007E-2</v>
      </c>
      <c r="Q10">
        <v>8.0843137199002019E-2</v>
      </c>
    </row>
    <row r="11" spans="1:17" x14ac:dyDescent="0.3">
      <c r="F11" t="s">
        <v>23</v>
      </c>
      <c r="G11" t="s">
        <v>15</v>
      </c>
      <c r="H11">
        <v>1</v>
      </c>
      <c r="I11">
        <v>0.01</v>
      </c>
      <c r="J11">
        <v>0.02</v>
      </c>
      <c r="L11" t="s">
        <v>23</v>
      </c>
      <c r="M11" t="s">
        <v>12</v>
      </c>
      <c r="N11" t="s">
        <v>21</v>
      </c>
      <c r="O11">
        <v>3</v>
      </c>
      <c r="P11">
        <v>0.03</v>
      </c>
      <c r="Q11">
        <v>4.5686362358410129E-2</v>
      </c>
    </row>
    <row r="12" spans="1:17" x14ac:dyDescent="0.3">
      <c r="F12" t="s">
        <v>23</v>
      </c>
      <c r="G12" t="s">
        <v>16</v>
      </c>
      <c r="H12">
        <v>26</v>
      </c>
      <c r="I12">
        <v>0.26</v>
      </c>
      <c r="J12">
        <v>0.15210692952758731</v>
      </c>
      <c r="L12" t="s">
        <v>23</v>
      </c>
      <c r="M12" t="s">
        <v>13</v>
      </c>
      <c r="N12" t="s">
        <v>20</v>
      </c>
      <c r="O12">
        <v>13</v>
      </c>
      <c r="P12">
        <v>0.13</v>
      </c>
      <c r="Q12">
        <v>0.11518736420011121</v>
      </c>
    </row>
    <row r="13" spans="1:17" x14ac:dyDescent="0.3">
      <c r="F13" t="s">
        <v>23</v>
      </c>
      <c r="G13" t="s">
        <v>18</v>
      </c>
      <c r="H13">
        <v>2</v>
      </c>
      <c r="I13">
        <v>0.02</v>
      </c>
      <c r="J13">
        <v>3.3979400086720367E-2</v>
      </c>
      <c r="L13" t="s">
        <v>23</v>
      </c>
      <c r="M13" t="s">
        <v>14</v>
      </c>
      <c r="N13" t="s">
        <v>20</v>
      </c>
      <c r="O13">
        <v>1</v>
      </c>
      <c r="P13">
        <v>0.01</v>
      </c>
      <c r="Q13">
        <v>0.02</v>
      </c>
    </row>
    <row r="14" spans="1:17" x14ac:dyDescent="0.3">
      <c r="F14" t="s">
        <v>25</v>
      </c>
      <c r="G14" t="s">
        <v>5</v>
      </c>
      <c r="H14">
        <v>2</v>
      </c>
      <c r="I14">
        <v>0.02</v>
      </c>
      <c r="J14">
        <v>3.3979400086720367E-2</v>
      </c>
      <c r="L14" t="s">
        <v>23</v>
      </c>
      <c r="M14" t="s">
        <v>15</v>
      </c>
      <c r="N14" t="s">
        <v>20</v>
      </c>
      <c r="O14">
        <v>1</v>
      </c>
      <c r="P14">
        <v>0.01</v>
      </c>
      <c r="Q14">
        <v>0.02</v>
      </c>
    </row>
    <row r="15" spans="1:17" x14ac:dyDescent="0.3">
      <c r="F15" t="s">
        <v>25</v>
      </c>
      <c r="G15" t="s">
        <v>9</v>
      </c>
      <c r="H15">
        <v>1</v>
      </c>
      <c r="I15">
        <v>0.01</v>
      </c>
      <c r="J15">
        <v>0.02</v>
      </c>
      <c r="L15" t="s">
        <v>23</v>
      </c>
      <c r="M15" t="s">
        <v>16</v>
      </c>
      <c r="N15" t="s">
        <v>20</v>
      </c>
      <c r="O15">
        <v>26</v>
      </c>
      <c r="P15">
        <v>0.26</v>
      </c>
      <c r="Q15">
        <v>0.15210692952758731</v>
      </c>
    </row>
    <row r="16" spans="1:17" x14ac:dyDescent="0.3">
      <c r="F16" t="s">
        <v>25</v>
      </c>
      <c r="G16" t="s">
        <v>16</v>
      </c>
      <c r="H16">
        <v>4</v>
      </c>
      <c r="I16">
        <v>0.04</v>
      </c>
      <c r="J16">
        <v>5.5917600346881501E-2</v>
      </c>
      <c r="L16" t="s">
        <v>23</v>
      </c>
      <c r="M16" t="s">
        <v>18</v>
      </c>
      <c r="N16" t="s">
        <v>21</v>
      </c>
      <c r="O16">
        <v>2</v>
      </c>
      <c r="P16">
        <v>0.02</v>
      </c>
      <c r="Q16">
        <v>3.3979400086720367E-2</v>
      </c>
    </row>
    <row r="17" spans="1:17" x14ac:dyDescent="0.3">
      <c r="F17" t="s">
        <v>25</v>
      </c>
      <c r="G17" t="s">
        <v>17</v>
      </c>
      <c r="H17">
        <v>1</v>
      </c>
      <c r="I17">
        <v>0.01</v>
      </c>
      <c r="J17">
        <v>0.02</v>
      </c>
      <c r="L17" t="s">
        <v>25</v>
      </c>
      <c r="M17" t="s">
        <v>5</v>
      </c>
      <c r="N17" t="s">
        <v>20</v>
      </c>
      <c r="O17">
        <v>2</v>
      </c>
      <c r="P17">
        <v>0.02</v>
      </c>
      <c r="Q17">
        <v>3.3979400086720367E-2</v>
      </c>
    </row>
    <row r="18" spans="1:17" x14ac:dyDescent="0.3">
      <c r="F18" t="s">
        <v>25</v>
      </c>
      <c r="G18" t="s">
        <v>18</v>
      </c>
      <c r="H18">
        <v>1</v>
      </c>
      <c r="I18">
        <v>0.01</v>
      </c>
      <c r="J18">
        <v>0.02</v>
      </c>
      <c r="L18" t="s">
        <v>25</v>
      </c>
      <c r="M18" t="s">
        <v>9</v>
      </c>
      <c r="N18" t="s">
        <v>20</v>
      </c>
      <c r="O18">
        <v>1</v>
      </c>
      <c r="P18">
        <v>0.01</v>
      </c>
      <c r="Q18">
        <v>0.02</v>
      </c>
    </row>
    <row r="19" spans="1:17" x14ac:dyDescent="0.3">
      <c r="F19" t="s">
        <v>24</v>
      </c>
      <c r="G19" t="s">
        <v>4</v>
      </c>
      <c r="H19">
        <v>3</v>
      </c>
      <c r="I19">
        <v>0.03</v>
      </c>
      <c r="J19">
        <v>4.5686362358410129E-2</v>
      </c>
      <c r="L19" t="s">
        <v>25</v>
      </c>
      <c r="M19" t="s">
        <v>16</v>
      </c>
      <c r="N19" t="s">
        <v>20</v>
      </c>
      <c r="O19">
        <v>4</v>
      </c>
      <c r="P19">
        <v>0.04</v>
      </c>
      <c r="Q19">
        <v>5.5917600346881501E-2</v>
      </c>
    </row>
    <row r="20" spans="1:17" x14ac:dyDescent="0.3">
      <c r="A20" s="2" t="s">
        <v>29</v>
      </c>
      <c r="F20" t="s">
        <v>24</v>
      </c>
      <c r="G20" t="s">
        <v>5</v>
      </c>
      <c r="H20">
        <v>6</v>
      </c>
      <c r="I20">
        <v>0.06</v>
      </c>
      <c r="J20">
        <v>7.3310924976981384E-2</v>
      </c>
      <c r="L20" t="s">
        <v>25</v>
      </c>
      <c r="M20" t="s">
        <v>17</v>
      </c>
      <c r="N20" t="s">
        <v>20</v>
      </c>
      <c r="O20">
        <v>1</v>
      </c>
      <c r="P20">
        <v>0.01</v>
      </c>
      <c r="Q20">
        <v>0.02</v>
      </c>
    </row>
    <row r="21" spans="1:17" x14ac:dyDescent="0.3">
      <c r="A21" s="2" t="str">
        <f>_xlfn.CONCAT("Entropía total: ", SUM(D5, J25, Q28))</f>
        <v>Entropía total: 2.64223686092018</v>
      </c>
      <c r="F21" t="s">
        <v>24</v>
      </c>
      <c r="G21" t="s">
        <v>9</v>
      </c>
      <c r="H21">
        <v>1</v>
      </c>
      <c r="I21">
        <v>0.01</v>
      </c>
      <c r="J21">
        <v>0.02</v>
      </c>
      <c r="L21" t="s">
        <v>25</v>
      </c>
      <c r="M21" t="s">
        <v>18</v>
      </c>
      <c r="N21" t="s">
        <v>20</v>
      </c>
      <c r="O21">
        <v>1</v>
      </c>
      <c r="P21">
        <v>0.01</v>
      </c>
      <c r="Q21">
        <v>0.02</v>
      </c>
    </row>
    <row r="22" spans="1:17" x14ac:dyDescent="0.3">
      <c r="F22" t="s">
        <v>24</v>
      </c>
      <c r="G22" t="s">
        <v>11</v>
      </c>
      <c r="H22">
        <v>4</v>
      </c>
      <c r="I22">
        <v>0.04</v>
      </c>
      <c r="J22">
        <v>5.5917600346881501E-2</v>
      </c>
      <c r="L22" t="s">
        <v>24</v>
      </c>
      <c r="M22" t="s">
        <v>4</v>
      </c>
      <c r="N22" t="s">
        <v>21</v>
      </c>
      <c r="O22">
        <v>3</v>
      </c>
      <c r="P22">
        <v>0.03</v>
      </c>
      <c r="Q22">
        <v>4.5686362358410129E-2</v>
      </c>
    </row>
    <row r="23" spans="1:17" x14ac:dyDescent="0.3">
      <c r="F23" t="s">
        <v>24</v>
      </c>
      <c r="G23" t="s">
        <v>12</v>
      </c>
      <c r="H23">
        <v>3</v>
      </c>
      <c r="I23">
        <v>0.03</v>
      </c>
      <c r="J23">
        <v>4.5686362358410129E-2</v>
      </c>
      <c r="L23" t="s">
        <v>24</v>
      </c>
      <c r="M23" t="s">
        <v>5</v>
      </c>
      <c r="N23" t="s">
        <v>21</v>
      </c>
      <c r="O23">
        <v>6</v>
      </c>
      <c r="P23">
        <v>0.06</v>
      </c>
      <c r="Q23">
        <v>7.3310924976981384E-2</v>
      </c>
    </row>
    <row r="24" spans="1:17" x14ac:dyDescent="0.3">
      <c r="F24" t="s">
        <v>24</v>
      </c>
      <c r="G24" t="s">
        <v>18</v>
      </c>
      <c r="H24">
        <v>3</v>
      </c>
      <c r="I24">
        <v>0.03</v>
      </c>
      <c r="J24">
        <v>4.5686362358410129E-2</v>
      </c>
      <c r="L24" t="s">
        <v>24</v>
      </c>
      <c r="M24" t="s">
        <v>9</v>
      </c>
      <c r="N24" t="s">
        <v>21</v>
      </c>
      <c r="O24">
        <v>1</v>
      </c>
      <c r="P24">
        <v>0.01</v>
      </c>
      <c r="Q24">
        <v>0.02</v>
      </c>
    </row>
    <row r="25" spans="1:17" x14ac:dyDescent="0.3">
      <c r="J25">
        <f>SUM(J2:J24)</f>
        <v>1.1242420075576782</v>
      </c>
      <c r="L25" t="s">
        <v>24</v>
      </c>
      <c r="M25" t="s">
        <v>11</v>
      </c>
      <c r="N25" t="s">
        <v>21</v>
      </c>
      <c r="O25">
        <v>4</v>
      </c>
      <c r="P25">
        <v>0.04</v>
      </c>
      <c r="Q25">
        <v>5.5917600346881501E-2</v>
      </c>
    </row>
    <row r="26" spans="1:17" x14ac:dyDescent="0.3">
      <c r="L26" t="s">
        <v>24</v>
      </c>
      <c r="M26" t="s">
        <v>12</v>
      </c>
      <c r="N26" t="s">
        <v>21</v>
      </c>
      <c r="O26">
        <v>3</v>
      </c>
      <c r="P26">
        <v>0.03</v>
      </c>
      <c r="Q26">
        <v>4.5686362358410129E-2</v>
      </c>
    </row>
    <row r="27" spans="1:17" x14ac:dyDescent="0.3">
      <c r="L27" t="s">
        <v>24</v>
      </c>
      <c r="M27" t="s">
        <v>18</v>
      </c>
      <c r="N27" t="s">
        <v>21</v>
      </c>
      <c r="O27">
        <v>3</v>
      </c>
      <c r="P27">
        <v>0.03</v>
      </c>
      <c r="Q27">
        <v>4.5686362358410129E-2</v>
      </c>
    </row>
    <row r="28" spans="1:17" x14ac:dyDescent="0.3">
      <c r="Q28">
        <f>SUM(Q2:Q27)</f>
        <v>1.1784761059353792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8"/>
  <sheetViews>
    <sheetView tabSelected="1" zoomScale="55" zoomScaleNormal="55" workbookViewId="0">
      <selection activeCell="Q28" sqref="A1:Q28"/>
    </sheetView>
  </sheetViews>
  <sheetFormatPr baseColWidth="10" defaultColWidth="8.88671875" defaultRowHeight="14.4" x14ac:dyDescent="0.3"/>
  <cols>
    <col min="1" max="1" width="30.44140625" customWidth="1"/>
  </cols>
  <sheetData>
    <row r="1" spans="1:17" x14ac:dyDescent="0.3">
      <c r="A1" s="1" t="s">
        <v>22</v>
      </c>
      <c r="B1" s="1" t="s">
        <v>1</v>
      </c>
      <c r="C1" s="1" t="s">
        <v>2</v>
      </c>
      <c r="D1" s="1" t="s">
        <v>3</v>
      </c>
      <c r="F1" s="1" t="s">
        <v>22</v>
      </c>
      <c r="G1" s="1" t="s">
        <v>19</v>
      </c>
      <c r="H1" s="1" t="s">
        <v>1</v>
      </c>
      <c r="I1" s="1" t="s">
        <v>2</v>
      </c>
      <c r="J1" s="1" t="s">
        <v>3</v>
      </c>
      <c r="L1" s="1" t="s">
        <v>22</v>
      </c>
      <c r="M1" s="1" t="s">
        <v>19</v>
      </c>
      <c r="N1" s="1" t="s">
        <v>0</v>
      </c>
      <c r="O1" s="1" t="s">
        <v>1</v>
      </c>
      <c r="P1" s="1" t="s">
        <v>2</v>
      </c>
      <c r="Q1" s="1" t="s">
        <v>3</v>
      </c>
    </row>
    <row r="2" spans="1:17" x14ac:dyDescent="0.3">
      <c r="A2" t="s">
        <v>23</v>
      </c>
      <c r="B2">
        <v>71</v>
      </c>
      <c r="C2">
        <v>0.71</v>
      </c>
      <c r="D2">
        <v>0.10560657240945651</v>
      </c>
      <c r="F2" t="s">
        <v>23</v>
      </c>
      <c r="G2" t="s">
        <v>20</v>
      </c>
      <c r="H2">
        <v>55</v>
      </c>
      <c r="I2">
        <v>0.55000000000000004</v>
      </c>
      <c r="J2">
        <v>0.14280052077816591</v>
      </c>
      <c r="L2" t="s">
        <v>23</v>
      </c>
      <c r="M2" t="s">
        <v>20</v>
      </c>
      <c r="N2" t="s">
        <v>4</v>
      </c>
      <c r="O2">
        <v>1</v>
      </c>
      <c r="P2">
        <v>0.01</v>
      </c>
      <c r="Q2">
        <v>0.02</v>
      </c>
    </row>
    <row r="3" spans="1:17" x14ac:dyDescent="0.3">
      <c r="A3" t="s">
        <v>25</v>
      </c>
      <c r="B3">
        <v>9</v>
      </c>
      <c r="C3">
        <v>0.09</v>
      </c>
      <c r="D3">
        <v>9.4118174150460768E-2</v>
      </c>
      <c r="F3" t="s">
        <v>23</v>
      </c>
      <c r="G3" t="s">
        <v>21</v>
      </c>
      <c r="H3">
        <v>16</v>
      </c>
      <c r="I3">
        <v>0.16</v>
      </c>
      <c r="J3">
        <v>0.127340802775052</v>
      </c>
      <c r="L3" t="s">
        <v>23</v>
      </c>
      <c r="M3" t="s">
        <v>20</v>
      </c>
      <c r="N3" t="s">
        <v>5</v>
      </c>
      <c r="O3">
        <v>1</v>
      </c>
      <c r="P3">
        <v>0.01</v>
      </c>
      <c r="Q3">
        <v>0.02</v>
      </c>
    </row>
    <row r="4" spans="1:17" x14ac:dyDescent="0.3">
      <c r="A4" t="s">
        <v>24</v>
      </c>
      <c r="B4">
        <v>20</v>
      </c>
      <c r="C4">
        <v>0.2</v>
      </c>
      <c r="D4">
        <v>0.13979400086720381</v>
      </c>
      <c r="F4" t="s">
        <v>25</v>
      </c>
      <c r="G4" t="s">
        <v>20</v>
      </c>
      <c r="H4">
        <v>9</v>
      </c>
      <c r="I4">
        <v>0.09</v>
      </c>
      <c r="J4">
        <v>9.4118174150460768E-2</v>
      </c>
      <c r="L4" t="s">
        <v>23</v>
      </c>
      <c r="M4" t="s">
        <v>20</v>
      </c>
      <c r="N4" t="s">
        <v>7</v>
      </c>
      <c r="O4">
        <v>3</v>
      </c>
      <c r="P4">
        <v>0.03</v>
      </c>
      <c r="Q4">
        <v>4.5686362358410129E-2</v>
      </c>
    </row>
    <row r="5" spans="1:17" x14ac:dyDescent="0.3">
      <c r="D5">
        <f>SUM(D2:D4)</f>
        <v>0.33951874742712107</v>
      </c>
      <c r="F5" t="s">
        <v>24</v>
      </c>
      <c r="G5" t="s">
        <v>21</v>
      </c>
      <c r="H5">
        <v>20</v>
      </c>
      <c r="I5">
        <v>0.2</v>
      </c>
      <c r="J5">
        <v>0.13979400086720381</v>
      </c>
      <c r="L5" t="s">
        <v>23</v>
      </c>
      <c r="M5" t="s">
        <v>20</v>
      </c>
      <c r="N5" t="s">
        <v>8</v>
      </c>
      <c r="O5">
        <v>2</v>
      </c>
      <c r="P5">
        <v>0.02</v>
      </c>
      <c r="Q5">
        <v>3.3979400086720367E-2</v>
      </c>
    </row>
    <row r="6" spans="1:17" x14ac:dyDescent="0.3">
      <c r="J6">
        <f>SUM(J2:J5)</f>
        <v>0.50405349857088244</v>
      </c>
      <c r="L6" t="s">
        <v>23</v>
      </c>
      <c r="M6" t="s">
        <v>20</v>
      </c>
      <c r="N6" t="s">
        <v>12</v>
      </c>
      <c r="O6">
        <v>7</v>
      </c>
      <c r="P6">
        <v>7.0000000000000007E-2</v>
      </c>
      <c r="Q6">
        <v>8.0843137199002019E-2</v>
      </c>
    </row>
    <row r="7" spans="1:17" x14ac:dyDescent="0.3">
      <c r="L7" t="s">
        <v>23</v>
      </c>
      <c r="M7" t="s">
        <v>20</v>
      </c>
      <c r="N7" t="s">
        <v>13</v>
      </c>
      <c r="O7">
        <v>13</v>
      </c>
      <c r="P7">
        <v>0.13</v>
      </c>
      <c r="Q7">
        <v>0.11518736420011121</v>
      </c>
    </row>
    <row r="8" spans="1:17" x14ac:dyDescent="0.3">
      <c r="L8" t="s">
        <v>23</v>
      </c>
      <c r="M8" t="s">
        <v>20</v>
      </c>
      <c r="N8" t="s">
        <v>14</v>
      </c>
      <c r="O8">
        <v>1</v>
      </c>
      <c r="P8">
        <v>0.01</v>
      </c>
      <c r="Q8">
        <v>0.02</v>
      </c>
    </row>
    <row r="9" spans="1:17" x14ac:dyDescent="0.3">
      <c r="L9" t="s">
        <v>23</v>
      </c>
      <c r="M9" t="s">
        <v>20</v>
      </c>
      <c r="N9" t="s">
        <v>15</v>
      </c>
      <c r="O9">
        <v>1</v>
      </c>
      <c r="P9">
        <v>0.01</v>
      </c>
      <c r="Q9">
        <v>0.02</v>
      </c>
    </row>
    <row r="10" spans="1:17" x14ac:dyDescent="0.3">
      <c r="L10" t="s">
        <v>23</v>
      </c>
      <c r="M10" t="s">
        <v>20</v>
      </c>
      <c r="N10" t="s">
        <v>16</v>
      </c>
      <c r="O10">
        <v>26</v>
      </c>
      <c r="P10">
        <v>0.26</v>
      </c>
      <c r="Q10">
        <v>0.15210692952758731</v>
      </c>
    </row>
    <row r="11" spans="1:17" x14ac:dyDescent="0.3">
      <c r="L11" t="s">
        <v>23</v>
      </c>
      <c r="M11" t="s">
        <v>21</v>
      </c>
      <c r="N11" t="s">
        <v>5</v>
      </c>
      <c r="O11">
        <v>7</v>
      </c>
      <c r="P11">
        <v>7.0000000000000007E-2</v>
      </c>
      <c r="Q11">
        <v>8.0843137199002019E-2</v>
      </c>
    </row>
    <row r="12" spans="1:17" x14ac:dyDescent="0.3">
      <c r="L12" t="s">
        <v>23</v>
      </c>
      <c r="M12" t="s">
        <v>21</v>
      </c>
      <c r="N12" t="s">
        <v>6</v>
      </c>
      <c r="O12">
        <v>1</v>
      </c>
      <c r="P12">
        <v>0.01</v>
      </c>
      <c r="Q12">
        <v>0.02</v>
      </c>
    </row>
    <row r="13" spans="1:17" x14ac:dyDescent="0.3">
      <c r="L13" t="s">
        <v>23</v>
      </c>
      <c r="M13" t="s">
        <v>21</v>
      </c>
      <c r="N13" t="s">
        <v>7</v>
      </c>
      <c r="O13">
        <v>2</v>
      </c>
      <c r="P13">
        <v>0.02</v>
      </c>
      <c r="Q13">
        <v>3.3979400086720367E-2</v>
      </c>
    </row>
    <row r="14" spans="1:17" x14ac:dyDescent="0.3">
      <c r="L14" t="s">
        <v>23</v>
      </c>
      <c r="M14" t="s">
        <v>21</v>
      </c>
      <c r="N14" t="s">
        <v>10</v>
      </c>
      <c r="O14">
        <v>1</v>
      </c>
      <c r="P14">
        <v>0.01</v>
      </c>
      <c r="Q14">
        <v>0.02</v>
      </c>
    </row>
    <row r="15" spans="1:17" x14ac:dyDescent="0.3">
      <c r="L15" t="s">
        <v>23</v>
      </c>
      <c r="M15" t="s">
        <v>21</v>
      </c>
      <c r="N15" t="s">
        <v>12</v>
      </c>
      <c r="O15">
        <v>3</v>
      </c>
      <c r="P15">
        <v>0.03</v>
      </c>
      <c r="Q15">
        <v>4.5686362358410129E-2</v>
      </c>
    </row>
    <row r="16" spans="1:17" x14ac:dyDescent="0.3">
      <c r="L16" t="s">
        <v>23</v>
      </c>
      <c r="M16" t="s">
        <v>21</v>
      </c>
      <c r="N16" t="s">
        <v>18</v>
      </c>
      <c r="O16">
        <v>2</v>
      </c>
      <c r="P16">
        <v>0.02</v>
      </c>
      <c r="Q16">
        <v>3.3979400086720367E-2</v>
      </c>
    </row>
    <row r="17" spans="1:17" x14ac:dyDescent="0.3">
      <c r="L17" t="s">
        <v>25</v>
      </c>
      <c r="M17" t="s">
        <v>20</v>
      </c>
      <c r="N17" t="s">
        <v>5</v>
      </c>
      <c r="O17">
        <v>2</v>
      </c>
      <c r="P17">
        <v>0.02</v>
      </c>
      <c r="Q17">
        <v>3.3979400086720367E-2</v>
      </c>
    </row>
    <row r="18" spans="1:17" x14ac:dyDescent="0.3">
      <c r="L18" t="s">
        <v>25</v>
      </c>
      <c r="M18" t="s">
        <v>20</v>
      </c>
      <c r="N18" t="s">
        <v>9</v>
      </c>
      <c r="O18">
        <v>1</v>
      </c>
      <c r="P18">
        <v>0.01</v>
      </c>
      <c r="Q18">
        <v>0.02</v>
      </c>
    </row>
    <row r="19" spans="1:17" x14ac:dyDescent="0.3">
      <c r="L19" t="s">
        <v>25</v>
      </c>
      <c r="M19" t="s">
        <v>20</v>
      </c>
      <c r="N19" t="s">
        <v>16</v>
      </c>
      <c r="O19">
        <v>4</v>
      </c>
      <c r="P19">
        <v>0.04</v>
      </c>
      <c r="Q19">
        <v>5.5917600346881501E-2</v>
      </c>
    </row>
    <row r="20" spans="1:17" x14ac:dyDescent="0.3">
      <c r="A20" s="2" t="s">
        <v>29</v>
      </c>
      <c r="L20" t="s">
        <v>25</v>
      </c>
      <c r="M20" t="s">
        <v>20</v>
      </c>
      <c r="N20" t="s">
        <v>17</v>
      </c>
      <c r="O20">
        <v>1</v>
      </c>
      <c r="P20">
        <v>0.01</v>
      </c>
      <c r="Q20">
        <v>0.02</v>
      </c>
    </row>
    <row r="21" spans="1:17" x14ac:dyDescent="0.3">
      <c r="A21" s="2" t="str">
        <f>_xlfn.CONCAT("Entropía total: ", SUM(D5, J6, Q28))</f>
        <v>Entropía total: 2.02204835193338</v>
      </c>
      <c r="L21" t="s">
        <v>25</v>
      </c>
      <c r="M21" t="s">
        <v>20</v>
      </c>
      <c r="N21" t="s">
        <v>18</v>
      </c>
      <c r="O21">
        <v>1</v>
      </c>
      <c r="P21">
        <v>0.01</v>
      </c>
      <c r="Q21">
        <v>0.02</v>
      </c>
    </row>
    <row r="22" spans="1:17" x14ac:dyDescent="0.3">
      <c r="L22" t="s">
        <v>24</v>
      </c>
      <c r="M22" t="s">
        <v>21</v>
      </c>
      <c r="N22" t="s">
        <v>4</v>
      </c>
      <c r="O22">
        <v>3</v>
      </c>
      <c r="P22">
        <v>0.03</v>
      </c>
      <c r="Q22">
        <v>4.5686362358410129E-2</v>
      </c>
    </row>
    <row r="23" spans="1:17" x14ac:dyDescent="0.3">
      <c r="L23" t="s">
        <v>24</v>
      </c>
      <c r="M23" t="s">
        <v>21</v>
      </c>
      <c r="N23" t="s">
        <v>5</v>
      </c>
      <c r="O23">
        <v>6</v>
      </c>
      <c r="P23">
        <v>0.06</v>
      </c>
      <c r="Q23">
        <v>7.3310924976981384E-2</v>
      </c>
    </row>
    <row r="24" spans="1:17" x14ac:dyDescent="0.3">
      <c r="L24" t="s">
        <v>24</v>
      </c>
      <c r="M24" t="s">
        <v>21</v>
      </c>
      <c r="N24" t="s">
        <v>9</v>
      </c>
      <c r="O24">
        <v>1</v>
      </c>
      <c r="P24">
        <v>0.01</v>
      </c>
      <c r="Q24">
        <v>0.02</v>
      </c>
    </row>
    <row r="25" spans="1:17" x14ac:dyDescent="0.3">
      <c r="L25" t="s">
        <v>24</v>
      </c>
      <c r="M25" t="s">
        <v>21</v>
      </c>
      <c r="N25" t="s">
        <v>11</v>
      </c>
      <c r="O25">
        <v>4</v>
      </c>
      <c r="P25">
        <v>0.04</v>
      </c>
      <c r="Q25">
        <v>5.5917600346881501E-2</v>
      </c>
    </row>
    <row r="26" spans="1:17" x14ac:dyDescent="0.3">
      <c r="L26" t="s">
        <v>24</v>
      </c>
      <c r="M26" t="s">
        <v>21</v>
      </c>
      <c r="N26" t="s">
        <v>12</v>
      </c>
      <c r="O26">
        <v>3</v>
      </c>
      <c r="P26">
        <v>0.03</v>
      </c>
      <c r="Q26">
        <v>4.5686362358410129E-2</v>
      </c>
    </row>
    <row r="27" spans="1:17" x14ac:dyDescent="0.3">
      <c r="L27" t="s">
        <v>24</v>
      </c>
      <c r="M27" t="s">
        <v>21</v>
      </c>
      <c r="N27" t="s">
        <v>18</v>
      </c>
      <c r="O27">
        <v>3</v>
      </c>
      <c r="P27">
        <v>0.03</v>
      </c>
      <c r="Q27">
        <v>4.5686362358410129E-2</v>
      </c>
    </row>
    <row r="28" spans="1:17" x14ac:dyDescent="0.3">
      <c r="Q28">
        <f>SUM(Q2:Q27)</f>
        <v>1.1784761059353792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MTE</vt:lpstr>
      <vt:lpstr>MET</vt:lpstr>
      <vt:lpstr>TME</vt:lpstr>
      <vt:lpstr>TEM</vt:lpstr>
      <vt:lpstr>EMT</vt:lpstr>
      <vt:lpstr>ETM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Ranfery Morales</cp:lastModifiedBy>
  <dcterms:created xsi:type="dcterms:W3CDTF">2026-03-22T09:22:45Z</dcterms:created>
  <dcterms:modified xsi:type="dcterms:W3CDTF">2026-03-22T09:56:14Z</dcterms:modified>
</cp:coreProperties>
</file>
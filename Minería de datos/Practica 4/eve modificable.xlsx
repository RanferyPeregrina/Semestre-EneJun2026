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A:\Repositorios\Semestre-EneJun2026\Minería de datos\Practica 4\"/>
    </mc:Choice>
  </mc:AlternateContent>
  <xr:revisionPtr revIDLastSave="0" documentId="13_ncr:9_{A6F2B32B-C64D-4251-980C-4DE97C79F2D1}" xr6:coauthVersionLast="47" xr6:coauthVersionMax="47" xr10:uidLastSave="{00000000-0000-0000-0000-000000000000}"/>
  <bookViews>
    <workbookView xWindow="-108" yWindow="-108" windowWidth="20376" windowHeight="12216" xr2:uid="{26635F9C-CCE4-4CDD-978C-4B8B865CDFEA}"/>
  </bookViews>
  <sheets>
    <sheet name="eve práctico" sheetId="1" r:id="rId1"/>
    <sheet name="Datos auxiliares" sheetId="2" r:id="rId2"/>
  </sheets>
  <calcPr calcId="0"/>
</workbook>
</file>

<file path=xl/calcChain.xml><?xml version="1.0" encoding="utf-8"?>
<calcChain xmlns="http://schemas.openxmlformats.org/spreadsheetml/2006/main">
  <c r="L12" i="1" l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11" i="1"/>
  <c r="J30" i="1"/>
  <c r="H60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34" i="1"/>
  <c r="H31" i="1"/>
  <c r="H32" i="1"/>
  <c r="H33" i="1"/>
  <c r="H30" i="1"/>
  <c r="G6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30" i="1"/>
  <c r="E57" i="1"/>
  <c r="F57" i="1" s="1"/>
  <c r="E59" i="1"/>
  <c r="F59" i="1" s="1"/>
  <c r="E53" i="1"/>
  <c r="F53" i="1" s="1"/>
  <c r="E55" i="1"/>
  <c r="F55" i="1" s="1"/>
  <c r="E33" i="1"/>
  <c r="F33" i="1" s="1"/>
  <c r="E35" i="1"/>
  <c r="F35" i="1" s="1"/>
  <c r="E37" i="1"/>
  <c r="F37" i="1" s="1"/>
  <c r="E39" i="1"/>
  <c r="F39" i="1" s="1"/>
  <c r="E41" i="1"/>
  <c r="F41" i="1" s="1"/>
  <c r="E43" i="1"/>
  <c r="F43" i="1" s="1"/>
  <c r="E45" i="1"/>
  <c r="F45" i="1" s="1"/>
  <c r="E47" i="1"/>
  <c r="F47" i="1" s="1"/>
  <c r="E49" i="1"/>
  <c r="F49" i="1" s="1"/>
  <c r="E51" i="1"/>
  <c r="F51" i="1" s="1"/>
  <c r="E31" i="1"/>
  <c r="F31" i="1" s="1"/>
  <c r="E38" i="1"/>
  <c r="F38" i="1" s="1"/>
  <c r="E40" i="1"/>
  <c r="F40" i="1" s="1"/>
  <c r="E42" i="1"/>
  <c r="F42" i="1" s="1"/>
  <c r="E44" i="1"/>
  <c r="F44" i="1" s="1"/>
  <c r="E46" i="1"/>
  <c r="F46" i="1" s="1"/>
  <c r="E48" i="1"/>
  <c r="F48" i="1" s="1"/>
  <c r="E50" i="1"/>
  <c r="F50" i="1" s="1"/>
  <c r="E52" i="1"/>
  <c r="F52" i="1" s="1"/>
  <c r="E54" i="1"/>
  <c r="F54" i="1" s="1"/>
  <c r="E56" i="1"/>
  <c r="F56" i="1" s="1"/>
  <c r="E58" i="1"/>
  <c r="F58" i="1" s="1"/>
  <c r="E34" i="1"/>
  <c r="F34" i="1" s="1"/>
  <c r="E36" i="1"/>
  <c r="F36" i="1" s="1"/>
  <c r="E32" i="1"/>
  <c r="F32" i="1" s="1"/>
  <c r="E30" i="1"/>
  <c r="F30" i="1" s="1"/>
  <c r="E13" i="1"/>
  <c r="E14" i="1"/>
  <c r="F14" i="1" s="1"/>
  <c r="E15" i="1"/>
  <c r="F15" i="1" s="1"/>
  <c r="E16" i="1"/>
  <c r="F16" i="1" s="1"/>
  <c r="E17" i="1"/>
  <c r="F17" i="1" s="1"/>
  <c r="E18" i="1"/>
  <c r="F18" i="1" s="1"/>
  <c r="E19" i="1"/>
  <c r="F19" i="1" s="1"/>
  <c r="E20" i="1"/>
  <c r="F20" i="1" s="1"/>
  <c r="E21" i="1"/>
  <c r="F21" i="1" s="1"/>
  <c r="E22" i="1"/>
  <c r="F22" i="1" s="1"/>
  <c r="E23" i="1"/>
  <c r="F23" i="1" s="1"/>
  <c r="E24" i="1"/>
  <c r="F24" i="1" s="1"/>
  <c r="E25" i="1"/>
  <c r="E26" i="1"/>
  <c r="F26" i="1" s="1"/>
  <c r="E12" i="1"/>
  <c r="F12" i="1" s="1"/>
  <c r="F25" i="1"/>
  <c r="F13" i="1"/>
  <c r="F60" i="1" l="1"/>
  <c r="F27" i="1"/>
  <c r="G25" i="1" s="1"/>
  <c r="H25" i="1" s="1"/>
  <c r="G24" i="1" l="1"/>
  <c r="H24" i="1" s="1"/>
  <c r="G21" i="1"/>
  <c r="H21" i="1" s="1"/>
  <c r="G14" i="1"/>
  <c r="H14" i="1" s="1"/>
  <c r="G17" i="1"/>
  <c r="H17" i="1" s="1"/>
  <c r="G22" i="1"/>
  <c r="H22" i="1" s="1"/>
  <c r="G12" i="1"/>
  <c r="H12" i="1" s="1"/>
  <c r="G23" i="1"/>
  <c r="H23" i="1" s="1"/>
  <c r="G13" i="1"/>
  <c r="H13" i="1" s="1"/>
  <c r="G18" i="1"/>
  <c r="H18" i="1" s="1"/>
  <c r="G19" i="1"/>
  <c r="H19" i="1" s="1"/>
  <c r="G15" i="1"/>
  <c r="H15" i="1" s="1"/>
  <c r="G16" i="1"/>
  <c r="H16" i="1" s="1"/>
  <c r="G26" i="1"/>
  <c r="H26" i="1" s="1"/>
  <c r="G20" i="1"/>
  <c r="H20" i="1" s="1"/>
  <c r="H27" i="1" l="1"/>
  <c r="J12" i="1" s="1"/>
  <c r="G27" i="1"/>
</calcChain>
</file>

<file path=xl/sharedStrings.xml><?xml version="1.0" encoding="utf-8"?>
<sst xmlns="http://schemas.openxmlformats.org/spreadsheetml/2006/main" count="350" uniqueCount="40">
  <si>
    <t>Make</t>
  </si>
  <si>
    <t>Electric Vehicle Type</t>
  </si>
  <si>
    <t>Clean Alternative Fuel Vehicle (CAFV) Eligibility</t>
  </si>
  <si>
    <t>TESLA</t>
  </si>
  <si>
    <t>Battery Electric Vehicle (BEV)</t>
  </si>
  <si>
    <t>Clean Alternative Fuel Vehicle Eligible</t>
  </si>
  <si>
    <t>NISSAN</t>
  </si>
  <si>
    <t>JEEP</t>
  </si>
  <si>
    <t>Plug-in Hybrid Electric Vehicle (PHEV)</t>
  </si>
  <si>
    <t>Not eligible due to low battery range</t>
  </si>
  <si>
    <t>AUDI</t>
  </si>
  <si>
    <t>VOLVO</t>
  </si>
  <si>
    <t>CHEVROLET</t>
  </si>
  <si>
    <t>FIAT</t>
  </si>
  <si>
    <t>KIA</t>
  </si>
  <si>
    <t>BMW</t>
  </si>
  <si>
    <t>Eligibility unknown as battery range has not been researched</t>
  </si>
  <si>
    <t>HYUNDAI</t>
  </si>
  <si>
    <t>CADILLAC</t>
  </si>
  <si>
    <t>FORD</t>
  </si>
  <si>
    <t>PORSCHE</t>
  </si>
  <si>
    <t>VOLKSWAGEN</t>
  </si>
  <si>
    <t>POLESTAR</t>
  </si>
  <si>
    <t>MET</t>
  </si>
  <si>
    <t>MTE</t>
  </si>
  <si>
    <t>ETM</t>
  </si>
  <si>
    <t>EMT</t>
  </si>
  <si>
    <t>TEM</t>
  </si>
  <si>
    <t>TME</t>
  </si>
  <si>
    <t>Frecuencia ABS</t>
  </si>
  <si>
    <t>M:</t>
  </si>
  <si>
    <t>Frecuencia Rel</t>
  </si>
  <si>
    <t>Entropía</t>
  </si>
  <si>
    <t>-LOG10€ * P€</t>
  </si>
  <si>
    <t>Entropía de este árbol:</t>
  </si>
  <si>
    <t>MT:</t>
  </si>
  <si>
    <t>Modelos de coche</t>
  </si>
  <si>
    <t>Tipo de vehículo</t>
  </si>
  <si>
    <t>Elegibilidad</t>
  </si>
  <si>
    <t>Entropia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</si>
</sst>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9">
    <xf numFmtId="0" fontId="0" fillId="0" borderId="0" xfId="0"/>
    <xf numFmtId="0" fontId="0" fillId="33" borderId="0" xfId="0" applyFill="1"/>
    <xf numFmtId="0" fontId="0" fillId="33" borderId="0" xfId="0" quotePrefix="1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FF4C37F-2979-44A7-A724-2ACC7E37477D}" name="Tabla2" displayName="Tabla2" ref="A1:C101" totalsRowShown="0">
  <autoFilter ref="A1:C101" xr:uid="{FFF4C37F-2979-44A7-A724-2ACC7E37477D}"/>
  <tableColumns count="3">
    <tableColumn id="1" xr3:uid="{D7BC3E4E-CFC5-406C-92A5-DBBA1A456BA3}" name="Make"/>
    <tableColumn id="2" xr3:uid="{2C3DB6E6-BE9D-4336-A2C1-5DE5D6CA80F2}" name="Electric Vehicle Type"/>
    <tableColumn id="3" xr3:uid="{93EFA365-1094-43EB-8DB7-76B47371FDF5}" name="Clean Alternative Fuel Vehicle (CAFV) Eligibil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D34488-B3AD-4120-A6BA-49DEE3C46391}">
  <dimension ref="A1:O101"/>
  <sheetViews>
    <sheetView tabSelected="1" topLeftCell="A21" zoomScale="25" zoomScaleNormal="25" workbookViewId="0">
      <selection activeCell="E63" sqref="E63"/>
    </sheetView>
  </sheetViews>
  <sheetFormatPr baseColWidth="10" defaultRowHeight="14.4" x14ac:dyDescent="0.3"/>
  <cols>
    <col min="2" max="2" width="33.33203125" bestFit="1" customWidth="1"/>
    <col min="3" max="3" width="53.5546875" bestFit="1" customWidth="1"/>
    <col min="5" max="5" width="21.33203125" customWidth="1"/>
    <col min="6" max="6" width="16.6640625" bestFit="1" customWidth="1"/>
    <col min="7" max="7" width="15.44140625" bestFit="1" customWidth="1"/>
    <col min="9" max="9" width="4.44140625" customWidth="1"/>
    <col min="10" max="10" width="20.21875" bestFit="1" customWidth="1"/>
  </cols>
  <sheetData>
    <row r="1" spans="1:15" x14ac:dyDescent="0.3">
      <c r="A1" t="s">
        <v>0</v>
      </c>
      <c r="B1" t="s">
        <v>1</v>
      </c>
      <c r="C1" t="s">
        <v>2</v>
      </c>
    </row>
    <row r="2" spans="1:15" x14ac:dyDescent="0.3">
      <c r="A2" t="s">
        <v>3</v>
      </c>
      <c r="B2" t="s">
        <v>4</v>
      </c>
      <c r="C2" t="s">
        <v>5</v>
      </c>
      <c r="E2" s="1" t="s">
        <v>24</v>
      </c>
    </row>
    <row r="3" spans="1:15" x14ac:dyDescent="0.3">
      <c r="A3" t="s">
        <v>6</v>
      </c>
      <c r="B3" t="s">
        <v>4</v>
      </c>
      <c r="C3" t="s">
        <v>5</v>
      </c>
      <c r="E3" s="4" t="s">
        <v>23</v>
      </c>
    </row>
    <row r="4" spans="1:15" x14ac:dyDescent="0.3">
      <c r="A4" t="s">
        <v>7</v>
      </c>
      <c r="B4" t="s">
        <v>8</v>
      </c>
      <c r="C4" t="s">
        <v>9</v>
      </c>
      <c r="E4" t="s">
        <v>25</v>
      </c>
    </row>
    <row r="5" spans="1:15" x14ac:dyDescent="0.3">
      <c r="A5" t="s">
        <v>10</v>
      </c>
      <c r="B5" t="s">
        <v>8</v>
      </c>
      <c r="C5" t="s">
        <v>9</v>
      </c>
      <c r="E5" t="s">
        <v>26</v>
      </c>
    </row>
    <row r="6" spans="1:15" x14ac:dyDescent="0.3">
      <c r="A6" t="s">
        <v>6</v>
      </c>
      <c r="B6" t="s">
        <v>4</v>
      </c>
      <c r="C6" t="s">
        <v>5</v>
      </c>
      <c r="E6" t="s">
        <v>27</v>
      </c>
    </row>
    <row r="7" spans="1:15" x14ac:dyDescent="0.3">
      <c r="A7" t="s">
        <v>11</v>
      </c>
      <c r="B7" t="s">
        <v>8</v>
      </c>
      <c r="C7" t="s">
        <v>5</v>
      </c>
      <c r="E7" t="s">
        <v>28</v>
      </c>
    </row>
    <row r="8" spans="1:15" x14ac:dyDescent="0.3">
      <c r="A8" t="s">
        <v>12</v>
      </c>
      <c r="B8" t="s">
        <v>8</v>
      </c>
      <c r="C8" t="s">
        <v>5</v>
      </c>
    </row>
    <row r="9" spans="1:15" x14ac:dyDescent="0.3">
      <c r="A9" t="s">
        <v>3</v>
      </c>
      <c r="B9" t="s">
        <v>4</v>
      </c>
      <c r="C9" t="s">
        <v>5</v>
      </c>
      <c r="E9" s="1" t="s">
        <v>24</v>
      </c>
      <c r="L9" s="4" t="s">
        <v>23</v>
      </c>
    </row>
    <row r="10" spans="1:15" x14ac:dyDescent="0.3">
      <c r="A10" t="s">
        <v>11</v>
      </c>
      <c r="B10" t="s">
        <v>8</v>
      </c>
      <c r="C10" t="s">
        <v>9</v>
      </c>
      <c r="H10" s="2" t="s">
        <v>33</v>
      </c>
      <c r="L10" s="5" t="s">
        <v>30</v>
      </c>
      <c r="M10" s="5" t="s">
        <v>29</v>
      </c>
      <c r="N10" s="5" t="s">
        <v>31</v>
      </c>
      <c r="O10" s="5" t="s">
        <v>32</v>
      </c>
    </row>
    <row r="11" spans="1:15" x14ac:dyDescent="0.3">
      <c r="A11" t="s">
        <v>3</v>
      </c>
      <c r="B11" t="s">
        <v>4</v>
      </c>
      <c r="C11" t="s">
        <v>5</v>
      </c>
      <c r="E11" s="3" t="s">
        <v>30</v>
      </c>
      <c r="F11" s="1" t="s">
        <v>29</v>
      </c>
      <c r="G11" s="1" t="s">
        <v>31</v>
      </c>
      <c r="H11" s="1" t="s">
        <v>32</v>
      </c>
      <c r="J11" s="1" t="s">
        <v>34</v>
      </c>
      <c r="L11" s="6" t="str">
        <f>_xlfn.CONCAT($L$10, 'Datos auxiliares'!A2)</f>
        <v>M:AUDI</v>
      </c>
      <c r="M11" s="6">
        <v>4</v>
      </c>
      <c r="N11" s="6">
        <v>0.04</v>
      </c>
      <c r="O11" s="6">
        <v>5.5917600346881501E-2</v>
      </c>
    </row>
    <row r="12" spans="1:15" x14ac:dyDescent="0.3">
      <c r="A12" t="s">
        <v>3</v>
      </c>
      <c r="B12" t="s">
        <v>4</v>
      </c>
      <c r="C12" t="s">
        <v>5</v>
      </c>
      <c r="E12" s="1" t="str">
        <f>_xlfn.CONCAT($E$11,'Datos auxiliares'!A2)</f>
        <v>M:AUDI</v>
      </c>
      <c r="F12" s="1">
        <f>COUNTIF(Tabla2[Make],SUBSTITUTE(E12,$E$11,""))</f>
        <v>4</v>
      </c>
      <c r="G12" s="1">
        <f>F12 / $F$27</f>
        <v>0.04</v>
      </c>
      <c r="H12" s="1">
        <f>-LOG10(G12) * G12</f>
        <v>5.5917600346881501E-2</v>
      </c>
      <c r="J12" s="1">
        <f>H27</f>
        <v>0.93273558038676008</v>
      </c>
      <c r="L12" s="6" t="str">
        <f>_xlfn.CONCAT($L$10, 'Datos auxiliares'!A3)</f>
        <v>M:BMW</v>
      </c>
      <c r="M12" s="6">
        <v>16</v>
      </c>
      <c r="N12" s="6">
        <v>0.16</v>
      </c>
      <c r="O12" s="6">
        <v>0.12734080277505203</v>
      </c>
    </row>
    <row r="13" spans="1:15" x14ac:dyDescent="0.3">
      <c r="A13" t="s">
        <v>7</v>
      </c>
      <c r="B13" t="s">
        <v>8</v>
      </c>
      <c r="C13" t="s">
        <v>9</v>
      </c>
      <c r="E13" s="1" t="str">
        <f>_xlfn.CONCAT($E$11,'Datos auxiliares'!A3)</f>
        <v>M:BMW</v>
      </c>
      <c r="F13" s="1">
        <f>COUNTIF(Tabla2[Make],SUBSTITUTE(E13,$E$11,""))</f>
        <v>16</v>
      </c>
      <c r="G13" s="1">
        <f t="shared" ref="G13:G26" si="0">F13 / $F$27</f>
        <v>0.16</v>
      </c>
      <c r="H13" s="1">
        <f t="shared" ref="H13:H27" si="1">-LOG10(G13) * G13</f>
        <v>0.12734080277505203</v>
      </c>
      <c r="L13" s="6" t="str">
        <f>_xlfn.CONCAT($L$10, 'Datos auxiliares'!A4)</f>
        <v>M:CADILLAC</v>
      </c>
      <c r="M13" s="6">
        <v>1</v>
      </c>
      <c r="N13" s="6">
        <v>0.01</v>
      </c>
      <c r="O13" s="6">
        <v>0.02</v>
      </c>
    </row>
    <row r="14" spans="1:15" x14ac:dyDescent="0.3">
      <c r="A14" t="s">
        <v>13</v>
      </c>
      <c r="B14" t="s">
        <v>4</v>
      </c>
      <c r="C14" t="s">
        <v>5</v>
      </c>
      <c r="E14" s="1" t="str">
        <f>_xlfn.CONCAT($E$11,'Datos auxiliares'!A4)</f>
        <v>M:CADILLAC</v>
      </c>
      <c r="F14" s="1">
        <f>COUNTIF(Tabla2[Make],SUBSTITUTE(E14,$E$11,""))</f>
        <v>1</v>
      </c>
      <c r="G14" s="1">
        <f t="shared" si="0"/>
        <v>0.01</v>
      </c>
      <c r="H14" s="1">
        <f t="shared" si="1"/>
        <v>0.02</v>
      </c>
      <c r="L14" s="6" t="str">
        <f>_xlfn.CONCAT($L$10, 'Datos auxiliares'!A5)</f>
        <v>M:CHEVROLET</v>
      </c>
      <c r="M14" s="6">
        <v>5</v>
      </c>
      <c r="N14" s="6">
        <v>0.05</v>
      </c>
      <c r="O14" s="6">
        <v>6.505149978319906E-2</v>
      </c>
    </row>
    <row r="15" spans="1:15" x14ac:dyDescent="0.3">
      <c r="A15" t="s">
        <v>3</v>
      </c>
      <c r="B15" t="s">
        <v>4</v>
      </c>
      <c r="C15" t="s">
        <v>5</v>
      </c>
      <c r="E15" s="1" t="str">
        <f>_xlfn.CONCAT($E$11,'Datos auxiliares'!A5)</f>
        <v>M:CHEVROLET</v>
      </c>
      <c r="F15" s="1">
        <f>COUNTIF(Tabla2[Make],SUBSTITUTE(E15,$E$11,""))</f>
        <v>5</v>
      </c>
      <c r="G15" s="1">
        <f t="shared" si="0"/>
        <v>0.05</v>
      </c>
      <c r="H15" s="1">
        <f t="shared" si="1"/>
        <v>6.505149978319906E-2</v>
      </c>
      <c r="L15" s="6" t="str">
        <f>_xlfn.CONCAT($L$10, 'Datos auxiliares'!A6)</f>
        <v>M:FIAT</v>
      </c>
      <c r="M15" s="6">
        <v>2</v>
      </c>
      <c r="N15" s="6">
        <v>0.02</v>
      </c>
      <c r="O15" s="6">
        <v>3.3979400086720374E-2</v>
      </c>
    </row>
    <row r="16" spans="1:15" x14ac:dyDescent="0.3">
      <c r="A16" t="s">
        <v>3</v>
      </c>
      <c r="B16" t="s">
        <v>4</v>
      </c>
      <c r="C16" t="s">
        <v>5</v>
      </c>
      <c r="E16" s="1" t="str">
        <f>_xlfn.CONCAT($E$11,'Datos auxiliares'!A6)</f>
        <v>M:FIAT</v>
      </c>
      <c r="F16" s="1">
        <f>COUNTIF(Tabla2[Make],SUBSTITUTE(E16,$E$11,""))</f>
        <v>2</v>
      </c>
      <c r="G16" s="1">
        <f t="shared" si="0"/>
        <v>0.02</v>
      </c>
      <c r="H16" s="1">
        <f t="shared" si="1"/>
        <v>3.3979400086720374E-2</v>
      </c>
      <c r="L16" s="6" t="str">
        <f>_xlfn.CONCAT($L$10, 'Datos auxiliares'!A7)</f>
        <v>M:FORD</v>
      </c>
      <c r="M16" s="6">
        <v>2</v>
      </c>
      <c r="N16" s="6">
        <v>0.02</v>
      </c>
      <c r="O16" s="6">
        <v>3.3979400086720374E-2</v>
      </c>
    </row>
    <row r="17" spans="1:15" x14ac:dyDescent="0.3">
      <c r="A17" t="s">
        <v>14</v>
      </c>
      <c r="B17" t="s">
        <v>4</v>
      </c>
      <c r="C17" t="s">
        <v>5</v>
      </c>
      <c r="E17" s="1" t="str">
        <f>_xlfn.CONCAT($E$11,'Datos auxiliares'!A7)</f>
        <v>M:FORD</v>
      </c>
      <c r="F17" s="1">
        <f>COUNTIF(Tabla2[Make],SUBSTITUTE(E17,$E$11,""))</f>
        <v>2</v>
      </c>
      <c r="G17" s="1">
        <f t="shared" si="0"/>
        <v>0.02</v>
      </c>
      <c r="H17" s="1">
        <f t="shared" si="1"/>
        <v>3.3979400086720374E-2</v>
      </c>
      <c r="L17" s="6" t="str">
        <f>_xlfn.CONCAT($L$10, 'Datos auxiliares'!A8)</f>
        <v>M:HYUNDAI</v>
      </c>
      <c r="M17" s="6">
        <v>1</v>
      </c>
      <c r="N17" s="6">
        <v>0.01</v>
      </c>
      <c r="O17" s="6">
        <v>0.02</v>
      </c>
    </row>
    <row r="18" spans="1:15" x14ac:dyDescent="0.3">
      <c r="A18" t="s">
        <v>6</v>
      </c>
      <c r="B18" t="s">
        <v>4</v>
      </c>
      <c r="C18" t="s">
        <v>5</v>
      </c>
      <c r="E18" s="1" t="str">
        <f>_xlfn.CONCAT($E$11,'Datos auxiliares'!A8)</f>
        <v>M:HYUNDAI</v>
      </c>
      <c r="F18" s="1">
        <f>COUNTIF(Tabla2[Make],SUBSTITUTE(E18,$E$11,""))</f>
        <v>1</v>
      </c>
      <c r="G18" s="1">
        <f t="shared" si="0"/>
        <v>0.01</v>
      </c>
      <c r="H18" s="1">
        <f t="shared" si="1"/>
        <v>0.02</v>
      </c>
      <c r="L18" s="6" t="str">
        <f>_xlfn.CONCAT($L$10, 'Datos auxiliares'!A9)</f>
        <v>M:JEEP</v>
      </c>
      <c r="M18" s="6">
        <v>4</v>
      </c>
      <c r="N18" s="6">
        <v>0.04</v>
      </c>
      <c r="O18" s="6">
        <v>5.5917600346881501E-2</v>
      </c>
    </row>
    <row r="19" spans="1:15" x14ac:dyDescent="0.3">
      <c r="A19" t="s">
        <v>15</v>
      </c>
      <c r="B19" t="s">
        <v>8</v>
      </c>
      <c r="C19" t="s">
        <v>9</v>
      </c>
      <c r="E19" s="1" t="str">
        <f>_xlfn.CONCAT($E$11,'Datos auxiliares'!A9)</f>
        <v>M:JEEP</v>
      </c>
      <c r="F19" s="1">
        <f>COUNTIF(Tabla2[Make],SUBSTITUTE(E19,$E$11,""))</f>
        <v>4</v>
      </c>
      <c r="G19" s="1">
        <f t="shared" si="0"/>
        <v>0.04</v>
      </c>
      <c r="H19" s="1">
        <f t="shared" si="1"/>
        <v>5.5917600346881501E-2</v>
      </c>
      <c r="L19" s="6" t="str">
        <f>_xlfn.CONCAT($L$10, 'Datos auxiliares'!A10)</f>
        <v>M:KIA</v>
      </c>
      <c r="M19" s="6">
        <v>13</v>
      </c>
      <c r="N19" s="6">
        <v>0.13</v>
      </c>
      <c r="O19" s="6">
        <v>0.11518736420011122</v>
      </c>
    </row>
    <row r="20" spans="1:15" x14ac:dyDescent="0.3">
      <c r="A20" t="s">
        <v>11</v>
      </c>
      <c r="B20" t="s">
        <v>8</v>
      </c>
      <c r="C20" t="s">
        <v>5</v>
      </c>
      <c r="E20" s="1" t="str">
        <f>_xlfn.CONCAT($E$11,'Datos auxiliares'!A10)</f>
        <v>M:KIA</v>
      </c>
      <c r="F20" s="1">
        <f>COUNTIF(Tabla2[Make],SUBSTITUTE(E20,$E$11,""))</f>
        <v>13</v>
      </c>
      <c r="G20" s="1">
        <f t="shared" si="0"/>
        <v>0.13</v>
      </c>
      <c r="H20" s="1">
        <f t="shared" si="1"/>
        <v>0.11518736420011122</v>
      </c>
      <c r="L20" s="6" t="str">
        <f>_xlfn.CONCAT($L$10, 'Datos auxiliares'!A11)</f>
        <v>M:NISSAN</v>
      </c>
      <c r="M20" s="6">
        <v>13</v>
      </c>
      <c r="N20" s="6">
        <v>0.13</v>
      </c>
      <c r="O20" s="6">
        <v>0.11518736420011122</v>
      </c>
    </row>
    <row r="21" spans="1:15" x14ac:dyDescent="0.3">
      <c r="A21" t="s">
        <v>15</v>
      </c>
      <c r="B21" t="s">
        <v>8</v>
      </c>
      <c r="C21" t="s">
        <v>5</v>
      </c>
      <c r="E21" s="1" t="str">
        <f>_xlfn.CONCAT($E$11,'Datos auxiliares'!A11)</f>
        <v>M:NISSAN</v>
      </c>
      <c r="F21" s="1">
        <f>COUNTIF(Tabla2[Make],SUBSTITUTE(E21,$E$11,""))</f>
        <v>13</v>
      </c>
      <c r="G21" s="1">
        <f t="shared" si="0"/>
        <v>0.13</v>
      </c>
      <c r="H21" s="1">
        <f t="shared" si="1"/>
        <v>0.11518736420011122</v>
      </c>
      <c r="L21" s="6" t="str">
        <f>_xlfn.CONCAT($L$10, 'Datos auxiliares'!A12)</f>
        <v>M:POLESTAR</v>
      </c>
      <c r="M21" s="6">
        <v>1</v>
      </c>
      <c r="N21" s="6">
        <v>0.01</v>
      </c>
      <c r="O21" s="6">
        <v>0.02</v>
      </c>
    </row>
    <row r="22" spans="1:15" x14ac:dyDescent="0.3">
      <c r="A22" t="s">
        <v>3</v>
      </c>
      <c r="B22" t="s">
        <v>4</v>
      </c>
      <c r="C22" t="s">
        <v>5</v>
      </c>
      <c r="E22" s="1" t="str">
        <f>_xlfn.CONCAT($E$11,'Datos auxiliares'!A12)</f>
        <v>M:POLESTAR</v>
      </c>
      <c r="F22" s="1">
        <f>COUNTIF(Tabla2[Make],SUBSTITUTE(E22,$E$11,""))</f>
        <v>1</v>
      </c>
      <c r="G22" s="1">
        <f t="shared" si="0"/>
        <v>0.01</v>
      </c>
      <c r="H22" s="1">
        <f t="shared" si="1"/>
        <v>0.02</v>
      </c>
      <c r="L22" s="6" t="str">
        <f>_xlfn.CONCAT($L$10, 'Datos auxiliares'!A13)</f>
        <v>M:PORSCHE</v>
      </c>
      <c r="M22" s="6">
        <v>1</v>
      </c>
      <c r="N22" s="6">
        <v>0.01</v>
      </c>
      <c r="O22" s="6">
        <v>0.02</v>
      </c>
    </row>
    <row r="23" spans="1:15" x14ac:dyDescent="0.3">
      <c r="A23" t="s">
        <v>6</v>
      </c>
      <c r="B23" t="s">
        <v>4</v>
      </c>
      <c r="C23" t="s">
        <v>5</v>
      </c>
      <c r="E23" s="1" t="str">
        <f>_xlfn.CONCAT($E$11,'Datos auxiliares'!A13)</f>
        <v>M:PORSCHE</v>
      </c>
      <c r="F23" s="1">
        <f>COUNTIF(Tabla2[Make],SUBSTITUTE(E23,$E$11,""))</f>
        <v>1</v>
      </c>
      <c r="G23" s="1">
        <f t="shared" si="0"/>
        <v>0.01</v>
      </c>
      <c r="H23" s="1">
        <f t="shared" si="1"/>
        <v>0.02</v>
      </c>
      <c r="L23" s="6" t="str">
        <f>_xlfn.CONCAT($L$10, 'Datos auxiliares'!A14)</f>
        <v>M:TESLA</v>
      </c>
      <c r="M23" s="6">
        <v>30</v>
      </c>
      <c r="N23" s="6">
        <v>0.3</v>
      </c>
      <c r="O23" s="6">
        <v>0.15686362358410127</v>
      </c>
    </row>
    <row r="24" spans="1:15" x14ac:dyDescent="0.3">
      <c r="A24" t="s">
        <v>15</v>
      </c>
      <c r="B24" t="s">
        <v>8</v>
      </c>
      <c r="C24" t="s">
        <v>5</v>
      </c>
      <c r="E24" s="1" t="str">
        <f>_xlfn.CONCAT($E$11,'Datos auxiliares'!A14)</f>
        <v>M:TESLA</v>
      </c>
      <c r="F24" s="1">
        <f>COUNTIF(Tabla2[Make],SUBSTITUTE(E24,$E$11,""))</f>
        <v>30</v>
      </c>
      <c r="G24" s="1">
        <f t="shared" si="0"/>
        <v>0.3</v>
      </c>
      <c r="H24" s="1">
        <f t="shared" si="1"/>
        <v>0.15686362358410127</v>
      </c>
      <c r="L24" s="6" t="str">
        <f>_xlfn.CONCAT($L$10, 'Datos auxiliares'!A15)</f>
        <v>M:VOLKSWAGEN</v>
      </c>
      <c r="M24" s="6">
        <v>1</v>
      </c>
      <c r="N24" s="6">
        <v>0.01</v>
      </c>
      <c r="O24" s="6">
        <v>0.02</v>
      </c>
    </row>
    <row r="25" spans="1:15" x14ac:dyDescent="0.3">
      <c r="A25" t="s">
        <v>3</v>
      </c>
      <c r="B25" t="s">
        <v>4</v>
      </c>
      <c r="C25" t="s">
        <v>5</v>
      </c>
      <c r="E25" s="1" t="str">
        <f>_xlfn.CONCAT($E$11,'Datos auxiliares'!A15)</f>
        <v>M:VOLKSWAGEN</v>
      </c>
      <c r="F25" s="1">
        <f>COUNTIF(Tabla2[Make],SUBSTITUTE(E25,$E$11,""))</f>
        <v>1</v>
      </c>
      <c r="G25" s="1">
        <f t="shared" si="0"/>
        <v>0.01</v>
      </c>
      <c r="H25" s="1">
        <f t="shared" si="1"/>
        <v>0.02</v>
      </c>
      <c r="L25" s="6" t="str">
        <f>_xlfn.CONCAT($L$10, 'Datos auxiliares'!A16)</f>
        <v>M:VOLVO</v>
      </c>
      <c r="M25" s="6">
        <v>6</v>
      </c>
      <c r="N25" s="6">
        <v>0.06</v>
      </c>
      <c r="O25" s="6">
        <v>7.3310924976981384E-2</v>
      </c>
    </row>
    <row r="26" spans="1:15" x14ac:dyDescent="0.3">
      <c r="A26" t="s">
        <v>14</v>
      </c>
      <c r="B26" t="s">
        <v>4</v>
      </c>
      <c r="C26" t="s">
        <v>5</v>
      </c>
      <c r="E26" s="1" t="str">
        <f>_xlfn.CONCAT($E$11,'Datos auxiliares'!A16)</f>
        <v>M:VOLVO</v>
      </c>
      <c r="F26" s="1">
        <f>COUNTIF(Tabla2[Make],SUBSTITUTE(E26,$E$11,""))</f>
        <v>6</v>
      </c>
      <c r="G26" s="1">
        <f t="shared" si="0"/>
        <v>0.06</v>
      </c>
      <c r="H26" s="1">
        <f t="shared" si="1"/>
        <v>7.3310924976981384E-2</v>
      </c>
      <c r="M26" s="7">
        <v>100</v>
      </c>
      <c r="N26" s="7">
        <v>1.0000000000000002</v>
      </c>
      <c r="O26" s="7">
        <v>0.93273558038676008</v>
      </c>
    </row>
    <row r="27" spans="1:15" x14ac:dyDescent="0.3">
      <c r="A27" t="s">
        <v>14</v>
      </c>
      <c r="B27" t="s">
        <v>8</v>
      </c>
      <c r="C27" t="s">
        <v>9</v>
      </c>
      <c r="E27" s="1"/>
      <c r="F27" s="1">
        <f>SUM(F12:F26)</f>
        <v>100</v>
      </c>
      <c r="G27" s="1">
        <f>SUM(G12:G26)</f>
        <v>1.0000000000000002</v>
      </c>
      <c r="H27" s="1">
        <f>SUM(H12:H26)</f>
        <v>0.93273558038676008</v>
      </c>
    </row>
    <row r="28" spans="1:15" x14ac:dyDescent="0.3">
      <c r="A28" t="s">
        <v>3</v>
      </c>
      <c r="B28" t="s">
        <v>4</v>
      </c>
      <c r="C28" t="s">
        <v>16</v>
      </c>
    </row>
    <row r="29" spans="1:15" x14ac:dyDescent="0.3">
      <c r="A29" t="s">
        <v>14</v>
      </c>
      <c r="B29" t="s">
        <v>4</v>
      </c>
      <c r="C29" t="s">
        <v>5</v>
      </c>
      <c r="E29" s="3" t="s">
        <v>35</v>
      </c>
      <c r="F29" s="1" t="s">
        <v>29</v>
      </c>
      <c r="G29" s="1" t="s">
        <v>31</v>
      </c>
      <c r="H29" s="1" t="s">
        <v>39</v>
      </c>
      <c r="J29" s="1" t="s">
        <v>34</v>
      </c>
    </row>
    <row r="30" spans="1:15" x14ac:dyDescent="0.3">
      <c r="A30" t="s">
        <v>3</v>
      </c>
      <c r="B30" t="s">
        <v>4</v>
      </c>
      <c r="C30" t="s">
        <v>16</v>
      </c>
      <c r="E30" s="1" t="str">
        <f>_xlfn.CONCAT(_xlfn.CONCAT($E$29,'Datos auxiliares'!A2),"-B")</f>
        <v>MT:AUDI-B</v>
      </c>
      <c r="F30" s="1">
        <f>COUNTIFS(
Tabla2[Make],
SUBSTITUTE(SUBSTITUTE(E30,$E$29,""), "-B", ""),
Tabla2[Electric Vehicle Type], 'Datos auxiliares'!$B$2)</f>
        <v>1</v>
      </c>
      <c r="G30" s="1">
        <f>F30 / $F$60</f>
        <v>0.01</v>
      </c>
      <c r="H30" s="1">
        <f>-LOG10(G30) * G30</f>
        <v>0.02</v>
      </c>
      <c r="J30" s="1">
        <f>H60</f>
        <v>8.5051499783199064E-2</v>
      </c>
    </row>
    <row r="31" spans="1:15" x14ac:dyDescent="0.3">
      <c r="A31" t="s">
        <v>14</v>
      </c>
      <c r="B31" t="s">
        <v>4</v>
      </c>
      <c r="C31" t="s">
        <v>5</v>
      </c>
      <c r="E31" s="1" t="str">
        <f>_xlfn.CONCAT(_xlfn.CONCAT($E$29,'Datos auxiliares'!A2),"-P")</f>
        <v>MT:AUDI-P</v>
      </c>
      <c r="F31" s="1">
        <f>COUNTIFS(
Tabla2[Make],
SUBSTITUTE(SUBSTITUTE(E31,$E$29,""), "-P", ""),
Tabla2[Electric Vehicle Type], 'Datos auxiliares'!$B$3)</f>
        <v>3</v>
      </c>
      <c r="G31" s="1">
        <f t="shared" ref="G31:G59" si="2">F31 / $F$60</f>
        <v>0.03</v>
      </c>
      <c r="H31" s="1">
        <f t="shared" ref="H31:H59" si="3">-LOG10(G31) * G31</f>
        <v>4.5686362358410129E-2</v>
      </c>
    </row>
    <row r="32" spans="1:15" x14ac:dyDescent="0.3">
      <c r="A32" t="s">
        <v>6</v>
      </c>
      <c r="B32" t="s">
        <v>4</v>
      </c>
      <c r="C32" t="s">
        <v>5</v>
      </c>
      <c r="E32" s="1" t="str">
        <f>_xlfn.CONCAT(_xlfn.CONCAT($E$29,'Datos auxiliares'!A3),"-B")</f>
        <v>MT:BMW-B</v>
      </c>
      <c r="F32" s="1">
        <f>COUNTIFS(
Tabla2[Make],
SUBSTITUTE(SUBSTITUTE(E32,$E$29,""), "-B", ""),
Tabla2[Electric Vehicle Type], 'Datos auxiliares'!$B$2)</f>
        <v>3</v>
      </c>
      <c r="G32" s="1">
        <f t="shared" si="2"/>
        <v>0.03</v>
      </c>
      <c r="H32" s="1">
        <f t="shared" si="3"/>
        <v>4.5686362358410129E-2</v>
      </c>
    </row>
    <row r="33" spans="1:8" x14ac:dyDescent="0.3">
      <c r="A33" t="s">
        <v>3</v>
      </c>
      <c r="B33" t="s">
        <v>4</v>
      </c>
      <c r="C33" t="s">
        <v>5</v>
      </c>
      <c r="E33" s="1" t="str">
        <f>_xlfn.CONCAT(_xlfn.CONCAT($E$29,'Datos auxiliares'!A3),"-P")</f>
        <v>MT:BMW-P</v>
      </c>
      <c r="F33" s="1">
        <f>COUNTIFS(
Tabla2[Make],
SUBSTITUTE(SUBSTITUTE(E33,$E$29,""), "-P", ""),
Tabla2[Electric Vehicle Type], 'Datos auxiliares'!$B$3)</f>
        <v>13</v>
      </c>
      <c r="G33" s="1">
        <f t="shared" si="2"/>
        <v>0.13</v>
      </c>
      <c r="H33" s="1">
        <f t="shared" si="3"/>
        <v>0.11518736420011122</v>
      </c>
    </row>
    <row r="34" spans="1:8" x14ac:dyDescent="0.3">
      <c r="A34" t="s">
        <v>3</v>
      </c>
      <c r="B34" t="s">
        <v>4</v>
      </c>
      <c r="C34" t="s">
        <v>5</v>
      </c>
      <c r="E34" s="1" t="str">
        <f>_xlfn.CONCAT(_xlfn.CONCAT($E$29,'Datos auxiliares'!A4),"-B")</f>
        <v>MT:CADILLAC-B</v>
      </c>
      <c r="F34" s="1">
        <f>COUNTIFS(
Tabla2[Make],
SUBSTITUTE(SUBSTITUTE(E34,$E$29,""), "-B", ""),
Tabla2[Electric Vehicle Type], 'Datos auxiliares'!$B$2)</f>
        <v>0</v>
      </c>
      <c r="G34" s="1">
        <f t="shared" si="2"/>
        <v>0</v>
      </c>
      <c r="H34" s="1" t="str">
        <f>IFERROR(-LOG10(G34) * G34, "No hay Log de 0")</f>
        <v>No hay Log de 0</v>
      </c>
    </row>
    <row r="35" spans="1:8" x14ac:dyDescent="0.3">
      <c r="A35" t="s">
        <v>3</v>
      </c>
      <c r="B35" t="s">
        <v>4</v>
      </c>
      <c r="C35" t="s">
        <v>5</v>
      </c>
      <c r="E35" s="1" t="str">
        <f>_xlfn.CONCAT(_xlfn.CONCAT($E$29,'Datos auxiliares'!A4),"-P")</f>
        <v>MT:CADILLAC-P</v>
      </c>
      <c r="F35" s="1">
        <f>COUNTIFS(
Tabla2[Make],
SUBSTITUTE(SUBSTITUTE(E35,$E$29,""), "-P", ""),
Tabla2[Electric Vehicle Type], 'Datos auxiliares'!$B$3)</f>
        <v>1</v>
      </c>
      <c r="G35" s="1">
        <f t="shared" si="2"/>
        <v>0.01</v>
      </c>
      <c r="H35" s="1">
        <f t="shared" ref="H35:H59" si="4">IFERROR(-LOG10(G35) * G35, "No hay Log de 0")</f>
        <v>0.02</v>
      </c>
    </row>
    <row r="36" spans="1:8" x14ac:dyDescent="0.3">
      <c r="A36" t="s">
        <v>17</v>
      </c>
      <c r="B36" t="s">
        <v>8</v>
      </c>
      <c r="C36" t="s">
        <v>5</v>
      </c>
      <c r="E36" s="1" t="str">
        <f>_xlfn.CONCAT(_xlfn.CONCAT($E$29,'Datos auxiliares'!A5),"-B")</f>
        <v>MT:CHEVROLET-B</v>
      </c>
      <c r="F36" s="1">
        <f>COUNTIFS(
Tabla2[Make],
SUBSTITUTE(SUBSTITUTE(E36,$E$29,""), "-B", ""),
Tabla2[Electric Vehicle Type], 'Datos auxiliares'!$B$2)</f>
        <v>3</v>
      </c>
      <c r="G36" s="1">
        <f t="shared" si="2"/>
        <v>0.03</v>
      </c>
      <c r="H36" s="1">
        <f t="shared" si="4"/>
        <v>4.5686362358410129E-2</v>
      </c>
    </row>
    <row r="37" spans="1:8" x14ac:dyDescent="0.3">
      <c r="A37" t="s">
        <v>15</v>
      </c>
      <c r="B37" t="s">
        <v>8</v>
      </c>
      <c r="C37" t="s">
        <v>9</v>
      </c>
      <c r="E37" s="1" t="str">
        <f>_xlfn.CONCAT(_xlfn.CONCAT($E$29,'Datos auxiliares'!A5),"-P")</f>
        <v>MT:CHEVROLET-P</v>
      </c>
      <c r="F37" s="1">
        <f>COUNTIFS(
Tabla2[Make],
SUBSTITUTE(SUBSTITUTE(E37,$E$29,""), "-P", ""),
Tabla2[Electric Vehicle Type], 'Datos auxiliares'!$B$3)</f>
        <v>2</v>
      </c>
      <c r="G37" s="1">
        <f t="shared" si="2"/>
        <v>0.02</v>
      </c>
      <c r="H37" s="1">
        <f t="shared" si="4"/>
        <v>3.3979400086720374E-2</v>
      </c>
    </row>
    <row r="38" spans="1:8" x14ac:dyDescent="0.3">
      <c r="A38" t="s">
        <v>15</v>
      </c>
      <c r="B38" t="s">
        <v>8</v>
      </c>
      <c r="C38" t="s">
        <v>5</v>
      </c>
      <c r="E38" s="1" t="str">
        <f>_xlfn.CONCAT(_xlfn.CONCAT($E$29,'Datos auxiliares'!A6),"-B")</f>
        <v>MT:FIAT-B</v>
      </c>
      <c r="F38" s="1">
        <f>COUNTIFS(
Tabla2[Make],
SUBSTITUTE(SUBSTITUTE(E38,$E$29,""), "-B", ""),
Tabla2[Electric Vehicle Type], 'Datos auxiliares'!$B$2)</f>
        <v>2</v>
      </c>
      <c r="G38" s="1">
        <f t="shared" si="2"/>
        <v>0.02</v>
      </c>
      <c r="H38" s="1">
        <f t="shared" si="4"/>
        <v>3.3979400086720374E-2</v>
      </c>
    </row>
    <row r="39" spans="1:8" x14ac:dyDescent="0.3">
      <c r="A39" t="s">
        <v>15</v>
      </c>
      <c r="B39" t="s">
        <v>8</v>
      </c>
      <c r="C39" t="s">
        <v>5</v>
      </c>
      <c r="E39" s="1" t="str">
        <f>_xlfn.CONCAT(_xlfn.CONCAT($E$29,'Datos auxiliares'!A6),"-P")</f>
        <v>MT:FIAT-P</v>
      </c>
      <c r="F39" s="1">
        <f>COUNTIFS(
Tabla2[Make],
SUBSTITUTE(SUBSTITUTE(E39,$E$29,""), "-P", ""),
Tabla2[Electric Vehicle Type], 'Datos auxiliares'!$B$3)</f>
        <v>0</v>
      </c>
      <c r="G39" s="1">
        <f t="shared" si="2"/>
        <v>0</v>
      </c>
      <c r="H39" s="1" t="str">
        <f t="shared" si="4"/>
        <v>No hay Log de 0</v>
      </c>
    </row>
    <row r="40" spans="1:8" x14ac:dyDescent="0.3">
      <c r="A40" t="s">
        <v>6</v>
      </c>
      <c r="B40" t="s">
        <v>4</v>
      </c>
      <c r="C40" t="s">
        <v>5</v>
      </c>
      <c r="E40" s="1" t="str">
        <f>_xlfn.CONCAT(_xlfn.CONCAT($E$29,'Datos auxiliares'!A7),"-B")</f>
        <v>MT:FORD-B</v>
      </c>
      <c r="F40" s="1">
        <f>COUNTIFS(
Tabla2[Make],
SUBSTITUTE(SUBSTITUTE(E40,$E$29,""), "-B", ""),
Tabla2[Electric Vehicle Type], 'Datos auxiliares'!$B$2)</f>
        <v>1</v>
      </c>
      <c r="G40" s="1">
        <f t="shared" si="2"/>
        <v>0.01</v>
      </c>
      <c r="H40" s="1">
        <f t="shared" si="4"/>
        <v>0.02</v>
      </c>
    </row>
    <row r="41" spans="1:8" x14ac:dyDescent="0.3">
      <c r="A41" t="s">
        <v>14</v>
      </c>
      <c r="B41" t="s">
        <v>8</v>
      </c>
      <c r="C41" t="s">
        <v>5</v>
      </c>
      <c r="E41" s="1" t="str">
        <f>_xlfn.CONCAT(_xlfn.CONCAT($E$29,'Datos auxiliares'!A7),"-P")</f>
        <v>MT:FORD-P</v>
      </c>
      <c r="F41" s="1">
        <f>COUNTIFS(
Tabla2[Make],
SUBSTITUTE(SUBSTITUTE(E41,$E$29,""), "-P", ""),
Tabla2[Electric Vehicle Type], 'Datos auxiliares'!$B$3)</f>
        <v>1</v>
      </c>
      <c r="G41" s="1">
        <f t="shared" si="2"/>
        <v>0.01</v>
      </c>
      <c r="H41" s="1">
        <f t="shared" si="4"/>
        <v>0.02</v>
      </c>
    </row>
    <row r="42" spans="1:8" x14ac:dyDescent="0.3">
      <c r="A42" t="s">
        <v>15</v>
      </c>
      <c r="B42" t="s">
        <v>8</v>
      </c>
      <c r="C42" t="s">
        <v>5</v>
      </c>
      <c r="E42" s="1" t="str">
        <f>_xlfn.CONCAT(_xlfn.CONCAT($E$29,'Datos auxiliares'!A8),"-B")</f>
        <v>MT:HYUNDAI-B</v>
      </c>
      <c r="F42" s="1">
        <f>COUNTIFS(
Tabla2[Make],
SUBSTITUTE(SUBSTITUTE(E42,$E$29,""), "-B", ""),
Tabla2[Electric Vehicle Type], 'Datos auxiliares'!$B$2)</f>
        <v>0</v>
      </c>
      <c r="G42" s="1">
        <f t="shared" si="2"/>
        <v>0</v>
      </c>
      <c r="H42" s="1" t="str">
        <f t="shared" si="4"/>
        <v>No hay Log de 0</v>
      </c>
    </row>
    <row r="43" spans="1:8" x14ac:dyDescent="0.3">
      <c r="A43" t="s">
        <v>3</v>
      </c>
      <c r="B43" t="s">
        <v>4</v>
      </c>
      <c r="C43" t="s">
        <v>5</v>
      </c>
      <c r="E43" s="1" t="str">
        <f>_xlfn.CONCAT(_xlfn.CONCAT($E$29,'Datos auxiliares'!A8),"-P")</f>
        <v>MT:HYUNDAI-P</v>
      </c>
      <c r="F43" s="1">
        <f>COUNTIFS(
Tabla2[Make],
SUBSTITUTE(SUBSTITUTE(E43,$E$29,""), "-P", ""),
Tabla2[Electric Vehicle Type], 'Datos auxiliares'!$B$3)</f>
        <v>1</v>
      </c>
      <c r="G43" s="1">
        <f t="shared" si="2"/>
        <v>0.01</v>
      </c>
      <c r="H43" s="1">
        <f t="shared" si="4"/>
        <v>0.02</v>
      </c>
    </row>
    <row r="44" spans="1:8" x14ac:dyDescent="0.3">
      <c r="A44" t="s">
        <v>3</v>
      </c>
      <c r="B44" t="s">
        <v>4</v>
      </c>
      <c r="C44" t="s">
        <v>16</v>
      </c>
      <c r="E44" s="1" t="str">
        <f>_xlfn.CONCAT(_xlfn.CONCAT($E$29,'Datos auxiliares'!A9),"-B")</f>
        <v>MT:JEEP-B</v>
      </c>
      <c r="F44" s="1">
        <f>COUNTIFS(
Tabla2[Make],
SUBSTITUTE(SUBSTITUTE(E44,$E$29,""), "-B", ""),
Tabla2[Electric Vehicle Type], 'Datos auxiliares'!$B$2)</f>
        <v>0</v>
      </c>
      <c r="G44" s="1">
        <f t="shared" si="2"/>
        <v>0</v>
      </c>
      <c r="H44" s="1" t="str">
        <f t="shared" si="4"/>
        <v>No hay Log de 0</v>
      </c>
    </row>
    <row r="45" spans="1:8" x14ac:dyDescent="0.3">
      <c r="A45" t="s">
        <v>3</v>
      </c>
      <c r="B45" t="s">
        <v>4</v>
      </c>
      <c r="C45" t="s">
        <v>5</v>
      </c>
      <c r="E45" s="1" t="str">
        <f>_xlfn.CONCAT(_xlfn.CONCAT($E$29,'Datos auxiliares'!A9),"-P")</f>
        <v>MT:JEEP-P</v>
      </c>
      <c r="F45" s="1">
        <f>COUNTIFS(
Tabla2[Make],
SUBSTITUTE(SUBSTITUTE(E45,$E$29,""), "-P", ""),
Tabla2[Electric Vehicle Type], 'Datos auxiliares'!$B$3)</f>
        <v>4</v>
      </c>
      <c r="G45" s="1">
        <f t="shared" si="2"/>
        <v>0.04</v>
      </c>
      <c r="H45" s="1">
        <f t="shared" si="4"/>
        <v>5.5917600346881501E-2</v>
      </c>
    </row>
    <row r="46" spans="1:8" x14ac:dyDescent="0.3">
      <c r="A46" t="s">
        <v>3</v>
      </c>
      <c r="B46" t="s">
        <v>4</v>
      </c>
      <c r="C46" t="s">
        <v>5</v>
      </c>
      <c r="E46" s="1" t="str">
        <f>_xlfn.CONCAT(_xlfn.CONCAT($E$29,'Datos auxiliares'!A10),"-B")</f>
        <v>MT:KIA-B</v>
      </c>
      <c r="F46" s="1">
        <f>COUNTIFS(
Tabla2[Make],
SUBSTITUTE(SUBSTITUTE(E46,$E$29,""), "-B", ""),
Tabla2[Electric Vehicle Type], 'Datos auxiliares'!$B$2)</f>
        <v>7</v>
      </c>
      <c r="G46" s="1">
        <f t="shared" si="2"/>
        <v>7.0000000000000007E-2</v>
      </c>
      <c r="H46" s="1">
        <f t="shared" si="4"/>
        <v>8.0843137199002019E-2</v>
      </c>
    </row>
    <row r="47" spans="1:8" x14ac:dyDescent="0.3">
      <c r="A47" t="s">
        <v>14</v>
      </c>
      <c r="B47" t="s">
        <v>4</v>
      </c>
      <c r="C47" t="s">
        <v>5</v>
      </c>
      <c r="E47" s="1" t="str">
        <f>_xlfn.CONCAT(_xlfn.CONCAT($E$29,'Datos auxiliares'!A10),"-P")</f>
        <v>MT:KIA-P</v>
      </c>
      <c r="F47" s="1">
        <f>COUNTIFS(
Tabla2[Make],
SUBSTITUTE(SUBSTITUTE(E47,$E$29,""), "-P", ""),
Tabla2[Electric Vehicle Type], 'Datos auxiliares'!$B$3)</f>
        <v>6</v>
      </c>
      <c r="G47" s="1">
        <f t="shared" si="2"/>
        <v>0.06</v>
      </c>
      <c r="H47" s="1">
        <f t="shared" si="4"/>
        <v>7.3310924976981384E-2</v>
      </c>
    </row>
    <row r="48" spans="1:8" x14ac:dyDescent="0.3">
      <c r="A48" t="s">
        <v>15</v>
      </c>
      <c r="B48" t="s">
        <v>8</v>
      </c>
      <c r="C48" t="s">
        <v>9</v>
      </c>
      <c r="E48" s="1" t="str">
        <f>_xlfn.CONCAT(_xlfn.CONCAT($E$29,'Datos auxiliares'!A11),"-B")</f>
        <v>MT:NISSAN-B</v>
      </c>
      <c r="F48" s="1">
        <f>COUNTIFS(
Tabla2[Make],
SUBSTITUTE(SUBSTITUTE(E48,$E$29,""), "-B", ""),
Tabla2[Electric Vehicle Type], 'Datos auxiliares'!$B$2)</f>
        <v>13</v>
      </c>
      <c r="G48" s="1">
        <f t="shared" si="2"/>
        <v>0.13</v>
      </c>
      <c r="H48" s="1">
        <f t="shared" si="4"/>
        <v>0.11518736420011122</v>
      </c>
    </row>
    <row r="49" spans="1:8" x14ac:dyDescent="0.3">
      <c r="A49" t="s">
        <v>6</v>
      </c>
      <c r="B49" t="s">
        <v>4</v>
      </c>
      <c r="C49" t="s">
        <v>5</v>
      </c>
      <c r="E49" s="1" t="str">
        <f>_xlfn.CONCAT(_xlfn.CONCAT($E$29,'Datos auxiliares'!A11),"-P")</f>
        <v>MT:NISSAN-P</v>
      </c>
      <c r="F49" s="1">
        <f>COUNTIFS(
Tabla2[Make],
SUBSTITUTE(SUBSTITUTE(E49,$E$29,""), "-P", ""),
Tabla2[Electric Vehicle Type], 'Datos auxiliares'!$B$3)</f>
        <v>0</v>
      </c>
      <c r="G49" s="1">
        <f t="shared" si="2"/>
        <v>0</v>
      </c>
      <c r="H49" s="1" t="str">
        <f t="shared" si="4"/>
        <v>No hay Log de 0</v>
      </c>
    </row>
    <row r="50" spans="1:8" x14ac:dyDescent="0.3">
      <c r="A50" t="s">
        <v>3</v>
      </c>
      <c r="B50" t="s">
        <v>4</v>
      </c>
      <c r="C50" t="s">
        <v>5</v>
      </c>
      <c r="E50" s="1" t="str">
        <f>_xlfn.CONCAT(_xlfn.CONCAT($E$29,'Datos auxiliares'!A12),"-B")</f>
        <v>MT:POLESTAR-B</v>
      </c>
      <c r="F50" s="1">
        <f>COUNTIFS(
Tabla2[Make],
SUBSTITUTE(SUBSTITUTE(E50,$E$29,""), "-B", ""),
Tabla2[Electric Vehicle Type], 'Datos auxiliares'!$B$2)</f>
        <v>1</v>
      </c>
      <c r="G50" s="1">
        <f t="shared" si="2"/>
        <v>0.01</v>
      </c>
      <c r="H50" s="1">
        <f t="shared" si="4"/>
        <v>0.02</v>
      </c>
    </row>
    <row r="51" spans="1:8" x14ac:dyDescent="0.3">
      <c r="A51" t="s">
        <v>3</v>
      </c>
      <c r="B51" t="s">
        <v>4</v>
      </c>
      <c r="C51" t="s">
        <v>5</v>
      </c>
      <c r="E51" s="1" t="str">
        <f>_xlfn.CONCAT(_xlfn.CONCAT($E$29,'Datos auxiliares'!A12),"-P")</f>
        <v>MT:POLESTAR-P</v>
      </c>
      <c r="F51" s="1">
        <f>COUNTIFS(
Tabla2[Make],
SUBSTITUTE(SUBSTITUTE(E51,$E$29,""), "-P", ""),
Tabla2[Electric Vehicle Type], 'Datos auxiliares'!$B$3)</f>
        <v>0</v>
      </c>
      <c r="G51" s="1">
        <f t="shared" si="2"/>
        <v>0</v>
      </c>
      <c r="H51" s="1" t="str">
        <f t="shared" si="4"/>
        <v>No hay Log de 0</v>
      </c>
    </row>
    <row r="52" spans="1:8" x14ac:dyDescent="0.3">
      <c r="A52" t="s">
        <v>18</v>
      </c>
      <c r="B52" t="s">
        <v>8</v>
      </c>
      <c r="C52" t="s">
        <v>5</v>
      </c>
      <c r="E52" s="1" t="str">
        <f>_xlfn.CONCAT(_xlfn.CONCAT($E$29,'Datos auxiliares'!A13),"-B")</f>
        <v>MT:PORSCHE-B</v>
      </c>
      <c r="F52" s="1">
        <f>COUNTIFS(
Tabla2[Make],
SUBSTITUTE(SUBSTITUTE(E52,$E$29,""), "-B", ""),
Tabla2[Electric Vehicle Type], 'Datos auxiliares'!$B$2)</f>
        <v>1</v>
      </c>
      <c r="G52" s="1">
        <f t="shared" si="2"/>
        <v>0.01</v>
      </c>
      <c r="H52" s="1">
        <f t="shared" si="4"/>
        <v>0.02</v>
      </c>
    </row>
    <row r="53" spans="1:8" x14ac:dyDescent="0.3">
      <c r="A53" t="s">
        <v>3</v>
      </c>
      <c r="B53" t="s">
        <v>4</v>
      </c>
      <c r="C53" t="s">
        <v>16</v>
      </c>
      <c r="E53" s="1" t="str">
        <f>_xlfn.CONCAT(_xlfn.CONCAT($E$29,'Datos auxiliares'!A13),"-P")</f>
        <v>MT:PORSCHE-P</v>
      </c>
      <c r="F53" s="1">
        <f>COUNTIFS(
Tabla2[Make],
SUBSTITUTE(SUBSTITUTE(E53,$E$29,""), "-P", ""),
Tabla2[Electric Vehicle Type], 'Datos auxiliares'!$B$3)</f>
        <v>0</v>
      </c>
      <c r="G53" s="1">
        <f t="shared" si="2"/>
        <v>0</v>
      </c>
      <c r="H53" s="1" t="str">
        <f t="shared" si="4"/>
        <v>No hay Log de 0</v>
      </c>
    </row>
    <row r="54" spans="1:8" x14ac:dyDescent="0.3">
      <c r="A54" t="s">
        <v>3</v>
      </c>
      <c r="B54" t="s">
        <v>4</v>
      </c>
      <c r="C54" t="s">
        <v>5</v>
      </c>
      <c r="E54" s="1" t="str">
        <f>_xlfn.CONCAT(_xlfn.CONCAT($E$29,'Datos auxiliares'!A14),"-B")</f>
        <v>MT:TESLA-B</v>
      </c>
      <c r="F54" s="1">
        <f>COUNTIFS(
Tabla2[Make],
SUBSTITUTE(SUBSTITUTE(E54,$E$29,""), "-B", ""),
Tabla2[Electric Vehicle Type], 'Datos auxiliares'!$B$2)</f>
        <v>30</v>
      </c>
      <c r="G54" s="1">
        <f t="shared" si="2"/>
        <v>0.3</v>
      </c>
      <c r="H54" s="1">
        <f t="shared" si="4"/>
        <v>0.15686362358410127</v>
      </c>
    </row>
    <row r="55" spans="1:8" x14ac:dyDescent="0.3">
      <c r="A55" t="s">
        <v>3</v>
      </c>
      <c r="B55" t="s">
        <v>4</v>
      </c>
      <c r="C55" t="s">
        <v>5</v>
      </c>
      <c r="E55" s="1" t="str">
        <f>_xlfn.CONCAT(_xlfn.CONCAT($E$29,'Datos auxiliares'!A14),"-P")</f>
        <v>MT:TESLA-P</v>
      </c>
      <c r="F55" s="1">
        <f>COUNTIFS(
Tabla2[Make],
SUBSTITUTE(SUBSTITUTE(E55,$E$29,""), "-P", ""),
Tabla2[Electric Vehicle Type], 'Datos auxiliares'!$B$3)</f>
        <v>0</v>
      </c>
      <c r="G55" s="1">
        <f t="shared" si="2"/>
        <v>0</v>
      </c>
      <c r="H55" s="1" t="str">
        <f t="shared" si="4"/>
        <v>No hay Log de 0</v>
      </c>
    </row>
    <row r="56" spans="1:8" x14ac:dyDescent="0.3">
      <c r="A56" t="s">
        <v>14</v>
      </c>
      <c r="B56" t="s">
        <v>4</v>
      </c>
      <c r="C56" t="s">
        <v>5</v>
      </c>
      <c r="E56" s="1" t="str">
        <f>_xlfn.CONCAT(_xlfn.CONCAT($E$29,'Datos auxiliares'!A15),"-B")</f>
        <v>MT:VOLKSWAGEN-B</v>
      </c>
      <c r="F56" s="1">
        <f>COUNTIFS(
Tabla2[Make],
SUBSTITUTE(SUBSTITUTE(E56,$E$29,""), "-B", ""),
Tabla2[Electric Vehicle Type], 'Datos auxiliares'!$B$2)</f>
        <v>1</v>
      </c>
      <c r="G56" s="1">
        <f t="shared" si="2"/>
        <v>0.01</v>
      </c>
      <c r="H56" s="1">
        <f t="shared" si="4"/>
        <v>0.02</v>
      </c>
    </row>
    <row r="57" spans="1:8" x14ac:dyDescent="0.3">
      <c r="A57" t="s">
        <v>7</v>
      </c>
      <c r="B57" t="s">
        <v>8</v>
      </c>
      <c r="C57" t="s">
        <v>9</v>
      </c>
      <c r="E57" s="1" t="str">
        <f>_xlfn.CONCAT(_xlfn.CONCAT($E$29,'Datos auxiliares'!A15),"-P")</f>
        <v>MT:VOLKSWAGEN-P</v>
      </c>
      <c r="F57" s="1">
        <f>COUNTIFS(
Tabla2[Make],
SUBSTITUTE(SUBSTITUTE(E57,$E$29,""), "-P", ""),
Tabla2[Electric Vehicle Type], 'Datos auxiliares'!$B$3)</f>
        <v>0</v>
      </c>
      <c r="G57" s="1">
        <f t="shared" si="2"/>
        <v>0</v>
      </c>
      <c r="H57" s="1" t="str">
        <f t="shared" si="4"/>
        <v>No hay Log de 0</v>
      </c>
    </row>
    <row r="58" spans="1:8" x14ac:dyDescent="0.3">
      <c r="A58" t="s">
        <v>6</v>
      </c>
      <c r="B58" t="s">
        <v>4</v>
      </c>
      <c r="C58" t="s">
        <v>5</v>
      </c>
      <c r="E58" s="1" t="str">
        <f>_xlfn.CONCAT(_xlfn.CONCAT($E$29,'Datos auxiliares'!A16),"-B")</f>
        <v>MT:VOLVO-B</v>
      </c>
      <c r="F58" s="1">
        <f>COUNTIFS(
Tabla2[Make],
SUBSTITUTE(SUBSTITUTE(E58,$E$29,""), "-B", ""),
Tabla2[Electric Vehicle Type], 'Datos auxiliares'!$B$2)</f>
        <v>1</v>
      </c>
      <c r="G58" s="1">
        <f t="shared" si="2"/>
        <v>0.01</v>
      </c>
      <c r="H58" s="1">
        <f t="shared" si="4"/>
        <v>0.02</v>
      </c>
    </row>
    <row r="59" spans="1:8" x14ac:dyDescent="0.3">
      <c r="A59" t="s">
        <v>3</v>
      </c>
      <c r="B59" t="s">
        <v>4</v>
      </c>
      <c r="C59" t="s">
        <v>5</v>
      </c>
      <c r="E59" s="1" t="str">
        <f>_xlfn.CONCAT(_xlfn.CONCAT($E$29,'Datos auxiliares'!A16),"-P")</f>
        <v>MT:VOLVO-P</v>
      </c>
      <c r="F59" s="1">
        <f>COUNTIFS(
Tabla2[Make],
SUBSTITUTE(SUBSTITUTE(E59,$E$29,""), "-P", ""),
Tabla2[Electric Vehicle Type], 'Datos auxiliares'!$B$3)</f>
        <v>5</v>
      </c>
      <c r="G59" s="1">
        <f t="shared" si="2"/>
        <v>0.05</v>
      </c>
      <c r="H59" s="1">
        <f t="shared" si="4"/>
        <v>6.505149978319906E-2</v>
      </c>
    </row>
    <row r="60" spans="1:8" x14ac:dyDescent="0.3">
      <c r="A60" t="s">
        <v>6</v>
      </c>
      <c r="B60" t="s">
        <v>4</v>
      </c>
      <c r="C60" t="s">
        <v>5</v>
      </c>
      <c r="F60" s="1">
        <f>SUM(F30:F59)</f>
        <v>100</v>
      </c>
      <c r="G60" s="1">
        <f>SUM(G30:G59)</f>
        <v>1.0000000000000002</v>
      </c>
      <c r="H60" s="1">
        <f>SUM(H58:H59)</f>
        <v>8.5051499783199064E-2</v>
      </c>
    </row>
    <row r="61" spans="1:8" x14ac:dyDescent="0.3">
      <c r="A61" t="s">
        <v>15</v>
      </c>
      <c r="B61" t="s">
        <v>8</v>
      </c>
      <c r="C61" t="s">
        <v>9</v>
      </c>
    </row>
    <row r="62" spans="1:8" x14ac:dyDescent="0.3">
      <c r="A62" t="s">
        <v>19</v>
      </c>
      <c r="B62" t="s">
        <v>8</v>
      </c>
      <c r="C62" t="s">
        <v>9</v>
      </c>
      <c r="E62" s="8" t="s">
        <v>24</v>
      </c>
    </row>
    <row r="63" spans="1:8" x14ac:dyDescent="0.3">
      <c r="A63" t="s">
        <v>14</v>
      </c>
      <c r="B63" t="s">
        <v>8</v>
      </c>
      <c r="C63" t="s">
        <v>9</v>
      </c>
    </row>
    <row r="64" spans="1:8" x14ac:dyDescent="0.3">
      <c r="A64" t="s">
        <v>10</v>
      </c>
      <c r="B64" t="s">
        <v>4</v>
      </c>
      <c r="C64" t="s">
        <v>5</v>
      </c>
    </row>
    <row r="65" spans="1:3" x14ac:dyDescent="0.3">
      <c r="A65" t="s">
        <v>19</v>
      </c>
      <c r="B65" t="s">
        <v>4</v>
      </c>
      <c r="C65" t="s">
        <v>16</v>
      </c>
    </row>
    <row r="66" spans="1:3" x14ac:dyDescent="0.3">
      <c r="A66" t="s">
        <v>11</v>
      </c>
      <c r="B66" t="s">
        <v>4</v>
      </c>
      <c r="C66" t="s">
        <v>16</v>
      </c>
    </row>
    <row r="67" spans="1:3" x14ac:dyDescent="0.3">
      <c r="A67" t="s">
        <v>12</v>
      </c>
      <c r="B67" t="s">
        <v>4</v>
      </c>
      <c r="C67" t="s">
        <v>5</v>
      </c>
    </row>
    <row r="68" spans="1:3" x14ac:dyDescent="0.3">
      <c r="A68" t="s">
        <v>12</v>
      </c>
      <c r="B68" t="s">
        <v>4</v>
      </c>
      <c r="C68" t="s">
        <v>5</v>
      </c>
    </row>
    <row r="69" spans="1:3" x14ac:dyDescent="0.3">
      <c r="A69" t="s">
        <v>15</v>
      </c>
      <c r="B69" t="s">
        <v>8</v>
      </c>
      <c r="C69" t="s">
        <v>9</v>
      </c>
    </row>
    <row r="70" spans="1:3" x14ac:dyDescent="0.3">
      <c r="A70" t="s">
        <v>14</v>
      </c>
      <c r="B70" t="s">
        <v>8</v>
      </c>
      <c r="C70" t="s">
        <v>9</v>
      </c>
    </row>
    <row r="71" spans="1:3" x14ac:dyDescent="0.3">
      <c r="A71" t="s">
        <v>14</v>
      </c>
      <c r="B71" t="s">
        <v>4</v>
      </c>
      <c r="C71" t="s">
        <v>5</v>
      </c>
    </row>
    <row r="72" spans="1:3" x14ac:dyDescent="0.3">
      <c r="A72" t="s">
        <v>12</v>
      </c>
      <c r="B72" t="s">
        <v>4</v>
      </c>
      <c r="C72" t="s">
        <v>5</v>
      </c>
    </row>
    <row r="73" spans="1:3" x14ac:dyDescent="0.3">
      <c r="A73" t="s">
        <v>12</v>
      </c>
      <c r="B73" t="s">
        <v>8</v>
      </c>
      <c r="C73" t="s">
        <v>5</v>
      </c>
    </row>
    <row r="74" spans="1:3" x14ac:dyDescent="0.3">
      <c r="A74" t="s">
        <v>15</v>
      </c>
      <c r="B74" t="s">
        <v>4</v>
      </c>
      <c r="C74" t="s">
        <v>16</v>
      </c>
    </row>
    <row r="75" spans="1:3" x14ac:dyDescent="0.3">
      <c r="A75" t="s">
        <v>20</v>
      </c>
      <c r="B75" t="s">
        <v>4</v>
      </c>
      <c r="C75" t="s">
        <v>5</v>
      </c>
    </row>
    <row r="76" spans="1:3" x14ac:dyDescent="0.3">
      <c r="A76" t="s">
        <v>3</v>
      </c>
      <c r="B76" t="s">
        <v>4</v>
      </c>
      <c r="C76" t="s">
        <v>5</v>
      </c>
    </row>
    <row r="77" spans="1:3" x14ac:dyDescent="0.3">
      <c r="A77" t="s">
        <v>10</v>
      </c>
      <c r="B77" t="s">
        <v>8</v>
      </c>
      <c r="C77" t="s">
        <v>9</v>
      </c>
    </row>
    <row r="78" spans="1:3" x14ac:dyDescent="0.3">
      <c r="A78" t="s">
        <v>14</v>
      </c>
      <c r="B78" t="s">
        <v>8</v>
      </c>
      <c r="C78" t="s">
        <v>5</v>
      </c>
    </row>
    <row r="79" spans="1:3" x14ac:dyDescent="0.3">
      <c r="A79" t="s">
        <v>21</v>
      </c>
      <c r="B79" t="s">
        <v>4</v>
      </c>
      <c r="C79" t="s">
        <v>16</v>
      </c>
    </row>
    <row r="80" spans="1:3" x14ac:dyDescent="0.3">
      <c r="A80" t="s">
        <v>10</v>
      </c>
      <c r="B80" t="s">
        <v>8</v>
      </c>
      <c r="C80" t="s">
        <v>9</v>
      </c>
    </row>
    <row r="81" spans="1:3" x14ac:dyDescent="0.3">
      <c r="A81" t="s">
        <v>15</v>
      </c>
      <c r="B81" t="s">
        <v>8</v>
      </c>
      <c r="C81" t="s">
        <v>9</v>
      </c>
    </row>
    <row r="82" spans="1:3" x14ac:dyDescent="0.3">
      <c r="A82" t="s">
        <v>6</v>
      </c>
      <c r="B82" t="s">
        <v>4</v>
      </c>
      <c r="C82" t="s">
        <v>5</v>
      </c>
    </row>
    <row r="83" spans="1:3" x14ac:dyDescent="0.3">
      <c r="A83" t="s">
        <v>3</v>
      </c>
      <c r="B83" t="s">
        <v>4</v>
      </c>
      <c r="C83" t="s">
        <v>5</v>
      </c>
    </row>
    <row r="84" spans="1:3" x14ac:dyDescent="0.3">
      <c r="A84" t="s">
        <v>15</v>
      </c>
      <c r="B84" t="s">
        <v>8</v>
      </c>
      <c r="C84" t="s">
        <v>5</v>
      </c>
    </row>
    <row r="85" spans="1:3" x14ac:dyDescent="0.3">
      <c r="A85" t="s">
        <v>6</v>
      </c>
      <c r="B85" t="s">
        <v>4</v>
      </c>
      <c r="C85" t="s">
        <v>5</v>
      </c>
    </row>
    <row r="86" spans="1:3" x14ac:dyDescent="0.3">
      <c r="A86" t="s">
        <v>15</v>
      </c>
      <c r="B86" t="s">
        <v>4</v>
      </c>
      <c r="C86" t="s">
        <v>16</v>
      </c>
    </row>
    <row r="87" spans="1:3" x14ac:dyDescent="0.3">
      <c r="A87" t="s">
        <v>15</v>
      </c>
      <c r="B87" t="s">
        <v>8</v>
      </c>
      <c r="C87" t="s">
        <v>5</v>
      </c>
    </row>
    <row r="88" spans="1:3" x14ac:dyDescent="0.3">
      <c r="A88" t="s">
        <v>3</v>
      </c>
      <c r="B88" t="s">
        <v>4</v>
      </c>
      <c r="C88" t="s">
        <v>5</v>
      </c>
    </row>
    <row r="89" spans="1:3" x14ac:dyDescent="0.3">
      <c r="A89" t="s">
        <v>22</v>
      </c>
      <c r="B89" t="s">
        <v>4</v>
      </c>
      <c r="C89" t="s">
        <v>5</v>
      </c>
    </row>
    <row r="90" spans="1:3" x14ac:dyDescent="0.3">
      <c r="A90" t="s">
        <v>14</v>
      </c>
      <c r="B90" t="s">
        <v>8</v>
      </c>
      <c r="C90" t="s">
        <v>5</v>
      </c>
    </row>
    <row r="91" spans="1:3" x14ac:dyDescent="0.3">
      <c r="A91" t="s">
        <v>11</v>
      </c>
      <c r="B91" t="s">
        <v>8</v>
      </c>
      <c r="C91" t="s">
        <v>9</v>
      </c>
    </row>
    <row r="92" spans="1:3" x14ac:dyDescent="0.3">
      <c r="A92" t="s">
        <v>7</v>
      </c>
      <c r="B92" t="s">
        <v>8</v>
      </c>
      <c r="C92" t="s">
        <v>9</v>
      </c>
    </row>
    <row r="93" spans="1:3" x14ac:dyDescent="0.3">
      <c r="A93" t="s">
        <v>13</v>
      </c>
      <c r="B93" t="s">
        <v>4</v>
      </c>
      <c r="C93" t="s">
        <v>5</v>
      </c>
    </row>
    <row r="94" spans="1:3" x14ac:dyDescent="0.3">
      <c r="A94" t="s">
        <v>11</v>
      </c>
      <c r="B94" t="s">
        <v>8</v>
      </c>
      <c r="C94" t="s">
        <v>9</v>
      </c>
    </row>
    <row r="95" spans="1:3" x14ac:dyDescent="0.3">
      <c r="A95" t="s">
        <v>3</v>
      </c>
      <c r="B95" t="s">
        <v>4</v>
      </c>
      <c r="C95" t="s">
        <v>5</v>
      </c>
    </row>
    <row r="96" spans="1:3" x14ac:dyDescent="0.3">
      <c r="A96" t="s">
        <v>6</v>
      </c>
      <c r="B96" t="s">
        <v>4</v>
      </c>
      <c r="C96" t="s">
        <v>5</v>
      </c>
    </row>
    <row r="97" spans="1:3" x14ac:dyDescent="0.3">
      <c r="A97" t="s">
        <v>3</v>
      </c>
      <c r="B97" t="s">
        <v>4</v>
      </c>
      <c r="C97" t="s">
        <v>5</v>
      </c>
    </row>
    <row r="98" spans="1:3" x14ac:dyDescent="0.3">
      <c r="A98" t="s">
        <v>15</v>
      </c>
      <c r="B98" t="s">
        <v>4</v>
      </c>
      <c r="C98" t="s">
        <v>5</v>
      </c>
    </row>
    <row r="99" spans="1:3" x14ac:dyDescent="0.3">
      <c r="A99" t="s">
        <v>3</v>
      </c>
      <c r="B99" t="s">
        <v>4</v>
      </c>
      <c r="C99" t="s">
        <v>5</v>
      </c>
    </row>
    <row r="100" spans="1:3" x14ac:dyDescent="0.3">
      <c r="A100" t="s">
        <v>3</v>
      </c>
      <c r="B100" t="s">
        <v>4</v>
      </c>
      <c r="C100" t="s">
        <v>5</v>
      </c>
    </row>
    <row r="101" spans="1:3" x14ac:dyDescent="0.3">
      <c r="A101" t="s">
        <v>6</v>
      </c>
      <c r="B101" t="s">
        <v>4</v>
      </c>
      <c r="C101" t="s">
        <v>5</v>
      </c>
    </row>
  </sheetData>
  <sortState xmlns:xlrd2="http://schemas.microsoft.com/office/spreadsheetml/2017/richdata2" ref="E30:F59">
    <sortCondition ref="E30:E59"/>
  </sortState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F74EA2-762B-46F7-9C0E-D25D7A56B832}">
  <dimension ref="A1:C16"/>
  <sheetViews>
    <sheetView workbookViewId="0">
      <selection activeCell="C2" sqref="C2:C4"/>
    </sheetView>
  </sheetViews>
  <sheetFormatPr baseColWidth="10" defaultRowHeight="14.4" x14ac:dyDescent="0.3"/>
  <cols>
    <col min="1" max="1" width="15.88671875" bestFit="1" customWidth="1"/>
    <col min="2" max="2" width="31.109375" bestFit="1" customWidth="1"/>
    <col min="3" max="3" width="50.6640625" bestFit="1" customWidth="1"/>
  </cols>
  <sheetData>
    <row r="1" spans="1:3" x14ac:dyDescent="0.3">
      <c r="A1" t="s">
        <v>36</v>
      </c>
      <c r="B1" t="s">
        <v>37</v>
      </c>
      <c r="C1" t="s">
        <v>38</v>
      </c>
    </row>
    <row r="2" spans="1:3" x14ac:dyDescent="0.3">
      <c r="A2" t="s">
        <v>10</v>
      </c>
      <c r="B2" t="s">
        <v>4</v>
      </c>
      <c r="C2" t="s">
        <v>9</v>
      </c>
    </row>
    <row r="3" spans="1:3" x14ac:dyDescent="0.3">
      <c r="A3" t="s">
        <v>15</v>
      </c>
      <c r="B3" t="s">
        <v>8</v>
      </c>
      <c r="C3" t="s">
        <v>16</v>
      </c>
    </row>
    <row r="4" spans="1:3" x14ac:dyDescent="0.3">
      <c r="A4" t="s">
        <v>18</v>
      </c>
      <c r="C4" t="s">
        <v>5</v>
      </c>
    </row>
    <row r="5" spans="1:3" x14ac:dyDescent="0.3">
      <c r="A5" t="s">
        <v>12</v>
      </c>
    </row>
    <row r="6" spans="1:3" x14ac:dyDescent="0.3">
      <c r="A6" t="s">
        <v>13</v>
      </c>
    </row>
    <row r="7" spans="1:3" x14ac:dyDescent="0.3">
      <c r="A7" t="s">
        <v>19</v>
      </c>
    </row>
    <row r="8" spans="1:3" x14ac:dyDescent="0.3">
      <c r="A8" t="s">
        <v>17</v>
      </c>
    </row>
    <row r="9" spans="1:3" x14ac:dyDescent="0.3">
      <c r="A9" t="s">
        <v>7</v>
      </c>
    </row>
    <row r="10" spans="1:3" x14ac:dyDescent="0.3">
      <c r="A10" t="s">
        <v>14</v>
      </c>
    </row>
    <row r="11" spans="1:3" x14ac:dyDescent="0.3">
      <c r="A11" t="s">
        <v>6</v>
      </c>
    </row>
    <row r="12" spans="1:3" x14ac:dyDescent="0.3">
      <c r="A12" t="s">
        <v>22</v>
      </c>
    </row>
    <row r="13" spans="1:3" x14ac:dyDescent="0.3">
      <c r="A13" t="s">
        <v>20</v>
      </c>
    </row>
    <row r="14" spans="1:3" x14ac:dyDescent="0.3">
      <c r="A14" t="s">
        <v>3</v>
      </c>
    </row>
    <row r="15" spans="1:3" x14ac:dyDescent="0.3">
      <c r="A15" t="s">
        <v>21</v>
      </c>
    </row>
    <row r="16" spans="1:3" x14ac:dyDescent="0.3">
      <c r="A16" t="s">
        <v>11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eve práctico</vt:lpstr>
      <vt:lpstr>Datos auxiliares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Ranfery Morales</dc:creator>
  <cp:lastModifiedBy>Ranfery Morales</cp:lastModifiedBy>
  <dcterms:created xsi:type="dcterms:W3CDTF">2026-03-05T04:35:38Z</dcterms:created>
  <dcterms:modified xsi:type="dcterms:W3CDTF">2026-03-05T06:39:57Z</dcterms:modified>
</cp:coreProperties>
</file>
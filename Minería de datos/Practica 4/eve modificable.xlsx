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A:\Repositorios\Semestre-EneJun2026\Minería de datos\Practica 4\"/>
    </mc:Choice>
  </mc:AlternateContent>
  <xr:revisionPtr revIDLastSave="0" documentId="13_ncr:1_{E6A8E915-47A7-4F2C-833B-80B6C5EA19FF}" xr6:coauthVersionLast="47" xr6:coauthVersionMax="47" xr10:uidLastSave="{00000000-0000-0000-0000-000000000000}"/>
  <bookViews>
    <workbookView xWindow="-108" yWindow="-108" windowWidth="20376" windowHeight="12216" xr2:uid="{26635F9C-CCE4-4CDD-978C-4B8B865CDFEA}"/>
  </bookViews>
  <sheets>
    <sheet name="eve práctico" sheetId="1" r:id="rId1"/>
    <sheet name="Datos auxiliares" sheetId="2" r:id="rId2"/>
  </sheets>
  <calcPr calcId="191029"/>
</workbook>
</file>

<file path=xl/calcChain.xml><?xml version="1.0" encoding="utf-8"?>
<calcChain xmlns="http://schemas.openxmlformats.org/spreadsheetml/2006/main">
  <c r="P31" i="1" l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30" i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2" i="2"/>
  <c r="Q30" i="1"/>
  <c r="O36" i="1"/>
  <c r="O37" i="1"/>
  <c r="O38" i="1"/>
  <c r="O39" i="1"/>
  <c r="O40" i="1"/>
  <c r="O41" i="1"/>
  <c r="O42" i="1"/>
  <c r="O43" i="1"/>
  <c r="O44" i="1"/>
  <c r="O45" i="1"/>
  <c r="O46" i="1"/>
  <c r="O47" i="1"/>
  <c r="O35" i="1"/>
  <c r="O34" i="1"/>
  <c r="O33" i="1"/>
  <c r="O32" i="1"/>
  <c r="O31" i="1"/>
  <c r="O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30" i="1"/>
  <c r="T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12" i="1"/>
  <c r="P27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12" i="1"/>
  <c r="H64" i="1"/>
  <c r="H65" i="1"/>
  <c r="H66" i="1"/>
  <c r="H67" i="1"/>
  <c r="H68" i="1"/>
  <c r="H69" i="1"/>
  <c r="H70" i="1"/>
  <c r="H71" i="1"/>
  <c r="H72" i="1"/>
  <c r="H73" i="1"/>
  <c r="H74" i="1"/>
  <c r="I74" i="1" s="1"/>
  <c r="H75" i="1"/>
  <c r="H76" i="1"/>
  <c r="H77" i="1"/>
  <c r="H78" i="1"/>
  <c r="H79" i="1"/>
  <c r="H80" i="1"/>
  <c r="H81" i="1"/>
  <c r="H82" i="1"/>
  <c r="H83" i="1"/>
  <c r="H84" i="1"/>
  <c r="H85" i="1"/>
  <c r="H86" i="1"/>
  <c r="I86" i="1" s="1"/>
  <c r="H87" i="1"/>
  <c r="H88" i="1"/>
  <c r="H89" i="1"/>
  <c r="H90" i="1"/>
  <c r="H91" i="1"/>
  <c r="H92" i="1"/>
  <c r="H93" i="1"/>
  <c r="H94" i="1"/>
  <c r="H95" i="1"/>
  <c r="H96" i="1"/>
  <c r="H97" i="1"/>
  <c r="H98" i="1"/>
  <c r="I98" i="1" s="1"/>
  <c r="H99" i="1"/>
  <c r="H100" i="1"/>
  <c r="H101" i="1"/>
  <c r="H102" i="1"/>
  <c r="H103" i="1"/>
  <c r="H104" i="1"/>
  <c r="H105" i="1"/>
  <c r="H106" i="1"/>
  <c r="H107" i="1"/>
  <c r="H108" i="1"/>
  <c r="H109" i="1"/>
  <c r="H110" i="1"/>
  <c r="I110" i="1" s="1"/>
  <c r="H111" i="1"/>
  <c r="H112" i="1"/>
  <c r="H113" i="1"/>
  <c r="H114" i="1"/>
  <c r="H115" i="1"/>
  <c r="H116" i="1"/>
  <c r="H117" i="1"/>
  <c r="H118" i="1"/>
  <c r="H119" i="1"/>
  <c r="H120" i="1"/>
  <c r="H121" i="1"/>
  <c r="H122" i="1"/>
  <c r="I122" i="1" s="1"/>
  <c r="H123" i="1"/>
  <c r="H124" i="1"/>
  <c r="H125" i="1"/>
  <c r="H126" i="1"/>
  <c r="H127" i="1"/>
  <c r="H128" i="1"/>
  <c r="H129" i="1"/>
  <c r="H130" i="1"/>
  <c r="H131" i="1"/>
  <c r="H132" i="1"/>
  <c r="H133" i="1"/>
  <c r="H134" i="1"/>
  <c r="I134" i="1" s="1"/>
  <c r="H135" i="1"/>
  <c r="H136" i="1"/>
  <c r="H137" i="1"/>
  <c r="H138" i="1"/>
  <c r="H139" i="1"/>
  <c r="H140" i="1"/>
  <c r="H141" i="1"/>
  <c r="H142" i="1"/>
  <c r="H143" i="1"/>
  <c r="H144" i="1"/>
  <c r="H145" i="1"/>
  <c r="H146" i="1"/>
  <c r="I146" i="1" s="1"/>
  <c r="H147" i="1"/>
  <c r="H148" i="1"/>
  <c r="H149" i="1"/>
  <c r="H150" i="1"/>
  <c r="H151" i="1"/>
  <c r="H152" i="1"/>
  <c r="H63" i="1"/>
  <c r="I63" i="1" s="1"/>
  <c r="I64" i="1"/>
  <c r="I65" i="1"/>
  <c r="I66" i="1"/>
  <c r="I67" i="1"/>
  <c r="I68" i="1"/>
  <c r="I69" i="1"/>
  <c r="I70" i="1"/>
  <c r="I71" i="1"/>
  <c r="I72" i="1"/>
  <c r="I73" i="1"/>
  <c r="I75" i="1"/>
  <c r="I76" i="1"/>
  <c r="I77" i="1"/>
  <c r="I78" i="1"/>
  <c r="I79" i="1"/>
  <c r="I80" i="1"/>
  <c r="I81" i="1"/>
  <c r="I82" i="1"/>
  <c r="I83" i="1"/>
  <c r="I84" i="1"/>
  <c r="I85" i="1"/>
  <c r="I87" i="1"/>
  <c r="I88" i="1"/>
  <c r="I89" i="1"/>
  <c r="I90" i="1"/>
  <c r="I91" i="1"/>
  <c r="I92" i="1"/>
  <c r="I93" i="1"/>
  <c r="I94" i="1"/>
  <c r="I95" i="1"/>
  <c r="I96" i="1"/>
  <c r="I97" i="1"/>
  <c r="I99" i="1"/>
  <c r="I100" i="1"/>
  <c r="I101" i="1"/>
  <c r="I102" i="1"/>
  <c r="I103" i="1"/>
  <c r="I104" i="1"/>
  <c r="I105" i="1"/>
  <c r="I106" i="1"/>
  <c r="I107" i="1"/>
  <c r="I108" i="1"/>
  <c r="I109" i="1"/>
  <c r="I111" i="1"/>
  <c r="I112" i="1"/>
  <c r="I113" i="1"/>
  <c r="I114" i="1"/>
  <c r="I115" i="1"/>
  <c r="I116" i="1"/>
  <c r="I117" i="1"/>
  <c r="I118" i="1"/>
  <c r="I119" i="1"/>
  <c r="I120" i="1"/>
  <c r="I121" i="1"/>
  <c r="I123" i="1"/>
  <c r="I124" i="1"/>
  <c r="I125" i="1"/>
  <c r="I126" i="1"/>
  <c r="I127" i="1"/>
  <c r="I128" i="1"/>
  <c r="I129" i="1"/>
  <c r="I130" i="1"/>
  <c r="I131" i="1"/>
  <c r="I132" i="1"/>
  <c r="I133" i="1"/>
  <c r="I135" i="1"/>
  <c r="I136" i="1"/>
  <c r="I137" i="1"/>
  <c r="I138" i="1"/>
  <c r="I139" i="1"/>
  <c r="I140" i="1"/>
  <c r="I141" i="1"/>
  <c r="I142" i="1"/>
  <c r="I143" i="1"/>
  <c r="I144" i="1"/>
  <c r="I145" i="1"/>
  <c r="I147" i="1"/>
  <c r="I148" i="1"/>
  <c r="I149" i="1"/>
  <c r="I150" i="1"/>
  <c r="I151" i="1"/>
  <c r="I152" i="1"/>
  <c r="H57" i="1"/>
  <c r="H59" i="1"/>
  <c r="H53" i="1"/>
  <c r="H55" i="1"/>
  <c r="H33" i="1"/>
  <c r="H35" i="1"/>
  <c r="H37" i="1"/>
  <c r="H39" i="1"/>
  <c r="H41" i="1"/>
  <c r="H43" i="1"/>
  <c r="H45" i="1"/>
  <c r="H47" i="1"/>
  <c r="H49" i="1"/>
  <c r="H51" i="1"/>
  <c r="H31" i="1"/>
  <c r="H38" i="1"/>
  <c r="H40" i="1"/>
  <c r="H42" i="1"/>
  <c r="H44" i="1"/>
  <c r="H46" i="1"/>
  <c r="H48" i="1"/>
  <c r="H50" i="1"/>
  <c r="H52" i="1"/>
  <c r="H54" i="1"/>
  <c r="H56" i="1"/>
  <c r="H58" i="1"/>
  <c r="H34" i="1"/>
  <c r="H36" i="1"/>
  <c r="H32" i="1"/>
  <c r="H30" i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12" i="1"/>
  <c r="I12" i="1" s="1"/>
  <c r="I153" i="1" l="1"/>
  <c r="I60" i="1"/>
  <c r="J37" i="1" s="1"/>
  <c r="K37" i="1" s="1"/>
  <c r="I27" i="1"/>
  <c r="J25" i="1" s="1"/>
  <c r="K25" i="1" l="1"/>
  <c r="R25" i="1"/>
  <c r="J66" i="1"/>
  <c r="K66" i="1" s="1"/>
  <c r="J78" i="1"/>
  <c r="K78" i="1" s="1"/>
  <c r="J90" i="1"/>
  <c r="K90" i="1" s="1"/>
  <c r="J102" i="1"/>
  <c r="K102" i="1" s="1"/>
  <c r="J114" i="1"/>
  <c r="K114" i="1" s="1"/>
  <c r="J126" i="1"/>
  <c r="K126" i="1" s="1"/>
  <c r="J138" i="1"/>
  <c r="K138" i="1" s="1"/>
  <c r="J150" i="1"/>
  <c r="K150" i="1" s="1"/>
  <c r="J89" i="1"/>
  <c r="K89" i="1" s="1"/>
  <c r="J67" i="1"/>
  <c r="K67" i="1" s="1"/>
  <c r="J79" i="1"/>
  <c r="K79" i="1" s="1"/>
  <c r="J91" i="1"/>
  <c r="K91" i="1" s="1"/>
  <c r="J103" i="1"/>
  <c r="K103" i="1" s="1"/>
  <c r="J115" i="1"/>
  <c r="K115" i="1" s="1"/>
  <c r="J127" i="1"/>
  <c r="K127" i="1" s="1"/>
  <c r="J139" i="1"/>
  <c r="K139" i="1" s="1"/>
  <c r="J151" i="1"/>
  <c r="K151" i="1" s="1"/>
  <c r="J68" i="1"/>
  <c r="K68" i="1" s="1"/>
  <c r="J80" i="1"/>
  <c r="K80" i="1" s="1"/>
  <c r="J92" i="1"/>
  <c r="K92" i="1" s="1"/>
  <c r="J104" i="1"/>
  <c r="K104" i="1" s="1"/>
  <c r="J116" i="1"/>
  <c r="K116" i="1" s="1"/>
  <c r="J128" i="1"/>
  <c r="K128" i="1" s="1"/>
  <c r="J140" i="1"/>
  <c r="K140" i="1" s="1"/>
  <c r="J152" i="1"/>
  <c r="K152" i="1" s="1"/>
  <c r="J147" i="1"/>
  <c r="K147" i="1" s="1"/>
  <c r="J137" i="1"/>
  <c r="K137" i="1" s="1"/>
  <c r="J69" i="1"/>
  <c r="K69" i="1" s="1"/>
  <c r="J81" i="1"/>
  <c r="K81" i="1" s="1"/>
  <c r="J93" i="1"/>
  <c r="K93" i="1" s="1"/>
  <c r="J105" i="1"/>
  <c r="K105" i="1" s="1"/>
  <c r="J117" i="1"/>
  <c r="K117" i="1" s="1"/>
  <c r="J129" i="1"/>
  <c r="K129" i="1" s="1"/>
  <c r="J141" i="1"/>
  <c r="K141" i="1" s="1"/>
  <c r="J77" i="1"/>
  <c r="K77" i="1" s="1"/>
  <c r="J70" i="1"/>
  <c r="K70" i="1" s="1"/>
  <c r="J82" i="1"/>
  <c r="K82" i="1" s="1"/>
  <c r="J94" i="1"/>
  <c r="K94" i="1" s="1"/>
  <c r="J106" i="1"/>
  <c r="K106" i="1" s="1"/>
  <c r="J118" i="1"/>
  <c r="K118" i="1" s="1"/>
  <c r="J130" i="1"/>
  <c r="K130" i="1" s="1"/>
  <c r="J142" i="1"/>
  <c r="K142" i="1" s="1"/>
  <c r="J149" i="1"/>
  <c r="K149" i="1" s="1"/>
  <c r="J71" i="1"/>
  <c r="K71" i="1" s="1"/>
  <c r="J83" i="1"/>
  <c r="K83" i="1" s="1"/>
  <c r="J95" i="1"/>
  <c r="K95" i="1" s="1"/>
  <c r="J107" i="1"/>
  <c r="K107" i="1" s="1"/>
  <c r="J119" i="1"/>
  <c r="K119" i="1" s="1"/>
  <c r="J131" i="1"/>
  <c r="K131" i="1" s="1"/>
  <c r="J143" i="1"/>
  <c r="K143" i="1" s="1"/>
  <c r="J113" i="1"/>
  <c r="K113" i="1" s="1"/>
  <c r="J72" i="1"/>
  <c r="K72" i="1" s="1"/>
  <c r="J84" i="1"/>
  <c r="K84" i="1" s="1"/>
  <c r="J96" i="1"/>
  <c r="K96" i="1" s="1"/>
  <c r="J108" i="1"/>
  <c r="K108" i="1" s="1"/>
  <c r="J120" i="1"/>
  <c r="K120" i="1" s="1"/>
  <c r="J132" i="1"/>
  <c r="K132" i="1" s="1"/>
  <c r="J144" i="1"/>
  <c r="K144" i="1" s="1"/>
  <c r="J73" i="1"/>
  <c r="K73" i="1" s="1"/>
  <c r="J85" i="1"/>
  <c r="K85" i="1" s="1"/>
  <c r="J97" i="1"/>
  <c r="K97" i="1" s="1"/>
  <c r="J109" i="1"/>
  <c r="K109" i="1" s="1"/>
  <c r="J121" i="1"/>
  <c r="K121" i="1" s="1"/>
  <c r="J133" i="1"/>
  <c r="K133" i="1" s="1"/>
  <c r="J145" i="1"/>
  <c r="K145" i="1" s="1"/>
  <c r="J101" i="1"/>
  <c r="K101" i="1" s="1"/>
  <c r="J74" i="1"/>
  <c r="K74" i="1" s="1"/>
  <c r="J86" i="1"/>
  <c r="K86" i="1" s="1"/>
  <c r="J98" i="1"/>
  <c r="K98" i="1" s="1"/>
  <c r="J110" i="1"/>
  <c r="K110" i="1" s="1"/>
  <c r="J122" i="1"/>
  <c r="K122" i="1" s="1"/>
  <c r="J134" i="1"/>
  <c r="K134" i="1" s="1"/>
  <c r="J146" i="1"/>
  <c r="K146" i="1" s="1"/>
  <c r="J65" i="1"/>
  <c r="K65" i="1" s="1"/>
  <c r="J75" i="1"/>
  <c r="K75" i="1" s="1"/>
  <c r="J87" i="1"/>
  <c r="K87" i="1" s="1"/>
  <c r="J99" i="1"/>
  <c r="K99" i="1" s="1"/>
  <c r="J111" i="1"/>
  <c r="K111" i="1" s="1"/>
  <c r="J123" i="1"/>
  <c r="K123" i="1" s="1"/>
  <c r="J135" i="1"/>
  <c r="K135" i="1" s="1"/>
  <c r="J125" i="1"/>
  <c r="K125" i="1" s="1"/>
  <c r="J76" i="1"/>
  <c r="K76" i="1" s="1"/>
  <c r="J88" i="1"/>
  <c r="K88" i="1" s="1"/>
  <c r="J100" i="1"/>
  <c r="K100" i="1" s="1"/>
  <c r="J112" i="1"/>
  <c r="K112" i="1" s="1"/>
  <c r="J124" i="1"/>
  <c r="K124" i="1" s="1"/>
  <c r="J136" i="1"/>
  <c r="K136" i="1" s="1"/>
  <c r="J148" i="1"/>
  <c r="K148" i="1" s="1"/>
  <c r="J63" i="1"/>
  <c r="J64" i="1"/>
  <c r="K64" i="1" s="1"/>
  <c r="J32" i="1"/>
  <c r="K32" i="1" s="1"/>
  <c r="J38" i="1"/>
  <c r="K38" i="1" s="1"/>
  <c r="J44" i="1"/>
  <c r="K44" i="1" s="1"/>
  <c r="J58" i="1"/>
  <c r="K58" i="1" s="1"/>
  <c r="J43" i="1"/>
  <c r="K43" i="1" s="1"/>
  <c r="J40" i="1"/>
  <c r="K40" i="1" s="1"/>
  <c r="J49" i="1"/>
  <c r="K49" i="1" s="1"/>
  <c r="J56" i="1"/>
  <c r="K56" i="1" s="1"/>
  <c r="J59" i="1"/>
  <c r="K59" i="1" s="1"/>
  <c r="J53" i="1"/>
  <c r="K53" i="1" s="1"/>
  <c r="J48" i="1"/>
  <c r="K48" i="1" s="1"/>
  <c r="J31" i="1"/>
  <c r="K31" i="1" s="1"/>
  <c r="J55" i="1"/>
  <c r="K55" i="1" s="1"/>
  <c r="J36" i="1"/>
  <c r="K36" i="1" s="1"/>
  <c r="J30" i="1"/>
  <c r="K30" i="1" s="1"/>
  <c r="J50" i="1"/>
  <c r="K50" i="1" s="1"/>
  <c r="J33" i="1"/>
  <c r="K33" i="1" s="1"/>
  <c r="J39" i="1"/>
  <c r="K39" i="1" s="1"/>
  <c r="J52" i="1"/>
  <c r="K52" i="1" s="1"/>
  <c r="J35" i="1"/>
  <c r="K35" i="1" s="1"/>
  <c r="J41" i="1"/>
  <c r="K41" i="1" s="1"/>
  <c r="J47" i="1"/>
  <c r="K47" i="1" s="1"/>
  <c r="J46" i="1"/>
  <c r="K46" i="1" s="1"/>
  <c r="J34" i="1"/>
  <c r="K34" i="1" s="1"/>
  <c r="J54" i="1"/>
  <c r="K54" i="1" s="1"/>
  <c r="J45" i="1"/>
  <c r="K45" i="1" s="1"/>
  <c r="J42" i="1"/>
  <c r="K42" i="1" s="1"/>
  <c r="J57" i="1"/>
  <c r="K57" i="1" s="1"/>
  <c r="J51" i="1"/>
  <c r="K51" i="1" s="1"/>
  <c r="J24" i="1"/>
  <c r="J21" i="1"/>
  <c r="J14" i="1"/>
  <c r="J17" i="1"/>
  <c r="J22" i="1"/>
  <c r="J12" i="1"/>
  <c r="J23" i="1"/>
  <c r="J13" i="1"/>
  <c r="J18" i="1"/>
  <c r="J19" i="1"/>
  <c r="J15" i="1"/>
  <c r="J16" i="1"/>
  <c r="J26" i="1"/>
  <c r="J20" i="1"/>
  <c r="K23" i="1" l="1"/>
  <c r="R23" i="1"/>
  <c r="K15" i="1"/>
  <c r="R15" i="1"/>
  <c r="K22" i="1"/>
  <c r="R22" i="1"/>
  <c r="K14" i="1"/>
  <c r="R14" i="1"/>
  <c r="K18" i="1"/>
  <c r="R18" i="1"/>
  <c r="K21" i="1"/>
  <c r="R21" i="1"/>
  <c r="K19" i="1"/>
  <c r="R19" i="1"/>
  <c r="K26" i="1"/>
  <c r="R26" i="1"/>
  <c r="K13" i="1"/>
  <c r="R13" i="1"/>
  <c r="K12" i="1"/>
  <c r="R12" i="1"/>
  <c r="K17" i="1"/>
  <c r="R17" i="1"/>
  <c r="K20" i="1"/>
  <c r="R20" i="1"/>
  <c r="K24" i="1"/>
  <c r="R24" i="1"/>
  <c r="K16" i="1"/>
  <c r="R16" i="1"/>
  <c r="K63" i="1"/>
  <c r="J153" i="1"/>
  <c r="K60" i="1"/>
  <c r="M30" i="1" s="1"/>
  <c r="J60" i="1"/>
  <c r="J27" i="1"/>
  <c r="K27" i="1" l="1"/>
  <c r="M12" i="1" s="1"/>
  <c r="K153" i="1"/>
  <c r="M64" i="1" s="1"/>
</calcChain>
</file>

<file path=xl/sharedStrings.xml><?xml version="1.0" encoding="utf-8"?>
<sst xmlns="http://schemas.openxmlformats.org/spreadsheetml/2006/main" count="698" uniqueCount="48">
  <si>
    <t>Make</t>
  </si>
  <si>
    <t>Electric Vehicle Type</t>
  </si>
  <si>
    <t>Clean Alternative Fuel Vehicle (CAFV) Eligibility</t>
  </si>
  <si>
    <t>TESLA</t>
  </si>
  <si>
    <t>Battery Electric Vehicle (BEV)</t>
  </si>
  <si>
    <t>Clean Alternative Fuel Vehicle Eligible</t>
  </si>
  <si>
    <t>NISSAN</t>
  </si>
  <si>
    <t>JEEP</t>
  </si>
  <si>
    <t>Plug-in Hybrid Electric Vehicle (PHEV)</t>
  </si>
  <si>
    <t>Not eligible due to low battery range</t>
  </si>
  <si>
    <t>AUDI</t>
  </si>
  <si>
    <t>VOLVO</t>
  </si>
  <si>
    <t>CHEVROLET</t>
  </si>
  <si>
    <t>FIAT</t>
  </si>
  <si>
    <t>KIA</t>
  </si>
  <si>
    <t>BMW</t>
  </si>
  <si>
    <t>Eligibility unknown as battery range has not been researched</t>
  </si>
  <si>
    <t>HYUNDAI</t>
  </si>
  <si>
    <t>CADILLAC</t>
  </si>
  <si>
    <t>FORD</t>
  </si>
  <si>
    <t>PORSCHE</t>
  </si>
  <si>
    <t>VOLKSWAGEN</t>
  </si>
  <si>
    <t>POLESTAR</t>
  </si>
  <si>
    <t>MET</t>
  </si>
  <si>
    <t>MTE</t>
  </si>
  <si>
    <t>ETM</t>
  </si>
  <si>
    <t>EMT</t>
  </si>
  <si>
    <t>TEM</t>
  </si>
  <si>
    <t>TME</t>
  </si>
  <si>
    <t>Frecuencia ABS</t>
  </si>
  <si>
    <t>M:</t>
  </si>
  <si>
    <t>Frecuencia Rel</t>
  </si>
  <si>
    <t>Entropía</t>
  </si>
  <si>
    <t>Entropía de este árbol:</t>
  </si>
  <si>
    <t>MT:</t>
  </si>
  <si>
    <t>Modelos de coche</t>
  </si>
  <si>
    <t>Tipo de vehículo</t>
  </si>
  <si>
    <t>Elegibilidad</t>
  </si>
  <si>
    <t>Entropia</t>
  </si>
  <si>
    <t>MTE:</t>
  </si>
  <si>
    <t>B</t>
  </si>
  <si>
    <t>P</t>
  </si>
  <si>
    <t>C</t>
  </si>
  <si>
    <t>E</t>
  </si>
  <si>
    <t>N</t>
  </si>
  <si>
    <t>Entropía de este árbol</t>
  </si>
  <si>
    <t>ME:</t>
  </si>
  <si>
    <t>Quitar letras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</si>
</sst>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F4C37F-2979-44A7-A724-2ACC7E37477D}" name="Tabla2" displayName="Tabla2" ref="A1:C101" totalsRowShown="0">
  <autoFilter ref="A1:C101" xr:uid="{FFF4C37F-2979-44A7-A724-2ACC7E37477D}"/>
  <tableColumns count="3">
    <tableColumn id="1" xr3:uid="{D7BC3E4E-CFC5-406C-92A5-DBBA1A456BA3}" name="Make"/>
    <tableColumn id="2" xr3:uid="{2C3DB6E6-BE9D-4336-A2C1-5DE5D6CA80F2}" name="Electric Vehicle Type"/>
    <tableColumn id="3" xr3:uid="{93EFA365-1094-43EB-8DB7-76B47371FDF5}" name="Clean Alternative Fuel Vehicle (CAFV) Eligibil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34488-B3AD-4120-A6BA-49DEE3C46391}">
  <dimension ref="A1:T153"/>
  <sheetViews>
    <sheetView tabSelected="1" topLeftCell="C8" zoomScale="70" zoomScaleNormal="70" workbookViewId="0">
      <selection activeCell="Q30" sqref="Q30"/>
    </sheetView>
  </sheetViews>
  <sheetFormatPr baseColWidth="10" defaultRowHeight="14.4" x14ac:dyDescent="0.3"/>
  <cols>
    <col min="2" max="2" width="33.33203125" bestFit="1" customWidth="1"/>
    <col min="3" max="3" width="53.5546875" bestFit="1" customWidth="1"/>
    <col min="5" max="5" width="12.88671875" bestFit="1" customWidth="1"/>
    <col min="6" max="6" width="16.6640625" bestFit="1" customWidth="1"/>
    <col min="7" max="7" width="15.44140625" bestFit="1" customWidth="1"/>
    <col min="8" max="8" width="20.77734375" bestFit="1" customWidth="1"/>
    <col min="9" max="9" width="13.44140625" bestFit="1" customWidth="1"/>
    <col min="10" max="10" width="13.77734375" bestFit="1" customWidth="1"/>
    <col min="11" max="11" width="14.5546875" bestFit="1" customWidth="1"/>
    <col min="12" max="12" width="2" customWidth="1"/>
    <col min="13" max="13" width="19.6640625" bestFit="1" customWidth="1"/>
    <col min="15" max="15" width="15.21875" bestFit="1" customWidth="1"/>
    <col min="16" max="16" width="13.44140625" bestFit="1" customWidth="1"/>
    <col min="17" max="17" width="12.77734375" bestFit="1" customWidth="1"/>
    <col min="18" max="18" width="12.5546875" bestFit="1" customWidth="1"/>
  </cols>
  <sheetData>
    <row r="1" spans="1:20" x14ac:dyDescent="0.3">
      <c r="A1" t="s">
        <v>0</v>
      </c>
      <c r="B1" t="s">
        <v>1</v>
      </c>
      <c r="C1" t="s">
        <v>2</v>
      </c>
    </row>
    <row r="2" spans="1:20" x14ac:dyDescent="0.3">
      <c r="A2" t="s">
        <v>3</v>
      </c>
      <c r="B2" t="s">
        <v>4</v>
      </c>
      <c r="C2" t="s">
        <v>5</v>
      </c>
      <c r="H2" s="1" t="s">
        <v>24</v>
      </c>
    </row>
    <row r="3" spans="1:20" x14ac:dyDescent="0.3">
      <c r="A3" t="s">
        <v>6</v>
      </c>
      <c r="B3" t="s">
        <v>4</v>
      </c>
      <c r="C3" t="s">
        <v>5</v>
      </c>
      <c r="H3" s="3" t="s">
        <v>23</v>
      </c>
    </row>
    <row r="4" spans="1:20" x14ac:dyDescent="0.3">
      <c r="A4" t="s">
        <v>7</v>
      </c>
      <c r="B4" t="s">
        <v>8</v>
      </c>
      <c r="C4" t="s">
        <v>9</v>
      </c>
      <c r="H4" t="s">
        <v>25</v>
      </c>
    </row>
    <row r="5" spans="1:20" x14ac:dyDescent="0.3">
      <c r="A5" t="s">
        <v>10</v>
      </c>
      <c r="B5" t="s">
        <v>8</v>
      </c>
      <c r="C5" t="s">
        <v>9</v>
      </c>
      <c r="H5" t="s">
        <v>26</v>
      </c>
    </row>
    <row r="6" spans="1:20" x14ac:dyDescent="0.3">
      <c r="A6" t="s">
        <v>6</v>
      </c>
      <c r="B6" t="s">
        <v>4</v>
      </c>
      <c r="C6" t="s">
        <v>5</v>
      </c>
      <c r="H6" t="s">
        <v>27</v>
      </c>
    </row>
    <row r="7" spans="1:20" x14ac:dyDescent="0.3">
      <c r="A7" t="s">
        <v>11</v>
      </c>
      <c r="B7" t="s">
        <v>8</v>
      </c>
      <c r="C7" t="s">
        <v>5</v>
      </c>
      <c r="H7" t="s">
        <v>28</v>
      </c>
    </row>
    <row r="8" spans="1:20" x14ac:dyDescent="0.3">
      <c r="A8" t="s">
        <v>12</v>
      </c>
      <c r="B8" t="s">
        <v>8</v>
      </c>
      <c r="C8" t="s">
        <v>5</v>
      </c>
    </row>
    <row r="9" spans="1:20" x14ac:dyDescent="0.3">
      <c r="A9" t="s">
        <v>3</v>
      </c>
      <c r="B9" t="s">
        <v>4</v>
      </c>
      <c r="C9" t="s">
        <v>5</v>
      </c>
      <c r="H9" s="1" t="s">
        <v>24</v>
      </c>
    </row>
    <row r="10" spans="1:20" x14ac:dyDescent="0.3">
      <c r="A10" t="s">
        <v>11</v>
      </c>
      <c r="B10" t="s">
        <v>8</v>
      </c>
      <c r="C10" t="s">
        <v>9</v>
      </c>
      <c r="O10" s="3" t="s">
        <v>23</v>
      </c>
    </row>
    <row r="11" spans="1:20" x14ac:dyDescent="0.3">
      <c r="A11" t="s">
        <v>3</v>
      </c>
      <c r="B11" t="s">
        <v>4</v>
      </c>
      <c r="C11" t="s">
        <v>5</v>
      </c>
      <c r="H11" s="2" t="s">
        <v>30</v>
      </c>
      <c r="I11" s="1" t="s">
        <v>29</v>
      </c>
      <c r="J11" s="1" t="s">
        <v>31</v>
      </c>
      <c r="K11" s="1" t="s">
        <v>32</v>
      </c>
      <c r="M11" s="1" t="s">
        <v>33</v>
      </c>
      <c r="O11" s="4" t="s">
        <v>30</v>
      </c>
      <c r="P11" s="4" t="s">
        <v>29</v>
      </c>
      <c r="Q11" s="4" t="s">
        <v>31</v>
      </c>
      <c r="R11" s="4" t="s">
        <v>32</v>
      </c>
      <c r="T11" s="4" t="s">
        <v>45</v>
      </c>
    </row>
    <row r="12" spans="1:20" x14ac:dyDescent="0.3">
      <c r="A12" t="s">
        <v>3</v>
      </c>
      <c r="B12" t="s">
        <v>4</v>
      </c>
      <c r="C12" t="s">
        <v>5</v>
      </c>
      <c r="E12" t="s">
        <v>10</v>
      </c>
      <c r="H12" s="1" t="str">
        <f>_xlfn.CONCAT($H$11,'Datos auxiliares'!A2)</f>
        <v>M:AUDI</v>
      </c>
      <c r="I12" s="1">
        <f>COUNTIF(Tabla2[Make],SUBSTITUTE(H12,$H$11,""))</f>
        <v>4</v>
      </c>
      <c r="J12" s="1">
        <f>I12 / $I$27</f>
        <v>0.04</v>
      </c>
      <c r="K12" s="1">
        <f>-LOG10(J12) * J12</f>
        <v>5.5917600346881501E-2</v>
      </c>
      <c r="M12" s="1">
        <f>K27</f>
        <v>0.93273558038676008</v>
      </c>
      <c r="O12" s="5" t="str">
        <f>_xlfn.CONCAT($O$11, E12)</f>
        <v>M:AUDI</v>
      </c>
      <c r="P12" s="5">
        <f>COUNTIF(Tabla2[Make],SUBSTITUTE(O12,$O$11,""))</f>
        <v>4</v>
      </c>
      <c r="Q12" s="5">
        <f>P12 / $P$27</f>
        <v>0.04</v>
      </c>
      <c r="R12" s="5">
        <f>-LOG10(Q12) * J12</f>
        <v>5.5917600346881501E-2</v>
      </c>
      <c r="T12">
        <f>R27</f>
        <v>0.93273558038676008</v>
      </c>
    </row>
    <row r="13" spans="1:20" x14ac:dyDescent="0.3">
      <c r="A13" t="s">
        <v>7</v>
      </c>
      <c r="B13" t="s">
        <v>8</v>
      </c>
      <c r="C13" t="s">
        <v>9</v>
      </c>
      <c r="E13" t="s">
        <v>15</v>
      </c>
      <c r="H13" s="1" t="str">
        <f>_xlfn.CONCAT($H$11,'Datos auxiliares'!A3)</f>
        <v>M:BMW</v>
      </c>
      <c r="I13" s="1">
        <f>COUNTIF(Tabla2[Make],SUBSTITUTE(H13,$H$11,""))</f>
        <v>16</v>
      </c>
      <c r="J13" s="1">
        <f>I13 / $I$27</f>
        <v>0.16</v>
      </c>
      <c r="K13" s="1">
        <f t="shared" ref="K13:K26" si="0">-LOG10(J13) * J13</f>
        <v>0.12734080277505203</v>
      </c>
      <c r="O13" s="5" t="str">
        <f t="shared" ref="O13:O26" si="1">_xlfn.CONCAT($O$11, E13)</f>
        <v>M:BMW</v>
      </c>
      <c r="P13" s="5">
        <f>COUNTIF(Tabla2[Make],SUBSTITUTE(O13,$O$11,""))</f>
        <v>16</v>
      </c>
      <c r="Q13" s="5">
        <f t="shared" ref="Q13:Q26" si="2">P13 / $P$27</f>
        <v>0.16</v>
      </c>
      <c r="R13" s="5">
        <f t="shared" ref="R13:R26" si="3">-LOG10(Q13) * J13</f>
        <v>0.12734080277505203</v>
      </c>
    </row>
    <row r="14" spans="1:20" x14ac:dyDescent="0.3">
      <c r="A14" t="s">
        <v>13</v>
      </c>
      <c r="B14" t="s">
        <v>4</v>
      </c>
      <c r="C14" t="s">
        <v>5</v>
      </c>
      <c r="E14" t="s">
        <v>18</v>
      </c>
      <c r="H14" s="1" t="str">
        <f>_xlfn.CONCAT($H$11,'Datos auxiliares'!A4)</f>
        <v>M:CADILLAC</v>
      </c>
      <c r="I14" s="1">
        <f>COUNTIF(Tabla2[Make],SUBSTITUTE(H14,$H$11,""))</f>
        <v>1</v>
      </c>
      <c r="J14" s="1">
        <f>I14 / $I$27</f>
        <v>0.01</v>
      </c>
      <c r="K14" s="1">
        <f t="shared" si="0"/>
        <v>0.02</v>
      </c>
      <c r="O14" s="5" t="str">
        <f t="shared" si="1"/>
        <v>M:CADILLAC</v>
      </c>
      <c r="P14" s="5">
        <f>COUNTIF(Tabla2[Make],SUBSTITUTE(O14,$O$11,""))</f>
        <v>1</v>
      </c>
      <c r="Q14" s="5">
        <f t="shared" si="2"/>
        <v>0.01</v>
      </c>
      <c r="R14" s="5">
        <f t="shared" si="3"/>
        <v>0.02</v>
      </c>
    </row>
    <row r="15" spans="1:20" x14ac:dyDescent="0.3">
      <c r="A15" t="s">
        <v>3</v>
      </c>
      <c r="B15" t="s">
        <v>4</v>
      </c>
      <c r="C15" t="s">
        <v>5</v>
      </c>
      <c r="E15" t="s">
        <v>12</v>
      </c>
      <c r="H15" s="1" t="str">
        <f>_xlfn.CONCAT($H$11,'Datos auxiliares'!A5)</f>
        <v>M:CHEVROLET</v>
      </c>
      <c r="I15" s="1">
        <f>COUNTIF(Tabla2[Make],SUBSTITUTE(H15,$H$11,""))</f>
        <v>5</v>
      </c>
      <c r="J15" s="1">
        <f>I15 / $I$27</f>
        <v>0.05</v>
      </c>
      <c r="K15" s="1">
        <f t="shared" si="0"/>
        <v>6.505149978319906E-2</v>
      </c>
      <c r="O15" s="5" t="str">
        <f t="shared" si="1"/>
        <v>M:CHEVROLET</v>
      </c>
      <c r="P15" s="5">
        <f>COUNTIF(Tabla2[Make],SUBSTITUTE(O15,$O$11,""))</f>
        <v>5</v>
      </c>
      <c r="Q15" s="5">
        <f t="shared" si="2"/>
        <v>0.05</v>
      </c>
      <c r="R15" s="5">
        <f t="shared" si="3"/>
        <v>6.505149978319906E-2</v>
      </c>
    </row>
    <row r="16" spans="1:20" x14ac:dyDescent="0.3">
      <c r="A16" t="s">
        <v>3</v>
      </c>
      <c r="B16" t="s">
        <v>4</v>
      </c>
      <c r="C16" t="s">
        <v>5</v>
      </c>
      <c r="E16" t="s">
        <v>13</v>
      </c>
      <c r="H16" s="1" t="str">
        <f>_xlfn.CONCAT($H$11,'Datos auxiliares'!A6)</f>
        <v>M:FIAT</v>
      </c>
      <c r="I16" s="1">
        <f>COUNTIF(Tabla2[Make],SUBSTITUTE(H16,$H$11,""))</f>
        <v>2</v>
      </c>
      <c r="J16" s="1">
        <f>I16 / $I$27</f>
        <v>0.02</v>
      </c>
      <c r="K16" s="1">
        <f t="shared" si="0"/>
        <v>3.3979400086720374E-2</v>
      </c>
      <c r="O16" s="5" t="str">
        <f t="shared" si="1"/>
        <v>M:FIAT</v>
      </c>
      <c r="P16" s="5">
        <f>COUNTIF(Tabla2[Make],SUBSTITUTE(O16,$O$11,""))</f>
        <v>2</v>
      </c>
      <c r="Q16" s="5">
        <f t="shared" si="2"/>
        <v>0.02</v>
      </c>
      <c r="R16" s="5">
        <f t="shared" si="3"/>
        <v>3.3979400086720374E-2</v>
      </c>
    </row>
    <row r="17" spans="1:18" x14ac:dyDescent="0.3">
      <c r="A17" t="s">
        <v>14</v>
      </c>
      <c r="B17" t="s">
        <v>4</v>
      </c>
      <c r="C17" t="s">
        <v>5</v>
      </c>
      <c r="E17" t="s">
        <v>19</v>
      </c>
      <c r="H17" s="1" t="str">
        <f>_xlfn.CONCAT($H$11,'Datos auxiliares'!A7)</f>
        <v>M:FORD</v>
      </c>
      <c r="I17" s="1">
        <f>COUNTIF(Tabla2[Make],SUBSTITUTE(H17,$H$11,""))</f>
        <v>2</v>
      </c>
      <c r="J17" s="1">
        <f>I17 / $I$27</f>
        <v>0.02</v>
      </c>
      <c r="K17" s="1">
        <f t="shared" si="0"/>
        <v>3.3979400086720374E-2</v>
      </c>
      <c r="O17" s="5" t="str">
        <f t="shared" si="1"/>
        <v>M:FORD</v>
      </c>
      <c r="P17" s="5">
        <f>COUNTIF(Tabla2[Make],SUBSTITUTE(O17,$O$11,""))</f>
        <v>2</v>
      </c>
      <c r="Q17" s="5">
        <f t="shared" si="2"/>
        <v>0.02</v>
      </c>
      <c r="R17" s="5">
        <f t="shared" si="3"/>
        <v>3.3979400086720374E-2</v>
      </c>
    </row>
    <row r="18" spans="1:18" x14ac:dyDescent="0.3">
      <c r="A18" t="s">
        <v>6</v>
      </c>
      <c r="B18" t="s">
        <v>4</v>
      </c>
      <c r="C18" t="s">
        <v>5</v>
      </c>
      <c r="E18" t="s">
        <v>17</v>
      </c>
      <c r="H18" s="1" t="str">
        <f>_xlfn.CONCAT($H$11,'Datos auxiliares'!A8)</f>
        <v>M:HYUNDAI</v>
      </c>
      <c r="I18" s="1">
        <f>COUNTIF(Tabla2[Make],SUBSTITUTE(H18,$H$11,""))</f>
        <v>1</v>
      </c>
      <c r="J18" s="1">
        <f>I18 / $I$27</f>
        <v>0.01</v>
      </c>
      <c r="K18" s="1">
        <f t="shared" si="0"/>
        <v>0.02</v>
      </c>
      <c r="O18" s="5" t="str">
        <f t="shared" si="1"/>
        <v>M:HYUNDAI</v>
      </c>
      <c r="P18" s="5">
        <f>COUNTIF(Tabla2[Make],SUBSTITUTE(O18,$O$11,""))</f>
        <v>1</v>
      </c>
      <c r="Q18" s="5">
        <f t="shared" si="2"/>
        <v>0.01</v>
      </c>
      <c r="R18" s="5">
        <f t="shared" si="3"/>
        <v>0.02</v>
      </c>
    </row>
    <row r="19" spans="1:18" x14ac:dyDescent="0.3">
      <c r="A19" t="s">
        <v>15</v>
      </c>
      <c r="B19" t="s">
        <v>8</v>
      </c>
      <c r="C19" t="s">
        <v>9</v>
      </c>
      <c r="E19" t="s">
        <v>7</v>
      </c>
      <c r="H19" s="1" t="str">
        <f>_xlfn.CONCAT($H$11,'Datos auxiliares'!A9)</f>
        <v>M:JEEP</v>
      </c>
      <c r="I19" s="1">
        <f>COUNTIF(Tabla2[Make],SUBSTITUTE(H19,$H$11,""))</f>
        <v>4</v>
      </c>
      <c r="J19" s="1">
        <f>I19 / $I$27</f>
        <v>0.04</v>
      </c>
      <c r="K19" s="1">
        <f t="shared" si="0"/>
        <v>5.5917600346881501E-2</v>
      </c>
      <c r="O19" s="5" t="str">
        <f t="shared" si="1"/>
        <v>M:JEEP</v>
      </c>
      <c r="P19" s="5">
        <f>COUNTIF(Tabla2[Make],SUBSTITUTE(O19,$O$11,""))</f>
        <v>4</v>
      </c>
      <c r="Q19" s="5">
        <f t="shared" si="2"/>
        <v>0.04</v>
      </c>
      <c r="R19" s="5">
        <f t="shared" si="3"/>
        <v>5.5917600346881501E-2</v>
      </c>
    </row>
    <row r="20" spans="1:18" x14ac:dyDescent="0.3">
      <c r="A20" t="s">
        <v>11</v>
      </c>
      <c r="B20" t="s">
        <v>8</v>
      </c>
      <c r="C20" t="s">
        <v>5</v>
      </c>
      <c r="E20" t="s">
        <v>14</v>
      </c>
      <c r="H20" s="1" t="str">
        <f>_xlfn.CONCAT($H$11,'Datos auxiliares'!A10)</f>
        <v>M:KIA</v>
      </c>
      <c r="I20" s="1">
        <f>COUNTIF(Tabla2[Make],SUBSTITUTE(H20,$H$11,""))</f>
        <v>13</v>
      </c>
      <c r="J20" s="1">
        <f>I20 / $I$27</f>
        <v>0.13</v>
      </c>
      <c r="K20" s="1">
        <f t="shared" si="0"/>
        <v>0.11518736420011122</v>
      </c>
      <c r="O20" s="5" t="str">
        <f t="shared" si="1"/>
        <v>M:KIA</v>
      </c>
      <c r="P20" s="5">
        <f>COUNTIF(Tabla2[Make],SUBSTITUTE(O20,$O$11,""))</f>
        <v>13</v>
      </c>
      <c r="Q20" s="5">
        <f t="shared" si="2"/>
        <v>0.13</v>
      </c>
      <c r="R20" s="5">
        <f t="shared" si="3"/>
        <v>0.11518736420011122</v>
      </c>
    </row>
    <row r="21" spans="1:18" x14ac:dyDescent="0.3">
      <c r="A21" t="s">
        <v>15</v>
      </c>
      <c r="B21" t="s">
        <v>8</v>
      </c>
      <c r="C21" t="s">
        <v>5</v>
      </c>
      <c r="E21" t="s">
        <v>6</v>
      </c>
      <c r="H21" s="1" t="str">
        <f>_xlfn.CONCAT($H$11,'Datos auxiliares'!A11)</f>
        <v>M:NISSAN</v>
      </c>
      <c r="I21" s="1">
        <f>COUNTIF(Tabla2[Make],SUBSTITUTE(H21,$H$11,""))</f>
        <v>13</v>
      </c>
      <c r="J21" s="1">
        <f>I21 / $I$27</f>
        <v>0.13</v>
      </c>
      <c r="K21" s="1">
        <f t="shared" si="0"/>
        <v>0.11518736420011122</v>
      </c>
      <c r="O21" s="5" t="str">
        <f t="shared" si="1"/>
        <v>M:NISSAN</v>
      </c>
      <c r="P21" s="5">
        <f>COUNTIF(Tabla2[Make],SUBSTITUTE(O21,$O$11,""))</f>
        <v>13</v>
      </c>
      <c r="Q21" s="5">
        <f t="shared" si="2"/>
        <v>0.13</v>
      </c>
      <c r="R21" s="5">
        <f t="shared" si="3"/>
        <v>0.11518736420011122</v>
      </c>
    </row>
    <row r="22" spans="1:18" x14ac:dyDescent="0.3">
      <c r="A22" t="s">
        <v>3</v>
      </c>
      <c r="B22" t="s">
        <v>4</v>
      </c>
      <c r="C22" t="s">
        <v>5</v>
      </c>
      <c r="E22" t="s">
        <v>22</v>
      </c>
      <c r="H22" s="1" t="str">
        <f>_xlfn.CONCAT($H$11,'Datos auxiliares'!A12)</f>
        <v>M:POLESTAR</v>
      </c>
      <c r="I22" s="1">
        <f>COUNTIF(Tabla2[Make],SUBSTITUTE(H22,$H$11,""))</f>
        <v>1</v>
      </c>
      <c r="J22" s="1">
        <f>I22 / $I$27</f>
        <v>0.01</v>
      </c>
      <c r="K22" s="1">
        <f t="shared" si="0"/>
        <v>0.02</v>
      </c>
      <c r="O22" s="5" t="str">
        <f t="shared" si="1"/>
        <v>M:POLESTAR</v>
      </c>
      <c r="P22" s="5">
        <f>COUNTIF(Tabla2[Make],SUBSTITUTE(O22,$O$11,""))</f>
        <v>1</v>
      </c>
      <c r="Q22" s="5">
        <f t="shared" si="2"/>
        <v>0.01</v>
      </c>
      <c r="R22" s="5">
        <f t="shared" si="3"/>
        <v>0.02</v>
      </c>
    </row>
    <row r="23" spans="1:18" x14ac:dyDescent="0.3">
      <c r="A23" t="s">
        <v>6</v>
      </c>
      <c r="B23" t="s">
        <v>4</v>
      </c>
      <c r="C23" t="s">
        <v>5</v>
      </c>
      <c r="E23" t="s">
        <v>20</v>
      </c>
      <c r="H23" s="1" t="str">
        <f>_xlfn.CONCAT($H$11,'Datos auxiliares'!A13)</f>
        <v>M:PORSCHE</v>
      </c>
      <c r="I23" s="1">
        <f>COUNTIF(Tabla2[Make],SUBSTITUTE(H23,$H$11,""))</f>
        <v>1</v>
      </c>
      <c r="J23" s="1">
        <f>I23 / $I$27</f>
        <v>0.01</v>
      </c>
      <c r="K23" s="1">
        <f t="shared" si="0"/>
        <v>0.02</v>
      </c>
      <c r="O23" s="5" t="str">
        <f t="shared" si="1"/>
        <v>M:PORSCHE</v>
      </c>
      <c r="P23" s="5">
        <f>COUNTIF(Tabla2[Make],SUBSTITUTE(O23,$O$11,""))</f>
        <v>1</v>
      </c>
      <c r="Q23" s="5">
        <f t="shared" si="2"/>
        <v>0.01</v>
      </c>
      <c r="R23" s="5">
        <f t="shared" si="3"/>
        <v>0.02</v>
      </c>
    </row>
    <row r="24" spans="1:18" x14ac:dyDescent="0.3">
      <c r="A24" t="s">
        <v>15</v>
      </c>
      <c r="B24" t="s">
        <v>8</v>
      </c>
      <c r="C24" t="s">
        <v>5</v>
      </c>
      <c r="E24" t="s">
        <v>3</v>
      </c>
      <c r="H24" s="1" t="str">
        <f>_xlfn.CONCAT($H$11,'Datos auxiliares'!A14)</f>
        <v>M:TESLA</v>
      </c>
      <c r="I24" s="1">
        <f>COUNTIF(Tabla2[Make],SUBSTITUTE(H24,$H$11,""))</f>
        <v>30</v>
      </c>
      <c r="J24" s="1">
        <f>I24 / $I$27</f>
        <v>0.3</v>
      </c>
      <c r="K24" s="1">
        <f t="shared" si="0"/>
        <v>0.15686362358410127</v>
      </c>
      <c r="O24" s="5" t="str">
        <f t="shared" si="1"/>
        <v>M:TESLA</v>
      </c>
      <c r="P24" s="5">
        <f>COUNTIF(Tabla2[Make],SUBSTITUTE(O24,$O$11,""))</f>
        <v>30</v>
      </c>
      <c r="Q24" s="5">
        <f t="shared" si="2"/>
        <v>0.3</v>
      </c>
      <c r="R24" s="5">
        <f t="shared" si="3"/>
        <v>0.15686362358410127</v>
      </c>
    </row>
    <row r="25" spans="1:18" x14ac:dyDescent="0.3">
      <c r="A25" t="s">
        <v>3</v>
      </c>
      <c r="B25" t="s">
        <v>4</v>
      </c>
      <c r="C25" t="s">
        <v>5</v>
      </c>
      <c r="E25" t="s">
        <v>21</v>
      </c>
      <c r="H25" s="1" t="str">
        <f>_xlfn.CONCAT($H$11,'Datos auxiliares'!A15)</f>
        <v>M:VOLKSWAGEN</v>
      </c>
      <c r="I25" s="1">
        <f>COUNTIF(Tabla2[Make],SUBSTITUTE(H25,$H$11,""))</f>
        <v>1</v>
      </c>
      <c r="J25" s="1">
        <f>I25 / $I$27</f>
        <v>0.01</v>
      </c>
      <c r="K25" s="1">
        <f t="shared" si="0"/>
        <v>0.02</v>
      </c>
      <c r="O25" s="5" t="str">
        <f t="shared" si="1"/>
        <v>M:VOLKSWAGEN</v>
      </c>
      <c r="P25" s="5">
        <f>COUNTIF(Tabla2[Make],SUBSTITUTE(O25,$O$11,""))</f>
        <v>1</v>
      </c>
      <c r="Q25" s="5">
        <f t="shared" si="2"/>
        <v>0.01</v>
      </c>
      <c r="R25" s="5">
        <f t="shared" si="3"/>
        <v>0.02</v>
      </c>
    </row>
    <row r="26" spans="1:18" x14ac:dyDescent="0.3">
      <c r="A26" t="s">
        <v>14</v>
      </c>
      <c r="B26" t="s">
        <v>4</v>
      </c>
      <c r="C26" t="s">
        <v>5</v>
      </c>
      <c r="E26" t="s">
        <v>11</v>
      </c>
      <c r="H26" s="1" t="str">
        <f>_xlfn.CONCAT($H$11,'Datos auxiliares'!A16)</f>
        <v>M:VOLVO</v>
      </c>
      <c r="I26" s="1">
        <f>COUNTIF(Tabla2[Make],SUBSTITUTE(H26,$H$11,""))</f>
        <v>6</v>
      </c>
      <c r="J26" s="1">
        <f>I26 / $I$27</f>
        <v>0.06</v>
      </c>
      <c r="K26" s="1">
        <f t="shared" si="0"/>
        <v>7.3310924976981384E-2</v>
      </c>
      <c r="O26" s="5" t="str">
        <f t="shared" si="1"/>
        <v>M:VOLVO</v>
      </c>
      <c r="P26" s="5">
        <f>COUNTIF(Tabla2[Make],SUBSTITUTE(O26,$O$11,""))</f>
        <v>6</v>
      </c>
      <c r="Q26" s="5">
        <f t="shared" si="2"/>
        <v>0.06</v>
      </c>
      <c r="R26" s="5">
        <f t="shared" si="3"/>
        <v>7.3310924976981384E-2</v>
      </c>
    </row>
    <row r="27" spans="1:18" x14ac:dyDescent="0.3">
      <c r="A27" t="s">
        <v>14</v>
      </c>
      <c r="B27" t="s">
        <v>8</v>
      </c>
      <c r="C27" t="s">
        <v>9</v>
      </c>
      <c r="H27" s="1"/>
      <c r="I27" s="2">
        <f>SUM(I12:I26)</f>
        <v>100</v>
      </c>
      <c r="J27" s="2">
        <f>SUM(J12:J26)</f>
        <v>1.0000000000000002</v>
      </c>
      <c r="K27" s="2">
        <f>SUM(K12:K26)</f>
        <v>0.93273558038676008</v>
      </c>
      <c r="P27" s="5">
        <f>SUM(P12:P26)</f>
        <v>100</v>
      </c>
      <c r="Q27" s="6">
        <v>1.0000000000000002</v>
      </c>
      <c r="R27" s="6">
        <v>0.93273558038676008</v>
      </c>
    </row>
    <row r="28" spans="1:18" x14ac:dyDescent="0.3">
      <c r="A28" t="s">
        <v>3</v>
      </c>
      <c r="B28" t="s">
        <v>4</v>
      </c>
      <c r="C28" t="s">
        <v>16</v>
      </c>
    </row>
    <row r="29" spans="1:18" x14ac:dyDescent="0.3">
      <c r="A29" t="s">
        <v>14</v>
      </c>
      <c r="B29" t="s">
        <v>4</v>
      </c>
      <c r="C29" t="s">
        <v>5</v>
      </c>
      <c r="H29" s="2" t="s">
        <v>34</v>
      </c>
      <c r="I29" s="1" t="s">
        <v>29</v>
      </c>
      <c r="J29" s="1" t="s">
        <v>31</v>
      </c>
      <c r="K29" s="1" t="s">
        <v>38</v>
      </c>
      <c r="M29" s="1" t="s">
        <v>33</v>
      </c>
      <c r="O29" s="1" t="s">
        <v>46</v>
      </c>
    </row>
    <row r="30" spans="1:18" x14ac:dyDescent="0.3">
      <c r="A30" t="s">
        <v>3</v>
      </c>
      <c r="B30" t="s">
        <v>4</v>
      </c>
      <c r="C30" t="s">
        <v>16</v>
      </c>
      <c r="E30" t="s">
        <v>10</v>
      </c>
      <c r="F30" t="s">
        <v>40</v>
      </c>
      <c r="H30" s="1" t="str">
        <f>_xlfn.CONCAT(_xlfn.CONCAT($H$29,'Datos auxiliares'!A2),"-B")</f>
        <v>MT:AUDI-B</v>
      </c>
      <c r="I30" s="1">
        <f>COUNTIFS(
Tabla2[Make],
E30,
Tabla2[Electric Vehicle Type], _xlfn.IFS(F30 = "B",'Datos auxiliares'!$B$2,F30 = "P",'Datos auxiliares'!$B$3))</f>
        <v>1</v>
      </c>
      <c r="J30" s="1">
        <f>I30 / $I$60</f>
        <v>0.01</v>
      </c>
      <c r="K30" s="1">
        <f t="shared" ref="K30:K59" si="4">IFERROR(-LOG10(J30) * J30, "No hay Log de 0")</f>
        <v>0.02</v>
      </c>
      <c r="M30" s="1">
        <f>K60</f>
        <v>8.5051499783199064E-2</v>
      </c>
      <c r="O30" s="1" t="str">
        <f>_xlfn.CONCAT($O$29, E12, "-", G63)</f>
        <v>ME:AUDI-C</v>
      </c>
      <c r="P30" s="1">
        <f>COUNTIF(
Tabla2[Make],
SUBSTITUTE(
SUBSTITUTE(
SUBSTITUTE(
SUBSTITUTE(
SUBSTITUTE(
SUBSTITUTE(
SUBSTITUTE(
SUBSTITUTE(
SUBSTITUTE(
SUBSTITUTE(
SUBSTITUTE(
SUBSTITUTE(
SUBSTITUTE(
SUBSTITUTE(
SUBSTITUTE(
SUBSTITUTE(
SUBSTITUTE(
SUBSTITUTE(
SUBSTITUTE(O30,$O$29,""),"AUDI",""),"BMW",""),"CADILLAC",""),"CHEVROLET",""),"FIAT",""),"FORD",""),"HYUNDAI",""),"JEEP",""),"KIA",""),"NISSAN",""),"POLESTAR",""),"PORSCHE",""),"TESLA",""),"VOLKSWAGEN",""),"VOLVO",""),"-C",'Datos auxiliares'!$C$4),"-E",'Datos auxiliares'!$C$3),"-N",'Datos auxiliares'!$C$3)
)</f>
        <v>0</v>
      </c>
      <c r="Q30" t="e">
        <f>SUBSTITUTE(
SUBSTITUTE(O30, $O$29, ""),'Datos auxiliares'!A2:A16+'Datos auxiliares'!A2:A16,"")</f>
        <v>#VALUE!</v>
      </c>
    </row>
    <row r="31" spans="1:18" x14ac:dyDescent="0.3">
      <c r="A31" t="s">
        <v>14</v>
      </c>
      <c r="B31" t="s">
        <v>4</v>
      </c>
      <c r="C31" t="s">
        <v>5</v>
      </c>
      <c r="E31" t="s">
        <v>10</v>
      </c>
      <c r="F31" t="s">
        <v>41</v>
      </c>
      <c r="H31" s="1" t="str">
        <f>_xlfn.CONCAT(_xlfn.CONCAT($H$29,'Datos auxiliares'!A2),"-P")</f>
        <v>MT:AUDI-P</v>
      </c>
      <c r="I31" s="1">
        <f>COUNTIFS(
Tabla2[Make],
E31,
Tabla2[Electric Vehicle Type], _xlfn.IFS(F31 = "B",'Datos auxiliares'!$B$2,F31 = "P",'Datos auxiliares'!$B$3))</f>
        <v>3</v>
      </c>
      <c r="J31" s="1">
        <f>I31 / $I$60</f>
        <v>0.03</v>
      </c>
      <c r="K31" s="1">
        <f t="shared" si="4"/>
        <v>4.5686362358410129E-2</v>
      </c>
      <c r="O31" s="1" t="str">
        <f>_xlfn.CONCAT($O$29, E12, "-", G64)</f>
        <v>ME:AUDI-E</v>
      </c>
      <c r="P31" s="1">
        <f>COUNTIF(
Tabla2[Make],
SUBSTITUTE(
SUBSTITUTE(
SUBSTITUTE(
SUBSTITUTE(
SUBSTITUTE(
SUBSTITUTE(
SUBSTITUTE(
SUBSTITUTE(
SUBSTITUTE(
SUBSTITUTE(
SUBSTITUTE(
SUBSTITUTE(
SUBSTITUTE(
SUBSTITUTE(
SUBSTITUTE(
SUBSTITUTE(
SUBSTITUTE(
SUBSTITUTE(
SUBSTITUTE(O31,$O$29,""),"AUDI",""),"BMW",""),"CADILLAC",""),"CHEVROLET",""),"FIAT",""),"FORD",""),"HYUNDAI",""),"JEEP",""),"KIA",""),"NISSAN",""),"POLESTAR",""),"PORSCHE",""),"TESLA",""),"VOLKSWAGEN",""),"VOLVO",""),"-C",'Datos auxiliares'!$C$4),"-E",'Datos auxiliares'!$C$3),"-N",'Datos auxiliares'!$C$3)
)</f>
        <v>0</v>
      </c>
    </row>
    <row r="32" spans="1:18" x14ac:dyDescent="0.3">
      <c r="A32" t="s">
        <v>6</v>
      </c>
      <c r="B32" t="s">
        <v>4</v>
      </c>
      <c r="C32" t="s">
        <v>5</v>
      </c>
      <c r="E32" t="s">
        <v>15</v>
      </c>
      <c r="F32" t="s">
        <v>40</v>
      </c>
      <c r="H32" s="1" t="str">
        <f>_xlfn.CONCAT(_xlfn.CONCAT($H$29,'Datos auxiliares'!A3),"-B")</f>
        <v>MT:BMW-B</v>
      </c>
      <c r="I32" s="1">
        <f>COUNTIFS(
Tabla2[Make],
E32,
Tabla2[Electric Vehicle Type], _xlfn.IFS(F32 = "B",'Datos auxiliares'!$B$2,F32 = "P",'Datos auxiliares'!$B$3))</f>
        <v>3</v>
      </c>
      <c r="J32" s="1">
        <f>I32 / $I$60</f>
        <v>0.03</v>
      </c>
      <c r="K32" s="1">
        <f t="shared" si="4"/>
        <v>4.5686362358410129E-2</v>
      </c>
      <c r="O32" s="1" t="str">
        <f>_xlfn.CONCAT($O$29, E12, "-", G65)</f>
        <v>ME:AUDI-N</v>
      </c>
      <c r="P32" s="1">
        <f>COUNTIF(
Tabla2[Make],
SUBSTITUTE(
SUBSTITUTE(
SUBSTITUTE(
SUBSTITUTE(
SUBSTITUTE(
SUBSTITUTE(
SUBSTITUTE(
SUBSTITUTE(
SUBSTITUTE(
SUBSTITUTE(
SUBSTITUTE(
SUBSTITUTE(
SUBSTITUTE(
SUBSTITUTE(
SUBSTITUTE(
SUBSTITUTE(
SUBSTITUTE(
SUBSTITUTE(
SUBSTITUTE(O32,$O$29,""),"AUDI",""),"BMW",""),"CADILLAC",""),"CHEVROLET",""),"FIAT",""),"FORD",""),"HYUNDAI",""),"JEEP",""),"KIA",""),"NISSAN",""),"POLESTAR",""),"PORSCHE",""),"TESLA",""),"VOLKSWAGEN",""),"VOLVO",""),"-C",'Datos auxiliares'!$C$4),"-E",'Datos auxiliares'!$C$3),"-N",'Datos auxiliares'!$C$3)
)</f>
        <v>0</v>
      </c>
    </row>
    <row r="33" spans="1:16" x14ac:dyDescent="0.3">
      <c r="A33" t="s">
        <v>3</v>
      </c>
      <c r="B33" t="s">
        <v>4</v>
      </c>
      <c r="C33" t="s">
        <v>5</v>
      </c>
      <c r="E33" t="s">
        <v>15</v>
      </c>
      <c r="F33" t="s">
        <v>41</v>
      </c>
      <c r="H33" s="1" t="str">
        <f>_xlfn.CONCAT(_xlfn.CONCAT($H$29,'Datos auxiliares'!A3),"-P")</f>
        <v>MT:BMW-P</v>
      </c>
      <c r="I33" s="1">
        <f>COUNTIFS(
Tabla2[Make],
E33,
Tabla2[Electric Vehicle Type], _xlfn.IFS(F33 = "B",'Datos auxiliares'!$B$2,F33 = "P",'Datos auxiliares'!$B$3))</f>
        <v>13</v>
      </c>
      <c r="J33" s="1">
        <f>I33 / $I$60</f>
        <v>0.13</v>
      </c>
      <c r="K33" s="1">
        <f t="shared" si="4"/>
        <v>0.11518736420011122</v>
      </c>
      <c r="O33" s="1" t="str">
        <f>_xlfn.CONCAT($O$29, E13, "-", G66)</f>
        <v>ME:BMW-C</v>
      </c>
      <c r="P33" s="1">
        <f>COUNTIF(
Tabla2[Make],
SUBSTITUTE(
SUBSTITUTE(
SUBSTITUTE(
SUBSTITUTE(
SUBSTITUTE(
SUBSTITUTE(
SUBSTITUTE(
SUBSTITUTE(
SUBSTITUTE(
SUBSTITUTE(
SUBSTITUTE(
SUBSTITUTE(
SUBSTITUTE(
SUBSTITUTE(
SUBSTITUTE(
SUBSTITUTE(
SUBSTITUTE(
SUBSTITUTE(
SUBSTITUTE(O33,$O$29,""),"AUDI",""),"BMW",""),"CADILLAC",""),"CHEVROLET",""),"FIAT",""),"FORD",""),"HYUNDAI",""),"JEEP",""),"KIA",""),"NISSAN",""),"POLESTAR",""),"PORSCHE",""),"TESLA",""),"VOLKSWAGEN",""),"VOLVO",""),"-C",'Datos auxiliares'!$C$4),"-E",'Datos auxiliares'!$C$3),"-N",'Datos auxiliares'!$C$3)
)</f>
        <v>0</v>
      </c>
    </row>
    <row r="34" spans="1:16" x14ac:dyDescent="0.3">
      <c r="A34" t="s">
        <v>3</v>
      </c>
      <c r="B34" t="s">
        <v>4</v>
      </c>
      <c r="C34" t="s">
        <v>5</v>
      </c>
      <c r="E34" t="s">
        <v>18</v>
      </c>
      <c r="F34" t="s">
        <v>40</v>
      </c>
      <c r="H34" s="1" t="str">
        <f>_xlfn.CONCAT(_xlfn.CONCAT($H$29,'Datos auxiliares'!A4),"-B")</f>
        <v>MT:CADILLAC-B</v>
      </c>
      <c r="I34" s="1">
        <f>COUNTIFS(
Tabla2[Make],
E34,
Tabla2[Electric Vehicle Type], _xlfn.IFS(F34 = "B",'Datos auxiliares'!$B$2,F34 = "P",'Datos auxiliares'!$B$3))</f>
        <v>0</v>
      </c>
      <c r="J34" s="1">
        <f>I34 / $I$60</f>
        <v>0</v>
      </c>
      <c r="K34" s="1" t="str">
        <f t="shared" si="4"/>
        <v>No hay Log de 0</v>
      </c>
      <c r="O34" s="1" t="str">
        <f>_xlfn.CONCAT($O$29, E13, "-", G67)</f>
        <v>ME:BMW-E</v>
      </c>
      <c r="P34" s="1">
        <f>COUNTIF(
Tabla2[Make],
SUBSTITUTE(
SUBSTITUTE(
SUBSTITUTE(
SUBSTITUTE(
SUBSTITUTE(
SUBSTITUTE(
SUBSTITUTE(
SUBSTITUTE(
SUBSTITUTE(
SUBSTITUTE(
SUBSTITUTE(
SUBSTITUTE(
SUBSTITUTE(
SUBSTITUTE(
SUBSTITUTE(
SUBSTITUTE(
SUBSTITUTE(
SUBSTITUTE(
SUBSTITUTE(O34,$O$29,""),"AUDI",""),"BMW",""),"CADILLAC",""),"CHEVROLET",""),"FIAT",""),"FORD",""),"HYUNDAI",""),"JEEP",""),"KIA",""),"NISSAN",""),"POLESTAR",""),"PORSCHE",""),"TESLA",""),"VOLKSWAGEN",""),"VOLVO",""),"-C",'Datos auxiliares'!$C$4),"-E",'Datos auxiliares'!$C$3),"-N",'Datos auxiliares'!$C$3)
)</f>
        <v>0</v>
      </c>
    </row>
    <row r="35" spans="1:16" x14ac:dyDescent="0.3">
      <c r="A35" t="s">
        <v>3</v>
      </c>
      <c r="B35" t="s">
        <v>4</v>
      </c>
      <c r="C35" t="s">
        <v>5</v>
      </c>
      <c r="E35" t="s">
        <v>18</v>
      </c>
      <c r="F35" t="s">
        <v>41</v>
      </c>
      <c r="H35" s="1" t="str">
        <f>_xlfn.CONCAT(_xlfn.CONCAT($H$29,'Datos auxiliares'!A4),"-P")</f>
        <v>MT:CADILLAC-P</v>
      </c>
      <c r="I35" s="1">
        <f>COUNTIFS(
Tabla2[Make],
E35,
Tabla2[Electric Vehicle Type], _xlfn.IFS(F35 = "B",'Datos auxiliares'!$B$2,F35 = "P",'Datos auxiliares'!$B$3))</f>
        <v>1</v>
      </c>
      <c r="J35" s="1">
        <f>I35 / $I$60</f>
        <v>0.01</v>
      </c>
      <c r="K35" s="1">
        <f t="shared" si="4"/>
        <v>0.02</v>
      </c>
      <c r="O35" s="1" t="str">
        <f>_xlfn.CONCAT($O$29, E13, "-", G68)</f>
        <v>ME:BMW-N</v>
      </c>
      <c r="P35" s="1">
        <f>COUNTIF(
Tabla2[Make],
SUBSTITUTE(
SUBSTITUTE(
SUBSTITUTE(
SUBSTITUTE(
SUBSTITUTE(
SUBSTITUTE(
SUBSTITUTE(
SUBSTITUTE(
SUBSTITUTE(
SUBSTITUTE(
SUBSTITUTE(
SUBSTITUTE(
SUBSTITUTE(
SUBSTITUTE(
SUBSTITUTE(
SUBSTITUTE(
SUBSTITUTE(
SUBSTITUTE(
SUBSTITUTE(O35,$O$29,""),"AUDI",""),"BMW",""),"CADILLAC",""),"CHEVROLET",""),"FIAT",""),"FORD",""),"HYUNDAI",""),"JEEP",""),"KIA",""),"NISSAN",""),"POLESTAR",""),"PORSCHE",""),"TESLA",""),"VOLKSWAGEN",""),"VOLVO",""),"-C",'Datos auxiliares'!$C$4),"-E",'Datos auxiliares'!$C$3),"-N",'Datos auxiliares'!$C$3)
)</f>
        <v>0</v>
      </c>
    </row>
    <row r="36" spans="1:16" x14ac:dyDescent="0.3">
      <c r="A36" t="s">
        <v>17</v>
      </c>
      <c r="B36" t="s">
        <v>8</v>
      </c>
      <c r="C36" t="s">
        <v>5</v>
      </c>
      <c r="E36" t="s">
        <v>12</v>
      </c>
      <c r="F36" t="s">
        <v>40</v>
      </c>
      <c r="H36" s="1" t="str">
        <f>_xlfn.CONCAT(_xlfn.CONCAT($H$29,'Datos auxiliares'!A5),"-B")</f>
        <v>MT:CHEVROLET-B</v>
      </c>
      <c r="I36" s="1">
        <f>COUNTIFS(
Tabla2[Make],
E36,
Tabla2[Electric Vehicle Type], _xlfn.IFS(F36 = "B",'Datos auxiliares'!$B$2,F36 = "P",'Datos auxiliares'!$B$3))</f>
        <v>3</v>
      </c>
      <c r="J36" s="1">
        <f>I36 / $I$60</f>
        <v>0.03</v>
      </c>
      <c r="K36" s="1">
        <f t="shared" si="4"/>
        <v>4.5686362358410129E-2</v>
      </c>
      <c r="O36" s="1" t="str">
        <f t="shared" ref="O36" si="5">_xlfn.CONCAT($O$29, E18, "-", G69)</f>
        <v>ME:HYUNDAI-C</v>
      </c>
      <c r="P36" s="1">
        <f>COUNTIF(
Tabla2[Make],
SUBSTITUTE(
SUBSTITUTE(
SUBSTITUTE(
SUBSTITUTE(
SUBSTITUTE(
SUBSTITUTE(
SUBSTITUTE(
SUBSTITUTE(
SUBSTITUTE(
SUBSTITUTE(
SUBSTITUTE(
SUBSTITUTE(
SUBSTITUTE(
SUBSTITUTE(
SUBSTITUTE(
SUBSTITUTE(
SUBSTITUTE(
SUBSTITUTE(
SUBSTITUTE(O36,$O$29,""),"AUDI",""),"BMW",""),"CADILLAC",""),"CHEVROLET",""),"FIAT",""),"FORD",""),"HYUNDAI",""),"JEEP",""),"KIA",""),"NISSAN",""),"POLESTAR",""),"PORSCHE",""),"TESLA",""),"VOLKSWAGEN",""),"VOLVO",""),"-C",'Datos auxiliares'!$C$4),"-E",'Datos auxiliares'!$C$3),"-N",'Datos auxiliares'!$C$3)
)</f>
        <v>0</v>
      </c>
    </row>
    <row r="37" spans="1:16" x14ac:dyDescent="0.3">
      <c r="A37" t="s">
        <v>15</v>
      </c>
      <c r="B37" t="s">
        <v>8</v>
      </c>
      <c r="C37" t="s">
        <v>9</v>
      </c>
      <c r="E37" t="s">
        <v>12</v>
      </c>
      <c r="F37" t="s">
        <v>41</v>
      </c>
      <c r="H37" s="1" t="str">
        <f>_xlfn.CONCAT(_xlfn.CONCAT($H$29,'Datos auxiliares'!A5),"-P")</f>
        <v>MT:CHEVROLET-P</v>
      </c>
      <c r="I37" s="1">
        <f>COUNTIFS(
Tabla2[Make],
E37,
Tabla2[Electric Vehicle Type], _xlfn.IFS(F37 = "B",'Datos auxiliares'!$B$2,F37 = "P",'Datos auxiliares'!$B$3))</f>
        <v>2</v>
      </c>
      <c r="J37" s="1">
        <f>I37 / $I$60</f>
        <v>0.02</v>
      </c>
      <c r="K37" s="1">
        <f t="shared" si="4"/>
        <v>3.3979400086720374E-2</v>
      </c>
      <c r="O37" s="1" t="str">
        <f t="shared" ref="O37" si="6">_xlfn.CONCAT($O$29, E18, "-", G70)</f>
        <v>ME:HYUNDAI-E</v>
      </c>
      <c r="P37" s="1">
        <f>COUNTIF(
Tabla2[Make],
SUBSTITUTE(
SUBSTITUTE(
SUBSTITUTE(
SUBSTITUTE(
SUBSTITUTE(
SUBSTITUTE(
SUBSTITUTE(
SUBSTITUTE(
SUBSTITUTE(
SUBSTITUTE(
SUBSTITUTE(
SUBSTITUTE(
SUBSTITUTE(
SUBSTITUTE(
SUBSTITUTE(
SUBSTITUTE(
SUBSTITUTE(
SUBSTITUTE(
SUBSTITUTE(O37,$O$29,""),"AUDI",""),"BMW",""),"CADILLAC",""),"CHEVROLET",""),"FIAT",""),"FORD",""),"HYUNDAI",""),"JEEP",""),"KIA",""),"NISSAN",""),"POLESTAR",""),"PORSCHE",""),"TESLA",""),"VOLKSWAGEN",""),"VOLVO",""),"-C",'Datos auxiliares'!$C$4),"-E",'Datos auxiliares'!$C$3),"-N",'Datos auxiliares'!$C$3)
)</f>
        <v>0</v>
      </c>
    </row>
    <row r="38" spans="1:16" x14ac:dyDescent="0.3">
      <c r="A38" t="s">
        <v>15</v>
      </c>
      <c r="B38" t="s">
        <v>8</v>
      </c>
      <c r="C38" t="s">
        <v>5</v>
      </c>
      <c r="E38" t="s">
        <v>13</v>
      </c>
      <c r="F38" t="s">
        <v>40</v>
      </c>
      <c r="H38" s="1" t="str">
        <f>_xlfn.CONCAT(_xlfn.CONCAT($H$29,'Datos auxiliares'!A6),"-B")</f>
        <v>MT:FIAT-B</v>
      </c>
      <c r="I38" s="1">
        <f>COUNTIFS(
Tabla2[Make],
E38,
Tabla2[Electric Vehicle Type], _xlfn.IFS(F38 = "B",'Datos auxiliares'!$B$2,F38 = "P",'Datos auxiliares'!$B$3))</f>
        <v>2</v>
      </c>
      <c r="J38" s="1">
        <f>I38 / $I$60</f>
        <v>0.02</v>
      </c>
      <c r="K38" s="1">
        <f t="shared" si="4"/>
        <v>3.3979400086720374E-2</v>
      </c>
      <c r="O38" s="1" t="str">
        <f t="shared" ref="O38:O39" si="7">_xlfn.CONCAT($O$29, E18, "-", G71)</f>
        <v>ME:HYUNDAI-N</v>
      </c>
      <c r="P38" s="1">
        <f>COUNTIF(
Tabla2[Make],
SUBSTITUTE(
SUBSTITUTE(
SUBSTITUTE(
SUBSTITUTE(
SUBSTITUTE(
SUBSTITUTE(
SUBSTITUTE(
SUBSTITUTE(
SUBSTITUTE(
SUBSTITUTE(
SUBSTITUTE(
SUBSTITUTE(
SUBSTITUTE(
SUBSTITUTE(
SUBSTITUTE(
SUBSTITUTE(
SUBSTITUTE(
SUBSTITUTE(
SUBSTITUTE(O38,$O$29,""),"AUDI",""),"BMW",""),"CADILLAC",""),"CHEVROLET",""),"FIAT",""),"FORD",""),"HYUNDAI",""),"JEEP",""),"KIA",""),"NISSAN",""),"POLESTAR",""),"PORSCHE",""),"TESLA",""),"VOLKSWAGEN",""),"VOLVO",""),"-C",'Datos auxiliares'!$C$4),"-E",'Datos auxiliares'!$C$3),"-N",'Datos auxiliares'!$C$3)
)</f>
        <v>0</v>
      </c>
    </row>
    <row r="39" spans="1:16" x14ac:dyDescent="0.3">
      <c r="A39" t="s">
        <v>15</v>
      </c>
      <c r="B39" t="s">
        <v>8</v>
      </c>
      <c r="C39" t="s">
        <v>5</v>
      </c>
      <c r="E39" t="s">
        <v>13</v>
      </c>
      <c r="F39" t="s">
        <v>41</v>
      </c>
      <c r="H39" s="1" t="str">
        <f>_xlfn.CONCAT(_xlfn.CONCAT($H$29,'Datos auxiliares'!A6),"-P")</f>
        <v>MT:FIAT-P</v>
      </c>
      <c r="I39" s="1">
        <f>COUNTIFS(
Tabla2[Make],
E39,
Tabla2[Electric Vehicle Type], _xlfn.IFS(F39 = "B",'Datos auxiliares'!$B$2,F39 = "P",'Datos auxiliares'!$B$3))</f>
        <v>0</v>
      </c>
      <c r="J39" s="1">
        <f>I39 / $I$60</f>
        <v>0</v>
      </c>
      <c r="K39" s="1" t="str">
        <f t="shared" si="4"/>
        <v>No hay Log de 0</v>
      </c>
      <c r="O39" s="1" t="str">
        <f t="shared" si="7"/>
        <v>ME:JEEP-C</v>
      </c>
      <c r="P39" s="1">
        <f>COUNTIF(
Tabla2[Make],
SUBSTITUTE(
SUBSTITUTE(
SUBSTITUTE(
SUBSTITUTE(
SUBSTITUTE(
SUBSTITUTE(
SUBSTITUTE(
SUBSTITUTE(
SUBSTITUTE(
SUBSTITUTE(
SUBSTITUTE(
SUBSTITUTE(
SUBSTITUTE(
SUBSTITUTE(
SUBSTITUTE(
SUBSTITUTE(
SUBSTITUTE(
SUBSTITUTE(
SUBSTITUTE(O39,$O$29,""),"AUDI",""),"BMW",""),"CADILLAC",""),"CHEVROLET",""),"FIAT",""),"FORD",""),"HYUNDAI",""),"JEEP",""),"KIA",""),"NISSAN",""),"POLESTAR",""),"PORSCHE",""),"TESLA",""),"VOLKSWAGEN",""),"VOLVO",""),"-C",'Datos auxiliares'!$C$4),"-E",'Datos auxiliares'!$C$3),"-N",'Datos auxiliares'!$C$3)
)</f>
        <v>0</v>
      </c>
    </row>
    <row r="40" spans="1:16" x14ac:dyDescent="0.3">
      <c r="A40" t="s">
        <v>6</v>
      </c>
      <c r="B40" t="s">
        <v>4</v>
      </c>
      <c r="C40" t="s">
        <v>5</v>
      </c>
      <c r="E40" t="s">
        <v>19</v>
      </c>
      <c r="F40" t="s">
        <v>40</v>
      </c>
      <c r="H40" s="1" t="str">
        <f>_xlfn.CONCAT(_xlfn.CONCAT($H$29,'Datos auxiliares'!A7),"-B")</f>
        <v>MT:FORD-B</v>
      </c>
      <c r="I40" s="1">
        <f>COUNTIFS(
Tabla2[Make],
E40,
Tabla2[Electric Vehicle Type], _xlfn.IFS(F40 = "B",'Datos auxiliares'!$B$2,F40 = "P",'Datos auxiliares'!$B$3))</f>
        <v>1</v>
      </c>
      <c r="J40" s="1">
        <f>I40 / $I$60</f>
        <v>0.01</v>
      </c>
      <c r="K40" s="1">
        <f t="shared" si="4"/>
        <v>0.02</v>
      </c>
      <c r="O40" s="1" t="str">
        <f t="shared" ref="O40" si="8">_xlfn.CONCAT($O$29, E19, "-", G73)</f>
        <v>ME:JEEP-E</v>
      </c>
      <c r="P40" s="1">
        <f>COUNTIF(
Tabla2[Make],
SUBSTITUTE(
SUBSTITUTE(
SUBSTITUTE(
SUBSTITUTE(
SUBSTITUTE(
SUBSTITUTE(
SUBSTITUTE(
SUBSTITUTE(
SUBSTITUTE(
SUBSTITUTE(
SUBSTITUTE(
SUBSTITUTE(
SUBSTITUTE(
SUBSTITUTE(
SUBSTITUTE(
SUBSTITUTE(
SUBSTITUTE(
SUBSTITUTE(
SUBSTITUTE(O40,$O$29,""),"AUDI",""),"BMW",""),"CADILLAC",""),"CHEVROLET",""),"FIAT",""),"FORD",""),"HYUNDAI",""),"JEEP",""),"KIA",""),"NISSAN",""),"POLESTAR",""),"PORSCHE",""),"TESLA",""),"VOLKSWAGEN",""),"VOLVO",""),"-C",'Datos auxiliares'!$C$4),"-E",'Datos auxiliares'!$C$3),"-N",'Datos auxiliares'!$C$3)
)</f>
        <v>0</v>
      </c>
    </row>
    <row r="41" spans="1:16" x14ac:dyDescent="0.3">
      <c r="A41" t="s">
        <v>14</v>
      </c>
      <c r="B41" t="s">
        <v>8</v>
      </c>
      <c r="C41" t="s">
        <v>5</v>
      </c>
      <c r="E41" t="s">
        <v>19</v>
      </c>
      <c r="F41" t="s">
        <v>41</v>
      </c>
      <c r="H41" s="1" t="str">
        <f>_xlfn.CONCAT(_xlfn.CONCAT($H$29,'Datos auxiliares'!A7),"-P")</f>
        <v>MT:FORD-P</v>
      </c>
      <c r="I41" s="1">
        <f>COUNTIFS(
Tabla2[Make],
E41,
Tabla2[Electric Vehicle Type], _xlfn.IFS(F41 = "B",'Datos auxiliares'!$B$2,F41 = "P",'Datos auxiliares'!$B$3))</f>
        <v>1</v>
      </c>
      <c r="J41" s="1">
        <f>I41 / $I$60</f>
        <v>0.01</v>
      </c>
      <c r="K41" s="1">
        <f t="shared" si="4"/>
        <v>0.02</v>
      </c>
      <c r="O41" s="1" t="str">
        <f t="shared" ref="O41" si="9">_xlfn.CONCAT($O$29, E19, "-", G74)</f>
        <v>ME:JEEP-N</v>
      </c>
      <c r="P41" s="1">
        <f>COUNTIF(
Tabla2[Make],
SUBSTITUTE(
SUBSTITUTE(
SUBSTITUTE(
SUBSTITUTE(
SUBSTITUTE(
SUBSTITUTE(
SUBSTITUTE(
SUBSTITUTE(
SUBSTITUTE(
SUBSTITUTE(
SUBSTITUTE(
SUBSTITUTE(
SUBSTITUTE(
SUBSTITUTE(
SUBSTITUTE(
SUBSTITUTE(
SUBSTITUTE(
SUBSTITUTE(
SUBSTITUTE(O41,$O$29,""),"AUDI",""),"BMW",""),"CADILLAC",""),"CHEVROLET",""),"FIAT",""),"FORD",""),"HYUNDAI",""),"JEEP",""),"KIA",""),"NISSAN",""),"POLESTAR",""),"PORSCHE",""),"TESLA",""),"VOLKSWAGEN",""),"VOLVO",""),"-C",'Datos auxiliares'!$C$4),"-E",'Datos auxiliares'!$C$3),"-N",'Datos auxiliares'!$C$3)
)</f>
        <v>0</v>
      </c>
    </row>
    <row r="42" spans="1:16" x14ac:dyDescent="0.3">
      <c r="A42" t="s">
        <v>15</v>
      </c>
      <c r="B42" t="s">
        <v>8</v>
      </c>
      <c r="C42" t="s">
        <v>5</v>
      </c>
      <c r="E42" t="s">
        <v>17</v>
      </c>
      <c r="F42" t="s">
        <v>40</v>
      </c>
      <c r="H42" s="1" t="str">
        <f>_xlfn.CONCAT(_xlfn.CONCAT($H$29,'Datos auxiliares'!A8),"-B")</f>
        <v>MT:HYUNDAI-B</v>
      </c>
      <c r="I42" s="1">
        <f>COUNTIFS(
Tabla2[Make],
E42,
Tabla2[Electric Vehicle Type], _xlfn.IFS(F42 = "B",'Datos auxiliares'!$B$2,F42 = "P",'Datos auxiliares'!$B$3))</f>
        <v>0</v>
      </c>
      <c r="J42" s="1">
        <f>I42 / $I$60</f>
        <v>0</v>
      </c>
      <c r="K42" s="1" t="str">
        <f t="shared" si="4"/>
        <v>No hay Log de 0</v>
      </c>
      <c r="O42" s="1" t="str">
        <f t="shared" ref="O42" si="10">_xlfn.CONCAT($O$29, E24, "-", G75)</f>
        <v>ME:TESLA-C</v>
      </c>
      <c r="P42" s="1">
        <f>COUNTIF(
Tabla2[Make],
SUBSTITUTE(
SUBSTITUTE(
SUBSTITUTE(
SUBSTITUTE(
SUBSTITUTE(
SUBSTITUTE(
SUBSTITUTE(
SUBSTITUTE(
SUBSTITUTE(
SUBSTITUTE(
SUBSTITUTE(
SUBSTITUTE(
SUBSTITUTE(
SUBSTITUTE(
SUBSTITUTE(
SUBSTITUTE(
SUBSTITUTE(
SUBSTITUTE(
SUBSTITUTE(O42,$O$29,""),"AUDI",""),"BMW",""),"CADILLAC",""),"CHEVROLET",""),"FIAT",""),"FORD",""),"HYUNDAI",""),"JEEP",""),"KIA",""),"NISSAN",""),"POLESTAR",""),"PORSCHE",""),"TESLA",""),"VOLKSWAGEN",""),"VOLVO",""),"-C",'Datos auxiliares'!$C$4),"-E",'Datos auxiliares'!$C$3),"-N",'Datos auxiliares'!$C$3)
)</f>
        <v>0</v>
      </c>
    </row>
    <row r="43" spans="1:16" x14ac:dyDescent="0.3">
      <c r="A43" t="s">
        <v>3</v>
      </c>
      <c r="B43" t="s">
        <v>4</v>
      </c>
      <c r="C43" t="s">
        <v>5</v>
      </c>
      <c r="E43" t="s">
        <v>17</v>
      </c>
      <c r="F43" t="s">
        <v>41</v>
      </c>
      <c r="H43" s="1" t="str">
        <f>_xlfn.CONCAT(_xlfn.CONCAT($H$29,'Datos auxiliares'!A8),"-P")</f>
        <v>MT:HYUNDAI-P</v>
      </c>
      <c r="I43" s="1">
        <f>COUNTIFS(
Tabla2[Make],
E43,
Tabla2[Electric Vehicle Type], _xlfn.IFS(F43 = "B",'Datos auxiliares'!$B$2,F43 = "P",'Datos auxiliares'!$B$3))</f>
        <v>1</v>
      </c>
      <c r="J43" s="1">
        <f>I43 / $I$60</f>
        <v>0.01</v>
      </c>
      <c r="K43" s="1">
        <f t="shared" si="4"/>
        <v>0.02</v>
      </c>
      <c r="O43" s="1" t="str">
        <f t="shared" ref="O43" si="11">_xlfn.CONCAT($O$29, E24, "-", G76)</f>
        <v>ME:TESLA-E</v>
      </c>
      <c r="P43" s="1">
        <f>COUNTIF(
Tabla2[Make],
SUBSTITUTE(
SUBSTITUTE(
SUBSTITUTE(
SUBSTITUTE(
SUBSTITUTE(
SUBSTITUTE(
SUBSTITUTE(
SUBSTITUTE(
SUBSTITUTE(
SUBSTITUTE(
SUBSTITUTE(
SUBSTITUTE(
SUBSTITUTE(
SUBSTITUTE(
SUBSTITUTE(
SUBSTITUTE(
SUBSTITUTE(
SUBSTITUTE(
SUBSTITUTE(O43,$O$29,""),"AUDI",""),"BMW",""),"CADILLAC",""),"CHEVROLET",""),"FIAT",""),"FORD",""),"HYUNDAI",""),"JEEP",""),"KIA",""),"NISSAN",""),"POLESTAR",""),"PORSCHE",""),"TESLA",""),"VOLKSWAGEN",""),"VOLVO",""),"-C",'Datos auxiliares'!$C$4),"-E",'Datos auxiliares'!$C$3),"-N",'Datos auxiliares'!$C$3)
)</f>
        <v>0</v>
      </c>
    </row>
    <row r="44" spans="1:16" x14ac:dyDescent="0.3">
      <c r="A44" t="s">
        <v>3</v>
      </c>
      <c r="B44" t="s">
        <v>4</v>
      </c>
      <c r="C44" t="s">
        <v>16</v>
      </c>
      <c r="E44" t="s">
        <v>7</v>
      </c>
      <c r="F44" t="s">
        <v>40</v>
      </c>
      <c r="H44" s="1" t="str">
        <f>_xlfn.CONCAT(_xlfn.CONCAT($H$29,'Datos auxiliares'!A9),"-B")</f>
        <v>MT:JEEP-B</v>
      </c>
      <c r="I44" s="1">
        <f>COUNTIFS(
Tabla2[Make],
E44,
Tabla2[Electric Vehicle Type], _xlfn.IFS(F44 = "B",'Datos auxiliares'!$B$2,F44 = "P",'Datos auxiliares'!$B$3))</f>
        <v>0</v>
      </c>
      <c r="J44" s="1">
        <f>I44 / $I$60</f>
        <v>0</v>
      </c>
      <c r="K44" s="1" t="str">
        <f t="shared" si="4"/>
        <v>No hay Log de 0</v>
      </c>
      <c r="O44" s="1" t="str">
        <f t="shared" ref="O44:O45" si="12">_xlfn.CONCAT($O$29, E24, "-", G77)</f>
        <v>ME:TESLA-N</v>
      </c>
      <c r="P44" s="1">
        <f>COUNTIF(
Tabla2[Make],
SUBSTITUTE(
SUBSTITUTE(
SUBSTITUTE(
SUBSTITUTE(
SUBSTITUTE(
SUBSTITUTE(
SUBSTITUTE(
SUBSTITUTE(
SUBSTITUTE(
SUBSTITUTE(
SUBSTITUTE(
SUBSTITUTE(
SUBSTITUTE(
SUBSTITUTE(
SUBSTITUTE(
SUBSTITUTE(
SUBSTITUTE(
SUBSTITUTE(
SUBSTITUTE(O44,$O$29,""),"AUDI",""),"BMW",""),"CADILLAC",""),"CHEVROLET",""),"FIAT",""),"FORD",""),"HYUNDAI",""),"JEEP",""),"KIA",""),"NISSAN",""),"POLESTAR",""),"PORSCHE",""),"TESLA",""),"VOLKSWAGEN",""),"VOLVO",""),"-C",'Datos auxiliares'!$C$4),"-E",'Datos auxiliares'!$C$3),"-N",'Datos auxiliares'!$C$3)
)</f>
        <v>0</v>
      </c>
    </row>
    <row r="45" spans="1:16" x14ac:dyDescent="0.3">
      <c r="A45" t="s">
        <v>3</v>
      </c>
      <c r="B45" t="s">
        <v>4</v>
      </c>
      <c r="C45" t="s">
        <v>5</v>
      </c>
      <c r="E45" t="s">
        <v>7</v>
      </c>
      <c r="F45" t="s">
        <v>41</v>
      </c>
      <c r="H45" s="1" t="str">
        <f>_xlfn.CONCAT(_xlfn.CONCAT($H$29,'Datos auxiliares'!A9),"-P")</f>
        <v>MT:JEEP-P</v>
      </c>
      <c r="I45" s="1">
        <f>COUNTIFS(
Tabla2[Make],
E45,
Tabla2[Electric Vehicle Type], _xlfn.IFS(F45 = "B",'Datos auxiliares'!$B$2,F45 = "P",'Datos auxiliares'!$B$3))</f>
        <v>4</v>
      </c>
      <c r="J45" s="1">
        <f>I45 / $I$60</f>
        <v>0.04</v>
      </c>
      <c r="K45" s="1">
        <f t="shared" si="4"/>
        <v>5.5917600346881501E-2</v>
      </c>
      <c r="O45" s="1" t="str">
        <f t="shared" si="12"/>
        <v>ME:VOLKSWAGEN-C</v>
      </c>
      <c r="P45" s="1">
        <f>COUNTIF(
Tabla2[Make],
SUBSTITUTE(
SUBSTITUTE(
SUBSTITUTE(
SUBSTITUTE(
SUBSTITUTE(
SUBSTITUTE(
SUBSTITUTE(
SUBSTITUTE(
SUBSTITUTE(
SUBSTITUTE(
SUBSTITUTE(
SUBSTITUTE(
SUBSTITUTE(
SUBSTITUTE(
SUBSTITUTE(
SUBSTITUTE(
SUBSTITUTE(
SUBSTITUTE(
SUBSTITUTE(O45,$O$29,""),"AUDI",""),"BMW",""),"CADILLAC",""),"CHEVROLET",""),"FIAT",""),"FORD",""),"HYUNDAI",""),"JEEP",""),"KIA",""),"NISSAN",""),"POLESTAR",""),"PORSCHE",""),"TESLA",""),"VOLKSWAGEN",""),"VOLVO",""),"-C",'Datos auxiliares'!$C$4),"-E",'Datos auxiliares'!$C$3),"-N",'Datos auxiliares'!$C$3)
)</f>
        <v>0</v>
      </c>
    </row>
    <row r="46" spans="1:16" x14ac:dyDescent="0.3">
      <c r="A46" t="s">
        <v>3</v>
      </c>
      <c r="B46" t="s">
        <v>4</v>
      </c>
      <c r="C46" t="s">
        <v>5</v>
      </c>
      <c r="E46" t="s">
        <v>14</v>
      </c>
      <c r="F46" t="s">
        <v>40</v>
      </c>
      <c r="H46" s="1" t="str">
        <f>_xlfn.CONCAT(_xlfn.CONCAT($H$29,'Datos auxiliares'!A10),"-B")</f>
        <v>MT:KIA-B</v>
      </c>
      <c r="I46" s="1">
        <f>COUNTIFS(
Tabla2[Make],
E46,
Tabla2[Electric Vehicle Type], _xlfn.IFS(F46 = "B",'Datos auxiliares'!$B$2,F46 = "P",'Datos auxiliares'!$B$3))</f>
        <v>7</v>
      </c>
      <c r="J46" s="1">
        <f>I46 / $I$60</f>
        <v>7.0000000000000007E-2</v>
      </c>
      <c r="K46" s="1">
        <f t="shared" si="4"/>
        <v>8.0843137199002019E-2</v>
      </c>
      <c r="O46" s="1" t="str">
        <f t="shared" ref="O46" si="13">_xlfn.CONCAT($O$29, E25, "-", G79)</f>
        <v>ME:VOLKSWAGEN-E</v>
      </c>
      <c r="P46" s="1">
        <f>COUNTIF(
Tabla2[Make],
SUBSTITUTE(
SUBSTITUTE(
SUBSTITUTE(
SUBSTITUTE(
SUBSTITUTE(
SUBSTITUTE(
SUBSTITUTE(
SUBSTITUTE(
SUBSTITUTE(
SUBSTITUTE(
SUBSTITUTE(
SUBSTITUTE(
SUBSTITUTE(
SUBSTITUTE(
SUBSTITUTE(
SUBSTITUTE(
SUBSTITUTE(
SUBSTITUTE(
SUBSTITUTE(O46,$O$29,""),"AUDI",""),"BMW",""),"CADILLAC",""),"CHEVROLET",""),"FIAT",""),"FORD",""),"HYUNDAI",""),"JEEP",""),"KIA",""),"NISSAN",""),"POLESTAR",""),"PORSCHE",""),"TESLA",""),"VOLKSWAGEN",""),"VOLVO",""),"-C",'Datos auxiliares'!$C$4),"-E",'Datos auxiliares'!$C$3),"-N",'Datos auxiliares'!$C$3)
)</f>
        <v>0</v>
      </c>
    </row>
    <row r="47" spans="1:16" x14ac:dyDescent="0.3">
      <c r="A47" t="s">
        <v>14</v>
      </c>
      <c r="B47" t="s">
        <v>4</v>
      </c>
      <c r="C47" t="s">
        <v>5</v>
      </c>
      <c r="E47" t="s">
        <v>14</v>
      </c>
      <c r="F47" t="s">
        <v>41</v>
      </c>
      <c r="H47" s="1" t="str">
        <f>_xlfn.CONCAT(_xlfn.CONCAT($H$29,'Datos auxiliares'!A10),"-P")</f>
        <v>MT:KIA-P</v>
      </c>
      <c r="I47" s="1">
        <f>COUNTIFS(
Tabla2[Make],
E47,
Tabla2[Electric Vehicle Type], _xlfn.IFS(F47 = "B",'Datos auxiliares'!$B$2,F47 = "P",'Datos auxiliares'!$B$3))</f>
        <v>6</v>
      </c>
      <c r="J47" s="1">
        <f>I47 / $I$60</f>
        <v>0.06</v>
      </c>
      <c r="K47" s="1">
        <f t="shared" si="4"/>
        <v>7.3310924976981384E-2</v>
      </c>
      <c r="O47" s="1" t="str">
        <f t="shared" ref="O47" si="14">_xlfn.CONCAT($O$29, E25, "-", G80)</f>
        <v>ME:VOLKSWAGEN-N</v>
      </c>
      <c r="P47" s="1">
        <f>COUNTIF(
Tabla2[Make],
SUBSTITUTE(
SUBSTITUTE(
SUBSTITUTE(
SUBSTITUTE(
SUBSTITUTE(
SUBSTITUTE(
SUBSTITUTE(
SUBSTITUTE(
SUBSTITUTE(
SUBSTITUTE(
SUBSTITUTE(
SUBSTITUTE(
SUBSTITUTE(
SUBSTITUTE(
SUBSTITUTE(
SUBSTITUTE(
SUBSTITUTE(
SUBSTITUTE(
SUBSTITUTE(O47,$O$29,""),"AUDI",""),"BMW",""),"CADILLAC",""),"CHEVROLET",""),"FIAT",""),"FORD",""),"HYUNDAI",""),"JEEP",""),"KIA",""),"NISSAN",""),"POLESTAR",""),"PORSCHE",""),"TESLA",""),"VOLKSWAGEN",""),"VOLVO",""),"-C",'Datos auxiliares'!$C$4),"-E",'Datos auxiliares'!$C$3),"-N",'Datos auxiliares'!$C$3)
)</f>
        <v>0</v>
      </c>
    </row>
    <row r="48" spans="1:16" x14ac:dyDescent="0.3">
      <c r="A48" t="s">
        <v>15</v>
      </c>
      <c r="B48" t="s">
        <v>8</v>
      </c>
      <c r="C48" t="s">
        <v>9</v>
      </c>
      <c r="E48" t="s">
        <v>6</v>
      </c>
      <c r="F48" t="s">
        <v>40</v>
      </c>
      <c r="H48" s="1" t="str">
        <f>_xlfn.CONCAT(_xlfn.CONCAT($H$29,'Datos auxiliares'!A11),"-B")</f>
        <v>MT:NISSAN-B</v>
      </c>
      <c r="I48" s="1">
        <f>COUNTIFS(
Tabla2[Make],
E48,
Tabla2[Electric Vehicle Type], _xlfn.IFS(F48 = "B",'Datos auxiliares'!$B$2,F48 = "P",'Datos auxiliares'!$B$3))</f>
        <v>13</v>
      </c>
      <c r="J48" s="1">
        <f>I48 / $I$60</f>
        <v>0.13</v>
      </c>
      <c r="K48" s="1">
        <f t="shared" si="4"/>
        <v>0.11518736420011122</v>
      </c>
    </row>
    <row r="49" spans="1:13" x14ac:dyDescent="0.3">
      <c r="A49" t="s">
        <v>6</v>
      </c>
      <c r="B49" t="s">
        <v>4</v>
      </c>
      <c r="C49" t="s">
        <v>5</v>
      </c>
      <c r="E49" t="s">
        <v>6</v>
      </c>
      <c r="F49" t="s">
        <v>41</v>
      </c>
      <c r="H49" s="1" t="str">
        <f>_xlfn.CONCAT(_xlfn.CONCAT($H$29,'Datos auxiliares'!A11),"-P")</f>
        <v>MT:NISSAN-P</v>
      </c>
      <c r="I49" s="1">
        <f>COUNTIFS(
Tabla2[Make],
E49,
Tabla2[Electric Vehicle Type], _xlfn.IFS(F49 = "B",'Datos auxiliares'!$B$2,F49 = "P",'Datos auxiliares'!$B$3))</f>
        <v>0</v>
      </c>
      <c r="J49" s="1">
        <f>I49 / $I$60</f>
        <v>0</v>
      </c>
      <c r="K49" s="1" t="str">
        <f t="shared" si="4"/>
        <v>No hay Log de 0</v>
      </c>
    </row>
    <row r="50" spans="1:13" x14ac:dyDescent="0.3">
      <c r="A50" t="s">
        <v>3</v>
      </c>
      <c r="B50" t="s">
        <v>4</v>
      </c>
      <c r="C50" t="s">
        <v>5</v>
      </c>
      <c r="E50" t="s">
        <v>22</v>
      </c>
      <c r="F50" t="s">
        <v>40</v>
      </c>
      <c r="H50" s="1" t="str">
        <f>_xlfn.CONCAT(_xlfn.CONCAT($H$29,'Datos auxiliares'!A12),"-B")</f>
        <v>MT:POLESTAR-B</v>
      </c>
      <c r="I50" s="1">
        <f>COUNTIFS(
Tabla2[Make],
E50,
Tabla2[Electric Vehicle Type], _xlfn.IFS(F50 = "B",'Datos auxiliares'!$B$2,F50 = "P",'Datos auxiliares'!$B$3))</f>
        <v>1</v>
      </c>
      <c r="J50" s="1">
        <f>I50 / $I$60</f>
        <v>0.01</v>
      </c>
      <c r="K50" s="1">
        <f t="shared" si="4"/>
        <v>0.02</v>
      </c>
    </row>
    <row r="51" spans="1:13" x14ac:dyDescent="0.3">
      <c r="A51" t="s">
        <v>3</v>
      </c>
      <c r="B51" t="s">
        <v>4</v>
      </c>
      <c r="C51" t="s">
        <v>5</v>
      </c>
      <c r="E51" t="s">
        <v>22</v>
      </c>
      <c r="F51" t="s">
        <v>41</v>
      </c>
      <c r="H51" s="1" t="str">
        <f>_xlfn.CONCAT(_xlfn.CONCAT($H$29,'Datos auxiliares'!A12),"-P")</f>
        <v>MT:POLESTAR-P</v>
      </c>
      <c r="I51" s="1">
        <f>COUNTIFS(
Tabla2[Make],
E51,
Tabla2[Electric Vehicle Type], _xlfn.IFS(F51 = "B",'Datos auxiliares'!$B$2,F51 = "P",'Datos auxiliares'!$B$3))</f>
        <v>0</v>
      </c>
      <c r="J51" s="1">
        <f>I51 / $I$60</f>
        <v>0</v>
      </c>
      <c r="K51" s="1" t="str">
        <f t="shared" si="4"/>
        <v>No hay Log de 0</v>
      </c>
    </row>
    <row r="52" spans="1:13" x14ac:dyDescent="0.3">
      <c r="A52" t="s">
        <v>18</v>
      </c>
      <c r="B52" t="s">
        <v>8</v>
      </c>
      <c r="C52" t="s">
        <v>5</v>
      </c>
      <c r="E52" t="s">
        <v>20</v>
      </c>
      <c r="F52" t="s">
        <v>40</v>
      </c>
      <c r="H52" s="1" t="str">
        <f>_xlfn.CONCAT(_xlfn.CONCAT($H$29,'Datos auxiliares'!A13),"-B")</f>
        <v>MT:PORSCHE-B</v>
      </c>
      <c r="I52" s="1">
        <f>COUNTIFS(
Tabla2[Make],
E52,
Tabla2[Electric Vehicle Type], _xlfn.IFS(F52 = "B",'Datos auxiliares'!$B$2,F52 = "P",'Datos auxiliares'!$B$3))</f>
        <v>1</v>
      </c>
      <c r="J52" s="1">
        <f>I52 / $I$60</f>
        <v>0.01</v>
      </c>
      <c r="K52" s="1">
        <f t="shared" si="4"/>
        <v>0.02</v>
      </c>
    </row>
    <row r="53" spans="1:13" x14ac:dyDescent="0.3">
      <c r="A53" t="s">
        <v>3</v>
      </c>
      <c r="B53" t="s">
        <v>4</v>
      </c>
      <c r="C53" t="s">
        <v>16</v>
      </c>
      <c r="E53" t="s">
        <v>20</v>
      </c>
      <c r="F53" t="s">
        <v>41</v>
      </c>
      <c r="H53" s="1" t="str">
        <f>_xlfn.CONCAT(_xlfn.CONCAT($H$29,'Datos auxiliares'!A13),"-P")</f>
        <v>MT:PORSCHE-P</v>
      </c>
      <c r="I53" s="1">
        <f>COUNTIFS(
Tabla2[Make],
E53,
Tabla2[Electric Vehicle Type], _xlfn.IFS(F53 = "B",'Datos auxiliares'!$B$2,F53 = "P",'Datos auxiliares'!$B$3))</f>
        <v>0</v>
      </c>
      <c r="J53" s="1">
        <f>I53 / $I$60</f>
        <v>0</v>
      </c>
      <c r="K53" s="1" t="str">
        <f t="shared" si="4"/>
        <v>No hay Log de 0</v>
      </c>
    </row>
    <row r="54" spans="1:13" x14ac:dyDescent="0.3">
      <c r="A54" t="s">
        <v>3</v>
      </c>
      <c r="B54" t="s">
        <v>4</v>
      </c>
      <c r="C54" t="s">
        <v>5</v>
      </c>
      <c r="E54" t="s">
        <v>3</v>
      </c>
      <c r="F54" t="s">
        <v>40</v>
      </c>
      <c r="H54" s="1" t="str">
        <f>_xlfn.CONCAT(_xlfn.CONCAT($H$29,'Datos auxiliares'!A14),"-B")</f>
        <v>MT:TESLA-B</v>
      </c>
      <c r="I54" s="1">
        <f>COUNTIFS(
Tabla2[Make],
E54,
Tabla2[Electric Vehicle Type], _xlfn.IFS(F54 = "B",'Datos auxiliares'!$B$2,F54 = "P",'Datos auxiliares'!$B$3))</f>
        <v>30</v>
      </c>
      <c r="J54" s="1">
        <f>I54 / $I$60</f>
        <v>0.3</v>
      </c>
      <c r="K54" s="1">
        <f t="shared" si="4"/>
        <v>0.15686362358410127</v>
      </c>
    </row>
    <row r="55" spans="1:13" x14ac:dyDescent="0.3">
      <c r="A55" t="s">
        <v>3</v>
      </c>
      <c r="B55" t="s">
        <v>4</v>
      </c>
      <c r="C55" t="s">
        <v>5</v>
      </c>
      <c r="E55" t="s">
        <v>3</v>
      </c>
      <c r="F55" t="s">
        <v>41</v>
      </c>
      <c r="H55" s="1" t="str">
        <f>_xlfn.CONCAT(_xlfn.CONCAT($H$29,'Datos auxiliares'!A14),"-P")</f>
        <v>MT:TESLA-P</v>
      </c>
      <c r="I55" s="1">
        <f>COUNTIFS(
Tabla2[Make],
E55,
Tabla2[Electric Vehicle Type], _xlfn.IFS(F55 = "B",'Datos auxiliares'!$B$2,F55 = "P",'Datos auxiliares'!$B$3))</f>
        <v>0</v>
      </c>
      <c r="J55" s="1">
        <f>I55 / $I$60</f>
        <v>0</v>
      </c>
      <c r="K55" s="1" t="str">
        <f t="shared" si="4"/>
        <v>No hay Log de 0</v>
      </c>
    </row>
    <row r="56" spans="1:13" x14ac:dyDescent="0.3">
      <c r="A56" t="s">
        <v>14</v>
      </c>
      <c r="B56" t="s">
        <v>4</v>
      </c>
      <c r="C56" t="s">
        <v>5</v>
      </c>
      <c r="E56" t="s">
        <v>21</v>
      </c>
      <c r="F56" t="s">
        <v>40</v>
      </c>
      <c r="H56" s="1" t="str">
        <f>_xlfn.CONCAT(_xlfn.CONCAT($H$29,'Datos auxiliares'!A15),"-B")</f>
        <v>MT:VOLKSWAGEN-B</v>
      </c>
      <c r="I56" s="1">
        <f>COUNTIFS(
Tabla2[Make],
E56,
Tabla2[Electric Vehicle Type], _xlfn.IFS(F56 = "B",'Datos auxiliares'!$B$2,F56 = "P",'Datos auxiliares'!$B$3))</f>
        <v>1</v>
      </c>
      <c r="J56" s="1">
        <f>I56 / $I$60</f>
        <v>0.01</v>
      </c>
      <c r="K56" s="1">
        <f t="shared" si="4"/>
        <v>0.02</v>
      </c>
    </row>
    <row r="57" spans="1:13" x14ac:dyDescent="0.3">
      <c r="A57" t="s">
        <v>7</v>
      </c>
      <c r="B57" t="s">
        <v>8</v>
      </c>
      <c r="C57" t="s">
        <v>9</v>
      </c>
      <c r="E57" t="s">
        <v>21</v>
      </c>
      <c r="F57" t="s">
        <v>41</v>
      </c>
      <c r="H57" s="1" t="str">
        <f>_xlfn.CONCAT(_xlfn.CONCAT($H$29,'Datos auxiliares'!A15),"-P")</f>
        <v>MT:VOLKSWAGEN-P</v>
      </c>
      <c r="I57" s="1">
        <f>COUNTIFS(
Tabla2[Make],
E57,
Tabla2[Electric Vehicle Type], _xlfn.IFS(F57 = "B",'Datos auxiliares'!$B$2,F57 = "P",'Datos auxiliares'!$B$3))</f>
        <v>0</v>
      </c>
      <c r="J57" s="1">
        <f>I57 / $I$60</f>
        <v>0</v>
      </c>
      <c r="K57" s="1" t="str">
        <f t="shared" si="4"/>
        <v>No hay Log de 0</v>
      </c>
    </row>
    <row r="58" spans="1:13" x14ac:dyDescent="0.3">
      <c r="A58" t="s">
        <v>6</v>
      </c>
      <c r="B58" t="s">
        <v>4</v>
      </c>
      <c r="C58" t="s">
        <v>5</v>
      </c>
      <c r="E58" t="s">
        <v>11</v>
      </c>
      <c r="F58" t="s">
        <v>40</v>
      </c>
      <c r="H58" s="1" t="str">
        <f>_xlfn.CONCAT(_xlfn.CONCAT($H$29,'Datos auxiliares'!A16),"-B")</f>
        <v>MT:VOLVO-B</v>
      </c>
      <c r="I58" s="1">
        <f>COUNTIFS(
Tabla2[Make],
E58,
Tabla2[Electric Vehicle Type], _xlfn.IFS(F58 = "B",'Datos auxiliares'!$B$2,F58 = "P",'Datos auxiliares'!$B$3))</f>
        <v>1</v>
      </c>
      <c r="J58" s="1">
        <f>I58 / $I$60</f>
        <v>0.01</v>
      </c>
      <c r="K58" s="1">
        <f t="shared" si="4"/>
        <v>0.02</v>
      </c>
    </row>
    <row r="59" spans="1:13" x14ac:dyDescent="0.3">
      <c r="A59" t="s">
        <v>3</v>
      </c>
      <c r="B59" t="s">
        <v>4</v>
      </c>
      <c r="C59" t="s">
        <v>5</v>
      </c>
      <c r="E59" t="s">
        <v>11</v>
      </c>
      <c r="F59" t="s">
        <v>41</v>
      </c>
      <c r="H59" s="1" t="str">
        <f>_xlfn.CONCAT(_xlfn.CONCAT($H$29,'Datos auxiliares'!A16),"-P")</f>
        <v>MT:VOLVO-P</v>
      </c>
      <c r="I59" s="1">
        <f>COUNTIFS(
Tabla2[Make],
E59,
Tabla2[Electric Vehicle Type], _xlfn.IFS(F59 = "B",'Datos auxiliares'!$B$2,F59 = "P",'Datos auxiliares'!$B$3))</f>
        <v>5</v>
      </c>
      <c r="J59" s="1">
        <f>I59 / $I$60</f>
        <v>0.05</v>
      </c>
      <c r="K59" s="1">
        <f t="shared" si="4"/>
        <v>6.505149978319906E-2</v>
      </c>
    </row>
    <row r="60" spans="1:13" x14ac:dyDescent="0.3">
      <c r="A60" t="s">
        <v>6</v>
      </c>
      <c r="B60" t="s">
        <v>4</v>
      </c>
      <c r="C60" t="s">
        <v>5</v>
      </c>
      <c r="I60" s="2">
        <f>SUM(I30:I59)</f>
        <v>100</v>
      </c>
      <c r="J60" s="2">
        <f>SUM(J30:J59)</f>
        <v>1.0000000000000002</v>
      </c>
      <c r="K60" s="2">
        <f>SUM(K58:K59)</f>
        <v>8.5051499783199064E-2</v>
      </c>
    </row>
    <row r="61" spans="1:13" x14ac:dyDescent="0.3">
      <c r="A61" t="s">
        <v>15</v>
      </c>
      <c r="B61" t="s">
        <v>8</v>
      </c>
      <c r="C61" t="s">
        <v>9</v>
      </c>
    </row>
    <row r="62" spans="1:13" x14ac:dyDescent="0.3">
      <c r="A62" t="s">
        <v>19</v>
      </c>
      <c r="B62" t="s">
        <v>8</v>
      </c>
      <c r="C62" t="s">
        <v>9</v>
      </c>
      <c r="H62" s="7" t="s">
        <v>39</v>
      </c>
    </row>
    <row r="63" spans="1:13" x14ac:dyDescent="0.3">
      <c r="A63" t="s">
        <v>14</v>
      </c>
      <c r="B63" t="s">
        <v>8</v>
      </c>
      <c r="C63" t="s">
        <v>9</v>
      </c>
      <c r="E63" t="s">
        <v>10</v>
      </c>
      <c r="F63" t="s">
        <v>40</v>
      </c>
      <c r="G63" t="s">
        <v>42</v>
      </c>
      <c r="H63" s="1" t="str">
        <f>_xlfn.CONCAT($H$62,E63, _xlfn.CONCAT("-", F63), _xlfn.CONCAT("-", G63))</f>
        <v>MTE:AUDI-B-C</v>
      </c>
      <c r="I63" s="1">
        <f>COUNTIFS(
Tabla2[Make],
SUBSTITUTE(SUBSTITUTE(SUBSTITUTE(H63,$H$62,""), _xlfn.CONCAT("-", F63), ""), _xlfn.CONCAT("-", G63), ""),
Tabla2[Electric Vehicle Type], _xlfn.IFS(F63 = "B",'Datos auxiliares'!$B$2,F63 = "P",'Datos auxiliares'!$B$3),
Tabla2[Clean Alternative Fuel Vehicle (CAFV) Eligibility], _xlfn.IFS(G63 = "C",'Datos auxiliares'!$C$4,G63 = "E",'Datos auxiliares'!$C$3,G63 = "N", 'Datos auxiliares'!$C$2))</f>
        <v>1</v>
      </c>
      <c r="J63" s="1">
        <f>I63 / $I$153</f>
        <v>0.01</v>
      </c>
      <c r="K63" s="1">
        <f t="shared" ref="K63:K126" si="15">IFERROR(-LOG10(J63) * J63, "No hay Log de 0")</f>
        <v>0.02</v>
      </c>
      <c r="M63" s="1" t="s">
        <v>33</v>
      </c>
    </row>
    <row r="64" spans="1:13" x14ac:dyDescent="0.3">
      <c r="A64" t="s">
        <v>10</v>
      </c>
      <c r="B64" t="s">
        <v>4</v>
      </c>
      <c r="C64" t="s">
        <v>5</v>
      </c>
      <c r="E64" t="s">
        <v>10</v>
      </c>
      <c r="F64" t="s">
        <v>40</v>
      </c>
      <c r="G64" t="s">
        <v>43</v>
      </c>
      <c r="H64" s="1" t="str">
        <f t="shared" ref="H64:H127" si="16">_xlfn.CONCAT($H$62,E64, _xlfn.CONCAT("-", F64), _xlfn.CONCAT("-", G64))</f>
        <v>MTE:AUDI-B-E</v>
      </c>
      <c r="I64" s="1">
        <f>COUNTIFS(
Tabla2[Make],
SUBSTITUTE(SUBSTITUTE(SUBSTITUTE(H64,$H$62,""), _xlfn.CONCAT("-", F64), ""), _xlfn.CONCAT("-", G64), ""),
Tabla2[Electric Vehicle Type], _xlfn.IFS(F64 = "B",'Datos auxiliares'!$B$2,F64 = "P",'Datos auxiliares'!$B$3),
Tabla2[Clean Alternative Fuel Vehicle (CAFV) Eligibility], _xlfn.IFS(G64 = "C",'Datos auxiliares'!$C$4,G64 = "E",'Datos auxiliares'!$C$3,G64 = "N", 'Datos auxiliares'!$C$2))</f>
        <v>0</v>
      </c>
      <c r="J64" s="1">
        <f t="shared" ref="J64:J127" si="17">I64 / $I$153</f>
        <v>0</v>
      </c>
      <c r="K64" s="1" t="str">
        <f t="shared" si="15"/>
        <v>No hay Log de 0</v>
      </c>
      <c r="M64" s="1">
        <f>K153</f>
        <v>2.310907007257637</v>
      </c>
    </row>
    <row r="65" spans="1:11" x14ac:dyDescent="0.3">
      <c r="A65" t="s">
        <v>19</v>
      </c>
      <c r="B65" t="s">
        <v>4</v>
      </c>
      <c r="C65" t="s">
        <v>16</v>
      </c>
      <c r="E65" t="s">
        <v>10</v>
      </c>
      <c r="F65" t="s">
        <v>40</v>
      </c>
      <c r="G65" t="s">
        <v>44</v>
      </c>
      <c r="H65" s="1" t="str">
        <f t="shared" si="16"/>
        <v>MTE:AUDI-B-N</v>
      </c>
      <c r="I65" s="1">
        <f>COUNTIFS(
Tabla2[Make],
SUBSTITUTE(SUBSTITUTE(SUBSTITUTE(H65,$H$62,""), _xlfn.CONCAT("-", F65), ""), _xlfn.CONCAT("-", G65), ""),
Tabla2[Electric Vehicle Type], _xlfn.IFS(F65 = "B",'Datos auxiliares'!$B$2,F65 = "P",'Datos auxiliares'!$B$3),
Tabla2[Clean Alternative Fuel Vehicle (CAFV) Eligibility], _xlfn.IFS(G65 = "C",'Datos auxiliares'!$C$4,G65 = "E",'Datos auxiliares'!$C$3,G65 = "N", 'Datos auxiliares'!$C$2))</f>
        <v>0</v>
      </c>
      <c r="J65" s="1">
        <f t="shared" si="17"/>
        <v>0</v>
      </c>
      <c r="K65" s="1" t="str">
        <f t="shared" si="15"/>
        <v>No hay Log de 0</v>
      </c>
    </row>
    <row r="66" spans="1:11" x14ac:dyDescent="0.3">
      <c r="A66" t="s">
        <v>11</v>
      </c>
      <c r="B66" t="s">
        <v>4</v>
      </c>
      <c r="C66" t="s">
        <v>16</v>
      </c>
      <c r="E66" t="s">
        <v>10</v>
      </c>
      <c r="F66" t="s">
        <v>41</v>
      </c>
      <c r="G66" t="s">
        <v>42</v>
      </c>
      <c r="H66" s="1" t="str">
        <f t="shared" si="16"/>
        <v>MTE:AUDI-P-C</v>
      </c>
      <c r="I66" s="1">
        <f>COUNTIFS(
Tabla2[Make],
SUBSTITUTE(SUBSTITUTE(SUBSTITUTE(H66,$H$62,""), _xlfn.CONCAT("-", F66), ""), _xlfn.CONCAT("-", G66), ""),
Tabla2[Electric Vehicle Type], _xlfn.IFS(F66 = "B",'Datos auxiliares'!$B$2,F66 = "P",'Datos auxiliares'!$B$3),
Tabla2[Clean Alternative Fuel Vehicle (CAFV) Eligibility], _xlfn.IFS(G66 = "C",'Datos auxiliares'!$C$4,G66 = "E",'Datos auxiliares'!$C$3,G66 = "N", 'Datos auxiliares'!$C$2))</f>
        <v>0</v>
      </c>
      <c r="J66" s="1">
        <f t="shared" si="17"/>
        <v>0</v>
      </c>
      <c r="K66" s="1" t="str">
        <f t="shared" si="15"/>
        <v>No hay Log de 0</v>
      </c>
    </row>
    <row r="67" spans="1:11" x14ac:dyDescent="0.3">
      <c r="A67" t="s">
        <v>12</v>
      </c>
      <c r="B67" t="s">
        <v>4</v>
      </c>
      <c r="C67" t="s">
        <v>5</v>
      </c>
      <c r="E67" t="s">
        <v>10</v>
      </c>
      <c r="F67" t="s">
        <v>41</v>
      </c>
      <c r="G67" t="s">
        <v>43</v>
      </c>
      <c r="H67" s="1" t="str">
        <f t="shared" si="16"/>
        <v>MTE:AUDI-P-E</v>
      </c>
      <c r="I67" s="1">
        <f>COUNTIFS(
Tabla2[Make],
SUBSTITUTE(SUBSTITUTE(SUBSTITUTE(H67,$H$62,""), _xlfn.CONCAT("-", F67), ""), _xlfn.CONCAT("-", G67), ""),
Tabla2[Electric Vehicle Type], _xlfn.IFS(F67 = "B",'Datos auxiliares'!$B$2,F67 = "P",'Datos auxiliares'!$B$3),
Tabla2[Clean Alternative Fuel Vehicle (CAFV) Eligibility], _xlfn.IFS(G67 = "C",'Datos auxiliares'!$C$4,G67 = "E",'Datos auxiliares'!$C$3,G67 = "N", 'Datos auxiliares'!$C$2))</f>
        <v>0</v>
      </c>
      <c r="J67" s="1">
        <f t="shared" si="17"/>
        <v>0</v>
      </c>
      <c r="K67" s="1" t="str">
        <f t="shared" si="15"/>
        <v>No hay Log de 0</v>
      </c>
    </row>
    <row r="68" spans="1:11" x14ac:dyDescent="0.3">
      <c r="A68" t="s">
        <v>12</v>
      </c>
      <c r="B68" t="s">
        <v>4</v>
      </c>
      <c r="C68" t="s">
        <v>5</v>
      </c>
      <c r="E68" t="s">
        <v>10</v>
      </c>
      <c r="F68" t="s">
        <v>41</v>
      </c>
      <c r="G68" t="s">
        <v>44</v>
      </c>
      <c r="H68" s="1" t="str">
        <f t="shared" si="16"/>
        <v>MTE:AUDI-P-N</v>
      </c>
      <c r="I68" s="1">
        <f>COUNTIFS(
Tabla2[Make],
SUBSTITUTE(SUBSTITUTE(SUBSTITUTE(H68,$H$62,""), _xlfn.CONCAT("-", F68), ""), _xlfn.CONCAT("-", G68), ""),
Tabla2[Electric Vehicle Type], _xlfn.IFS(F68 = "B",'Datos auxiliares'!$B$2,F68 = "P",'Datos auxiliares'!$B$3),
Tabla2[Clean Alternative Fuel Vehicle (CAFV) Eligibility], _xlfn.IFS(G68 = "C",'Datos auxiliares'!$C$4,G68 = "E",'Datos auxiliares'!$C$3,G68 = "N", 'Datos auxiliares'!$C$2))</f>
        <v>3</v>
      </c>
      <c r="J68" s="1">
        <f t="shared" si="17"/>
        <v>0.03</v>
      </c>
      <c r="K68" s="1">
        <f t="shared" si="15"/>
        <v>4.5686362358410129E-2</v>
      </c>
    </row>
    <row r="69" spans="1:11" x14ac:dyDescent="0.3">
      <c r="A69" t="s">
        <v>15</v>
      </c>
      <c r="B69" t="s">
        <v>8</v>
      </c>
      <c r="C69" t="s">
        <v>9</v>
      </c>
      <c r="E69" t="s">
        <v>15</v>
      </c>
      <c r="F69" t="s">
        <v>40</v>
      </c>
      <c r="G69" t="s">
        <v>42</v>
      </c>
      <c r="H69" s="1" t="str">
        <f t="shared" si="16"/>
        <v>MTE:BMW-B-C</v>
      </c>
      <c r="I69" s="1">
        <f>COUNTIFS(
Tabla2[Make],
SUBSTITUTE(SUBSTITUTE(SUBSTITUTE(H69,$H$62,""), _xlfn.CONCAT("-", F69), ""), _xlfn.CONCAT("-", G69), ""),
Tabla2[Electric Vehicle Type], _xlfn.IFS(F69 = "B",'Datos auxiliares'!$B$2,F69 = "P",'Datos auxiliares'!$B$3),
Tabla2[Clean Alternative Fuel Vehicle (CAFV) Eligibility], _xlfn.IFS(G69 = "C",'Datos auxiliares'!$C$4,G69 = "E",'Datos auxiliares'!$C$3,G69 = "N", 'Datos auxiliares'!$C$2))</f>
        <v>1</v>
      </c>
      <c r="J69" s="1">
        <f t="shared" si="17"/>
        <v>0.01</v>
      </c>
      <c r="K69" s="1">
        <f t="shared" si="15"/>
        <v>0.02</v>
      </c>
    </row>
    <row r="70" spans="1:11" x14ac:dyDescent="0.3">
      <c r="A70" t="s">
        <v>14</v>
      </c>
      <c r="B70" t="s">
        <v>8</v>
      </c>
      <c r="C70" t="s">
        <v>9</v>
      </c>
      <c r="E70" t="s">
        <v>15</v>
      </c>
      <c r="F70" t="s">
        <v>40</v>
      </c>
      <c r="G70" t="s">
        <v>43</v>
      </c>
      <c r="H70" s="1" t="str">
        <f t="shared" si="16"/>
        <v>MTE:BMW-B-E</v>
      </c>
      <c r="I70" s="1">
        <f>COUNTIFS(
Tabla2[Make],
SUBSTITUTE(SUBSTITUTE(SUBSTITUTE(H70,$H$62,""), _xlfn.CONCAT("-", F70), ""), _xlfn.CONCAT("-", G70), ""),
Tabla2[Electric Vehicle Type], _xlfn.IFS(F70 = "B",'Datos auxiliares'!$B$2,F70 = "P",'Datos auxiliares'!$B$3),
Tabla2[Clean Alternative Fuel Vehicle (CAFV) Eligibility], _xlfn.IFS(G70 = "C",'Datos auxiliares'!$C$4,G70 = "E",'Datos auxiliares'!$C$3,G70 = "N", 'Datos auxiliares'!$C$2))</f>
        <v>2</v>
      </c>
      <c r="J70" s="1">
        <f t="shared" si="17"/>
        <v>0.02</v>
      </c>
      <c r="K70" s="1">
        <f t="shared" si="15"/>
        <v>3.3979400086720374E-2</v>
      </c>
    </row>
    <row r="71" spans="1:11" x14ac:dyDescent="0.3">
      <c r="A71" t="s">
        <v>14</v>
      </c>
      <c r="B71" t="s">
        <v>4</v>
      </c>
      <c r="C71" t="s">
        <v>5</v>
      </c>
      <c r="E71" t="s">
        <v>15</v>
      </c>
      <c r="F71" t="s">
        <v>40</v>
      </c>
      <c r="G71" t="s">
        <v>44</v>
      </c>
      <c r="H71" s="1" t="str">
        <f t="shared" si="16"/>
        <v>MTE:BMW-B-N</v>
      </c>
      <c r="I71" s="1">
        <f>COUNTIFS(
Tabla2[Make],
SUBSTITUTE(SUBSTITUTE(SUBSTITUTE(H71,$H$62,""), _xlfn.CONCAT("-", F71), ""), _xlfn.CONCAT("-", G71), ""),
Tabla2[Electric Vehicle Type], _xlfn.IFS(F71 = "B",'Datos auxiliares'!$B$2,F71 = "P",'Datos auxiliares'!$B$3),
Tabla2[Clean Alternative Fuel Vehicle (CAFV) Eligibility], _xlfn.IFS(G71 = "C",'Datos auxiliares'!$C$4,G71 = "E",'Datos auxiliares'!$C$3,G71 = "N", 'Datos auxiliares'!$C$2))</f>
        <v>0</v>
      </c>
      <c r="J71" s="1">
        <f t="shared" si="17"/>
        <v>0</v>
      </c>
      <c r="K71" s="1" t="str">
        <f t="shared" si="15"/>
        <v>No hay Log de 0</v>
      </c>
    </row>
    <row r="72" spans="1:11" x14ac:dyDescent="0.3">
      <c r="A72" t="s">
        <v>12</v>
      </c>
      <c r="B72" t="s">
        <v>4</v>
      </c>
      <c r="C72" t="s">
        <v>5</v>
      </c>
      <c r="E72" t="s">
        <v>15</v>
      </c>
      <c r="F72" t="s">
        <v>41</v>
      </c>
      <c r="G72" t="s">
        <v>42</v>
      </c>
      <c r="H72" s="1" t="str">
        <f t="shared" si="16"/>
        <v>MTE:BMW-P-C</v>
      </c>
      <c r="I72" s="1">
        <f>COUNTIFS(
Tabla2[Make],
SUBSTITUTE(SUBSTITUTE(SUBSTITUTE(H72,$H$62,""), _xlfn.CONCAT("-", F72), ""), _xlfn.CONCAT("-", G72), ""),
Tabla2[Electric Vehicle Type], _xlfn.IFS(F72 = "B",'Datos auxiliares'!$B$2,F72 = "P",'Datos auxiliares'!$B$3),
Tabla2[Clean Alternative Fuel Vehicle (CAFV) Eligibility], _xlfn.IFS(G72 = "C",'Datos auxiliares'!$C$4,G72 = "E",'Datos auxiliares'!$C$3,G72 = "N", 'Datos auxiliares'!$C$2))</f>
        <v>7</v>
      </c>
      <c r="J72" s="1">
        <f t="shared" si="17"/>
        <v>7.0000000000000007E-2</v>
      </c>
      <c r="K72" s="1">
        <f t="shared" si="15"/>
        <v>8.0843137199002019E-2</v>
      </c>
    </row>
    <row r="73" spans="1:11" x14ac:dyDescent="0.3">
      <c r="A73" t="s">
        <v>12</v>
      </c>
      <c r="B73" t="s">
        <v>8</v>
      </c>
      <c r="C73" t="s">
        <v>5</v>
      </c>
      <c r="E73" t="s">
        <v>15</v>
      </c>
      <c r="F73" t="s">
        <v>41</v>
      </c>
      <c r="G73" t="s">
        <v>43</v>
      </c>
      <c r="H73" s="1" t="str">
        <f t="shared" si="16"/>
        <v>MTE:BMW-P-E</v>
      </c>
      <c r="I73" s="1">
        <f>COUNTIFS(
Tabla2[Make],
SUBSTITUTE(SUBSTITUTE(SUBSTITUTE(H73,$H$62,""), _xlfn.CONCAT("-", F73), ""), _xlfn.CONCAT("-", G73), ""),
Tabla2[Electric Vehicle Type], _xlfn.IFS(F73 = "B",'Datos auxiliares'!$B$2,F73 = "P",'Datos auxiliares'!$B$3),
Tabla2[Clean Alternative Fuel Vehicle (CAFV) Eligibility], _xlfn.IFS(G73 = "C",'Datos auxiliares'!$C$4,G73 = "E",'Datos auxiliares'!$C$3,G73 = "N", 'Datos auxiliares'!$C$2))</f>
        <v>0</v>
      </c>
      <c r="J73" s="1">
        <f t="shared" si="17"/>
        <v>0</v>
      </c>
      <c r="K73" s="1" t="str">
        <f t="shared" si="15"/>
        <v>No hay Log de 0</v>
      </c>
    </row>
    <row r="74" spans="1:11" x14ac:dyDescent="0.3">
      <c r="A74" t="s">
        <v>15</v>
      </c>
      <c r="B74" t="s">
        <v>4</v>
      </c>
      <c r="C74" t="s">
        <v>16</v>
      </c>
      <c r="E74" t="s">
        <v>15</v>
      </c>
      <c r="F74" t="s">
        <v>41</v>
      </c>
      <c r="G74" t="s">
        <v>44</v>
      </c>
      <c r="H74" s="1" t="str">
        <f t="shared" si="16"/>
        <v>MTE:BMW-P-N</v>
      </c>
      <c r="I74" s="1">
        <f>COUNTIFS(
Tabla2[Make],
SUBSTITUTE(SUBSTITUTE(SUBSTITUTE(H74,$H$62,""), _xlfn.CONCAT("-", F74), ""), _xlfn.CONCAT("-", G74), ""),
Tabla2[Electric Vehicle Type], _xlfn.IFS(F74 = "B",'Datos auxiliares'!$B$2,F74 = "P",'Datos auxiliares'!$B$3),
Tabla2[Clean Alternative Fuel Vehicle (CAFV) Eligibility], _xlfn.IFS(G74 = "C",'Datos auxiliares'!$C$4,G74 = "E",'Datos auxiliares'!$C$3,G74 = "N", 'Datos auxiliares'!$C$2))</f>
        <v>6</v>
      </c>
      <c r="J74" s="1">
        <f t="shared" si="17"/>
        <v>0.06</v>
      </c>
      <c r="K74" s="1">
        <f t="shared" si="15"/>
        <v>7.3310924976981384E-2</v>
      </c>
    </row>
    <row r="75" spans="1:11" x14ac:dyDescent="0.3">
      <c r="A75" t="s">
        <v>20</v>
      </c>
      <c r="B75" t="s">
        <v>4</v>
      </c>
      <c r="C75" t="s">
        <v>5</v>
      </c>
      <c r="E75" t="s">
        <v>18</v>
      </c>
      <c r="F75" t="s">
        <v>40</v>
      </c>
      <c r="G75" t="s">
        <v>42</v>
      </c>
      <c r="H75" s="1" t="str">
        <f t="shared" si="16"/>
        <v>MTE:CADILLAC-B-C</v>
      </c>
      <c r="I75" s="1">
        <f>COUNTIFS(
Tabla2[Make],
SUBSTITUTE(SUBSTITUTE(SUBSTITUTE(H75,$H$62,""), _xlfn.CONCAT("-", F75), ""), _xlfn.CONCAT("-", G75), ""),
Tabla2[Electric Vehicle Type], _xlfn.IFS(F75 = "B",'Datos auxiliares'!$B$2,F75 = "P",'Datos auxiliares'!$B$3),
Tabla2[Clean Alternative Fuel Vehicle (CAFV) Eligibility], _xlfn.IFS(G75 = "C",'Datos auxiliares'!$C$4,G75 = "E",'Datos auxiliares'!$C$3,G75 = "N", 'Datos auxiliares'!$C$2))</f>
        <v>0</v>
      </c>
      <c r="J75" s="1">
        <f t="shared" si="17"/>
        <v>0</v>
      </c>
      <c r="K75" s="1" t="str">
        <f t="shared" si="15"/>
        <v>No hay Log de 0</v>
      </c>
    </row>
    <row r="76" spans="1:11" x14ac:dyDescent="0.3">
      <c r="A76" t="s">
        <v>3</v>
      </c>
      <c r="B76" t="s">
        <v>4</v>
      </c>
      <c r="C76" t="s">
        <v>5</v>
      </c>
      <c r="E76" t="s">
        <v>18</v>
      </c>
      <c r="F76" t="s">
        <v>40</v>
      </c>
      <c r="G76" t="s">
        <v>43</v>
      </c>
      <c r="H76" s="1" t="str">
        <f t="shared" si="16"/>
        <v>MTE:CADILLAC-B-E</v>
      </c>
      <c r="I76" s="1">
        <f>COUNTIFS(
Tabla2[Make],
SUBSTITUTE(SUBSTITUTE(SUBSTITUTE(H76,$H$62,""), _xlfn.CONCAT("-", F76), ""), _xlfn.CONCAT("-", G76), ""),
Tabla2[Electric Vehicle Type], _xlfn.IFS(F76 = "B",'Datos auxiliares'!$B$2,F76 = "P",'Datos auxiliares'!$B$3),
Tabla2[Clean Alternative Fuel Vehicle (CAFV) Eligibility], _xlfn.IFS(G76 = "C",'Datos auxiliares'!$C$4,G76 = "E",'Datos auxiliares'!$C$3,G76 = "N", 'Datos auxiliares'!$C$2))</f>
        <v>0</v>
      </c>
      <c r="J76" s="1">
        <f t="shared" si="17"/>
        <v>0</v>
      </c>
      <c r="K76" s="1" t="str">
        <f t="shared" si="15"/>
        <v>No hay Log de 0</v>
      </c>
    </row>
    <row r="77" spans="1:11" x14ac:dyDescent="0.3">
      <c r="A77" t="s">
        <v>10</v>
      </c>
      <c r="B77" t="s">
        <v>8</v>
      </c>
      <c r="C77" t="s">
        <v>9</v>
      </c>
      <c r="E77" t="s">
        <v>18</v>
      </c>
      <c r="F77" t="s">
        <v>40</v>
      </c>
      <c r="G77" t="s">
        <v>44</v>
      </c>
      <c r="H77" s="1" t="str">
        <f t="shared" si="16"/>
        <v>MTE:CADILLAC-B-N</v>
      </c>
      <c r="I77" s="1">
        <f>COUNTIFS(
Tabla2[Make],
SUBSTITUTE(SUBSTITUTE(SUBSTITUTE(H77,$H$62,""), _xlfn.CONCAT("-", F77), ""), _xlfn.CONCAT("-", G77), ""),
Tabla2[Electric Vehicle Type], _xlfn.IFS(F77 = "B",'Datos auxiliares'!$B$2,F77 = "P",'Datos auxiliares'!$B$3),
Tabla2[Clean Alternative Fuel Vehicle (CAFV) Eligibility], _xlfn.IFS(G77 = "C",'Datos auxiliares'!$C$4,G77 = "E",'Datos auxiliares'!$C$3,G77 = "N", 'Datos auxiliares'!$C$2))</f>
        <v>0</v>
      </c>
      <c r="J77" s="1">
        <f t="shared" si="17"/>
        <v>0</v>
      </c>
      <c r="K77" s="1" t="str">
        <f t="shared" si="15"/>
        <v>No hay Log de 0</v>
      </c>
    </row>
    <row r="78" spans="1:11" x14ac:dyDescent="0.3">
      <c r="A78" t="s">
        <v>14</v>
      </c>
      <c r="B78" t="s">
        <v>8</v>
      </c>
      <c r="C78" t="s">
        <v>5</v>
      </c>
      <c r="E78" t="s">
        <v>18</v>
      </c>
      <c r="F78" t="s">
        <v>41</v>
      </c>
      <c r="G78" t="s">
        <v>42</v>
      </c>
      <c r="H78" s="1" t="str">
        <f t="shared" si="16"/>
        <v>MTE:CADILLAC-P-C</v>
      </c>
      <c r="I78" s="1">
        <f>COUNTIFS(
Tabla2[Make],
SUBSTITUTE(SUBSTITUTE(SUBSTITUTE(H78,$H$62,""), _xlfn.CONCAT("-", F78), ""), _xlfn.CONCAT("-", G78), ""),
Tabla2[Electric Vehicle Type], _xlfn.IFS(F78 = "B",'Datos auxiliares'!$B$2,F78 = "P",'Datos auxiliares'!$B$3),
Tabla2[Clean Alternative Fuel Vehicle (CAFV) Eligibility], _xlfn.IFS(G78 = "C",'Datos auxiliares'!$C$4,G78 = "E",'Datos auxiliares'!$C$3,G78 = "N", 'Datos auxiliares'!$C$2))</f>
        <v>1</v>
      </c>
      <c r="J78" s="1">
        <f t="shared" si="17"/>
        <v>0.01</v>
      </c>
      <c r="K78" s="1">
        <f t="shared" si="15"/>
        <v>0.02</v>
      </c>
    </row>
    <row r="79" spans="1:11" x14ac:dyDescent="0.3">
      <c r="A79" t="s">
        <v>21</v>
      </c>
      <c r="B79" t="s">
        <v>4</v>
      </c>
      <c r="C79" t="s">
        <v>16</v>
      </c>
      <c r="E79" t="s">
        <v>18</v>
      </c>
      <c r="F79" t="s">
        <v>41</v>
      </c>
      <c r="G79" t="s">
        <v>43</v>
      </c>
      <c r="H79" s="1" t="str">
        <f t="shared" si="16"/>
        <v>MTE:CADILLAC-P-E</v>
      </c>
      <c r="I79" s="1">
        <f>COUNTIFS(
Tabla2[Make],
SUBSTITUTE(SUBSTITUTE(SUBSTITUTE(H79,$H$62,""), _xlfn.CONCAT("-", F79), ""), _xlfn.CONCAT("-", G79), ""),
Tabla2[Electric Vehicle Type], _xlfn.IFS(F79 = "B",'Datos auxiliares'!$B$2,F79 = "P",'Datos auxiliares'!$B$3),
Tabla2[Clean Alternative Fuel Vehicle (CAFV) Eligibility], _xlfn.IFS(G79 = "C",'Datos auxiliares'!$C$4,G79 = "E",'Datos auxiliares'!$C$3,G79 = "N", 'Datos auxiliares'!$C$2))</f>
        <v>0</v>
      </c>
      <c r="J79" s="1">
        <f t="shared" si="17"/>
        <v>0</v>
      </c>
      <c r="K79" s="1" t="str">
        <f t="shared" si="15"/>
        <v>No hay Log de 0</v>
      </c>
    </row>
    <row r="80" spans="1:11" x14ac:dyDescent="0.3">
      <c r="A80" t="s">
        <v>10</v>
      </c>
      <c r="B80" t="s">
        <v>8</v>
      </c>
      <c r="C80" t="s">
        <v>9</v>
      </c>
      <c r="E80" t="s">
        <v>18</v>
      </c>
      <c r="F80" t="s">
        <v>41</v>
      </c>
      <c r="G80" t="s">
        <v>44</v>
      </c>
      <c r="H80" s="1" t="str">
        <f t="shared" si="16"/>
        <v>MTE:CADILLAC-P-N</v>
      </c>
      <c r="I80" s="1">
        <f>COUNTIFS(
Tabla2[Make],
SUBSTITUTE(SUBSTITUTE(SUBSTITUTE(H80,$H$62,""), _xlfn.CONCAT("-", F80), ""), _xlfn.CONCAT("-", G80), ""),
Tabla2[Electric Vehicle Type], _xlfn.IFS(F80 = "B",'Datos auxiliares'!$B$2,F80 = "P",'Datos auxiliares'!$B$3),
Tabla2[Clean Alternative Fuel Vehicle (CAFV) Eligibility], _xlfn.IFS(G80 = "C",'Datos auxiliares'!$C$4,G80 = "E",'Datos auxiliares'!$C$3,G80 = "N", 'Datos auxiliares'!$C$2))</f>
        <v>0</v>
      </c>
      <c r="J80" s="1">
        <f t="shared" si="17"/>
        <v>0</v>
      </c>
      <c r="K80" s="1" t="str">
        <f t="shared" si="15"/>
        <v>No hay Log de 0</v>
      </c>
    </row>
    <row r="81" spans="1:11" x14ac:dyDescent="0.3">
      <c r="A81" t="s">
        <v>15</v>
      </c>
      <c r="B81" t="s">
        <v>8</v>
      </c>
      <c r="C81" t="s">
        <v>9</v>
      </c>
      <c r="E81" t="s">
        <v>12</v>
      </c>
      <c r="F81" t="s">
        <v>40</v>
      </c>
      <c r="G81" t="s">
        <v>42</v>
      </c>
      <c r="H81" s="1" t="str">
        <f t="shared" si="16"/>
        <v>MTE:CHEVROLET-B-C</v>
      </c>
      <c r="I81" s="1">
        <f>COUNTIFS(
Tabla2[Make],
SUBSTITUTE(SUBSTITUTE(SUBSTITUTE(H81,$H$62,""), _xlfn.CONCAT("-", F81), ""), _xlfn.CONCAT("-", G81), ""),
Tabla2[Electric Vehicle Type], _xlfn.IFS(F81 = "B",'Datos auxiliares'!$B$2,F81 = "P",'Datos auxiliares'!$B$3),
Tabla2[Clean Alternative Fuel Vehicle (CAFV) Eligibility], _xlfn.IFS(G81 = "C",'Datos auxiliares'!$C$4,G81 = "E",'Datos auxiliares'!$C$3,G81 = "N", 'Datos auxiliares'!$C$2))</f>
        <v>3</v>
      </c>
      <c r="J81" s="1">
        <f t="shared" si="17"/>
        <v>0.03</v>
      </c>
      <c r="K81" s="1">
        <f t="shared" si="15"/>
        <v>4.5686362358410129E-2</v>
      </c>
    </row>
    <row r="82" spans="1:11" x14ac:dyDescent="0.3">
      <c r="A82" t="s">
        <v>6</v>
      </c>
      <c r="B82" t="s">
        <v>4</v>
      </c>
      <c r="C82" t="s">
        <v>5</v>
      </c>
      <c r="E82" t="s">
        <v>12</v>
      </c>
      <c r="F82" t="s">
        <v>40</v>
      </c>
      <c r="G82" t="s">
        <v>43</v>
      </c>
      <c r="H82" s="1" t="str">
        <f t="shared" si="16"/>
        <v>MTE:CHEVROLET-B-E</v>
      </c>
      <c r="I82" s="1">
        <f>COUNTIFS(
Tabla2[Make],
SUBSTITUTE(SUBSTITUTE(SUBSTITUTE(H82,$H$62,""), _xlfn.CONCAT("-", F82), ""), _xlfn.CONCAT("-", G82), ""),
Tabla2[Electric Vehicle Type], _xlfn.IFS(F82 = "B",'Datos auxiliares'!$B$2,F82 = "P",'Datos auxiliares'!$B$3),
Tabla2[Clean Alternative Fuel Vehicle (CAFV) Eligibility], _xlfn.IFS(G82 = "C",'Datos auxiliares'!$C$4,G82 = "E",'Datos auxiliares'!$C$3,G82 = "N", 'Datos auxiliares'!$C$2))</f>
        <v>0</v>
      </c>
      <c r="J82" s="1">
        <f t="shared" si="17"/>
        <v>0</v>
      </c>
      <c r="K82" s="1" t="str">
        <f t="shared" si="15"/>
        <v>No hay Log de 0</v>
      </c>
    </row>
    <row r="83" spans="1:11" x14ac:dyDescent="0.3">
      <c r="A83" t="s">
        <v>3</v>
      </c>
      <c r="B83" t="s">
        <v>4</v>
      </c>
      <c r="C83" t="s">
        <v>5</v>
      </c>
      <c r="E83" t="s">
        <v>12</v>
      </c>
      <c r="F83" t="s">
        <v>40</v>
      </c>
      <c r="G83" t="s">
        <v>44</v>
      </c>
      <c r="H83" s="1" t="str">
        <f t="shared" si="16"/>
        <v>MTE:CHEVROLET-B-N</v>
      </c>
      <c r="I83" s="1">
        <f>COUNTIFS(
Tabla2[Make],
SUBSTITUTE(SUBSTITUTE(SUBSTITUTE(H83,$H$62,""), _xlfn.CONCAT("-", F83), ""), _xlfn.CONCAT("-", G83), ""),
Tabla2[Electric Vehicle Type], _xlfn.IFS(F83 = "B",'Datos auxiliares'!$B$2,F83 = "P",'Datos auxiliares'!$B$3),
Tabla2[Clean Alternative Fuel Vehicle (CAFV) Eligibility], _xlfn.IFS(G83 = "C",'Datos auxiliares'!$C$4,G83 = "E",'Datos auxiliares'!$C$3,G83 = "N", 'Datos auxiliares'!$C$2))</f>
        <v>0</v>
      </c>
      <c r="J83" s="1">
        <f t="shared" si="17"/>
        <v>0</v>
      </c>
      <c r="K83" s="1" t="str">
        <f t="shared" si="15"/>
        <v>No hay Log de 0</v>
      </c>
    </row>
    <row r="84" spans="1:11" x14ac:dyDescent="0.3">
      <c r="A84" t="s">
        <v>15</v>
      </c>
      <c r="B84" t="s">
        <v>8</v>
      </c>
      <c r="C84" t="s">
        <v>5</v>
      </c>
      <c r="E84" t="s">
        <v>12</v>
      </c>
      <c r="F84" t="s">
        <v>41</v>
      </c>
      <c r="G84" t="s">
        <v>42</v>
      </c>
      <c r="H84" s="1" t="str">
        <f t="shared" si="16"/>
        <v>MTE:CHEVROLET-P-C</v>
      </c>
      <c r="I84" s="1">
        <f>COUNTIFS(
Tabla2[Make],
SUBSTITUTE(SUBSTITUTE(SUBSTITUTE(H84,$H$62,""), _xlfn.CONCAT("-", F84), ""), _xlfn.CONCAT("-", G84), ""),
Tabla2[Electric Vehicle Type], _xlfn.IFS(F84 = "B",'Datos auxiliares'!$B$2,F84 = "P",'Datos auxiliares'!$B$3),
Tabla2[Clean Alternative Fuel Vehicle (CAFV) Eligibility], _xlfn.IFS(G84 = "C",'Datos auxiliares'!$C$4,G84 = "E",'Datos auxiliares'!$C$3,G84 = "N", 'Datos auxiliares'!$C$2))</f>
        <v>2</v>
      </c>
      <c r="J84" s="1">
        <f t="shared" si="17"/>
        <v>0.02</v>
      </c>
      <c r="K84" s="1">
        <f t="shared" si="15"/>
        <v>3.3979400086720374E-2</v>
      </c>
    </row>
    <row r="85" spans="1:11" x14ac:dyDescent="0.3">
      <c r="A85" t="s">
        <v>6</v>
      </c>
      <c r="B85" t="s">
        <v>4</v>
      </c>
      <c r="C85" t="s">
        <v>5</v>
      </c>
      <c r="E85" t="s">
        <v>12</v>
      </c>
      <c r="F85" t="s">
        <v>41</v>
      </c>
      <c r="G85" t="s">
        <v>43</v>
      </c>
      <c r="H85" s="1" t="str">
        <f t="shared" si="16"/>
        <v>MTE:CHEVROLET-P-E</v>
      </c>
      <c r="I85" s="1">
        <f>COUNTIFS(
Tabla2[Make],
SUBSTITUTE(SUBSTITUTE(SUBSTITUTE(H85,$H$62,""), _xlfn.CONCAT("-", F85), ""), _xlfn.CONCAT("-", G85), ""),
Tabla2[Electric Vehicle Type], _xlfn.IFS(F85 = "B",'Datos auxiliares'!$B$2,F85 = "P",'Datos auxiliares'!$B$3),
Tabla2[Clean Alternative Fuel Vehicle (CAFV) Eligibility], _xlfn.IFS(G85 = "C",'Datos auxiliares'!$C$4,G85 = "E",'Datos auxiliares'!$C$3,G85 = "N", 'Datos auxiliares'!$C$2))</f>
        <v>0</v>
      </c>
      <c r="J85" s="1">
        <f t="shared" si="17"/>
        <v>0</v>
      </c>
      <c r="K85" s="1" t="str">
        <f t="shared" si="15"/>
        <v>No hay Log de 0</v>
      </c>
    </row>
    <row r="86" spans="1:11" x14ac:dyDescent="0.3">
      <c r="A86" t="s">
        <v>15</v>
      </c>
      <c r="B86" t="s">
        <v>4</v>
      </c>
      <c r="C86" t="s">
        <v>16</v>
      </c>
      <c r="E86" t="s">
        <v>12</v>
      </c>
      <c r="F86" t="s">
        <v>41</v>
      </c>
      <c r="G86" t="s">
        <v>44</v>
      </c>
      <c r="H86" s="1" t="str">
        <f t="shared" si="16"/>
        <v>MTE:CHEVROLET-P-N</v>
      </c>
      <c r="I86" s="1">
        <f>COUNTIFS(
Tabla2[Make],
SUBSTITUTE(SUBSTITUTE(SUBSTITUTE(H86,$H$62,""), _xlfn.CONCAT("-", F86), ""), _xlfn.CONCAT("-", G86), ""),
Tabla2[Electric Vehicle Type], _xlfn.IFS(F86 = "B",'Datos auxiliares'!$B$2,F86 = "P",'Datos auxiliares'!$B$3),
Tabla2[Clean Alternative Fuel Vehicle (CAFV) Eligibility], _xlfn.IFS(G86 = "C",'Datos auxiliares'!$C$4,G86 = "E",'Datos auxiliares'!$C$3,G86 = "N", 'Datos auxiliares'!$C$2))</f>
        <v>0</v>
      </c>
      <c r="J86" s="1">
        <f t="shared" si="17"/>
        <v>0</v>
      </c>
      <c r="K86" s="1" t="str">
        <f t="shared" si="15"/>
        <v>No hay Log de 0</v>
      </c>
    </row>
    <row r="87" spans="1:11" x14ac:dyDescent="0.3">
      <c r="A87" t="s">
        <v>15</v>
      </c>
      <c r="B87" t="s">
        <v>8</v>
      </c>
      <c r="C87" t="s">
        <v>5</v>
      </c>
      <c r="E87" t="s">
        <v>13</v>
      </c>
      <c r="F87" t="s">
        <v>40</v>
      </c>
      <c r="G87" t="s">
        <v>42</v>
      </c>
      <c r="H87" s="1" t="str">
        <f t="shared" si="16"/>
        <v>MTE:FIAT-B-C</v>
      </c>
      <c r="I87" s="1">
        <f>COUNTIFS(
Tabla2[Make],
SUBSTITUTE(SUBSTITUTE(SUBSTITUTE(H87,$H$62,""), _xlfn.CONCAT("-", F87), ""), _xlfn.CONCAT("-", G87), ""),
Tabla2[Electric Vehicle Type], _xlfn.IFS(F87 = "B",'Datos auxiliares'!$B$2,F87 = "P",'Datos auxiliares'!$B$3),
Tabla2[Clean Alternative Fuel Vehicle (CAFV) Eligibility], _xlfn.IFS(G87 = "C",'Datos auxiliares'!$C$4,G87 = "E",'Datos auxiliares'!$C$3,G87 = "N", 'Datos auxiliares'!$C$2))</f>
        <v>2</v>
      </c>
      <c r="J87" s="1">
        <f t="shared" si="17"/>
        <v>0.02</v>
      </c>
      <c r="K87" s="1">
        <f t="shared" si="15"/>
        <v>3.3979400086720374E-2</v>
      </c>
    </row>
    <row r="88" spans="1:11" x14ac:dyDescent="0.3">
      <c r="A88" t="s">
        <v>3</v>
      </c>
      <c r="B88" t="s">
        <v>4</v>
      </c>
      <c r="C88" t="s">
        <v>5</v>
      </c>
      <c r="E88" t="s">
        <v>13</v>
      </c>
      <c r="F88" t="s">
        <v>40</v>
      </c>
      <c r="G88" t="s">
        <v>43</v>
      </c>
      <c r="H88" s="1" t="str">
        <f t="shared" si="16"/>
        <v>MTE:FIAT-B-E</v>
      </c>
      <c r="I88" s="1">
        <f>COUNTIFS(
Tabla2[Make],
SUBSTITUTE(SUBSTITUTE(SUBSTITUTE(H88,$H$62,""), _xlfn.CONCAT("-", F88), ""), _xlfn.CONCAT("-", G88), ""),
Tabla2[Electric Vehicle Type], _xlfn.IFS(F88 = "B",'Datos auxiliares'!$B$2,F88 = "P",'Datos auxiliares'!$B$3),
Tabla2[Clean Alternative Fuel Vehicle (CAFV) Eligibility], _xlfn.IFS(G88 = "C",'Datos auxiliares'!$C$4,G88 = "E",'Datos auxiliares'!$C$3,G88 = "N", 'Datos auxiliares'!$C$2))</f>
        <v>0</v>
      </c>
      <c r="J88" s="1">
        <f t="shared" si="17"/>
        <v>0</v>
      </c>
      <c r="K88" s="1" t="str">
        <f t="shared" si="15"/>
        <v>No hay Log de 0</v>
      </c>
    </row>
    <row r="89" spans="1:11" x14ac:dyDescent="0.3">
      <c r="A89" t="s">
        <v>22</v>
      </c>
      <c r="B89" t="s">
        <v>4</v>
      </c>
      <c r="C89" t="s">
        <v>5</v>
      </c>
      <c r="E89" t="s">
        <v>13</v>
      </c>
      <c r="F89" t="s">
        <v>40</v>
      </c>
      <c r="G89" t="s">
        <v>44</v>
      </c>
      <c r="H89" s="1" t="str">
        <f t="shared" si="16"/>
        <v>MTE:FIAT-B-N</v>
      </c>
      <c r="I89" s="1">
        <f>COUNTIFS(
Tabla2[Make],
SUBSTITUTE(SUBSTITUTE(SUBSTITUTE(H89,$H$62,""), _xlfn.CONCAT("-", F89), ""), _xlfn.CONCAT("-", G89), ""),
Tabla2[Electric Vehicle Type], _xlfn.IFS(F89 = "B",'Datos auxiliares'!$B$2,F89 = "P",'Datos auxiliares'!$B$3),
Tabla2[Clean Alternative Fuel Vehicle (CAFV) Eligibility], _xlfn.IFS(G89 = "C",'Datos auxiliares'!$C$4,G89 = "E",'Datos auxiliares'!$C$3,G89 = "N", 'Datos auxiliares'!$C$2))</f>
        <v>0</v>
      </c>
      <c r="J89" s="1">
        <f t="shared" si="17"/>
        <v>0</v>
      </c>
      <c r="K89" s="1" t="str">
        <f t="shared" si="15"/>
        <v>No hay Log de 0</v>
      </c>
    </row>
    <row r="90" spans="1:11" x14ac:dyDescent="0.3">
      <c r="A90" t="s">
        <v>14</v>
      </c>
      <c r="B90" t="s">
        <v>8</v>
      </c>
      <c r="C90" t="s">
        <v>5</v>
      </c>
      <c r="E90" t="s">
        <v>13</v>
      </c>
      <c r="F90" t="s">
        <v>41</v>
      </c>
      <c r="G90" t="s">
        <v>42</v>
      </c>
      <c r="H90" s="1" t="str">
        <f t="shared" si="16"/>
        <v>MTE:FIAT-P-C</v>
      </c>
      <c r="I90" s="1">
        <f>COUNTIFS(
Tabla2[Make],
SUBSTITUTE(SUBSTITUTE(SUBSTITUTE(H90,$H$62,""), _xlfn.CONCAT("-", F90), ""), _xlfn.CONCAT("-", G90), ""),
Tabla2[Electric Vehicle Type], _xlfn.IFS(F90 = "B",'Datos auxiliares'!$B$2,F90 = "P",'Datos auxiliares'!$B$3),
Tabla2[Clean Alternative Fuel Vehicle (CAFV) Eligibility], _xlfn.IFS(G90 = "C",'Datos auxiliares'!$C$4,G90 = "E",'Datos auxiliares'!$C$3,G90 = "N", 'Datos auxiliares'!$C$2))</f>
        <v>0</v>
      </c>
      <c r="J90" s="1">
        <f t="shared" si="17"/>
        <v>0</v>
      </c>
      <c r="K90" s="1" t="str">
        <f t="shared" si="15"/>
        <v>No hay Log de 0</v>
      </c>
    </row>
    <row r="91" spans="1:11" x14ac:dyDescent="0.3">
      <c r="A91" t="s">
        <v>11</v>
      </c>
      <c r="B91" t="s">
        <v>8</v>
      </c>
      <c r="C91" t="s">
        <v>9</v>
      </c>
      <c r="E91" t="s">
        <v>13</v>
      </c>
      <c r="F91" t="s">
        <v>41</v>
      </c>
      <c r="G91" t="s">
        <v>43</v>
      </c>
      <c r="H91" s="1" t="str">
        <f t="shared" si="16"/>
        <v>MTE:FIAT-P-E</v>
      </c>
      <c r="I91" s="1">
        <f>COUNTIFS(
Tabla2[Make],
SUBSTITUTE(SUBSTITUTE(SUBSTITUTE(H91,$H$62,""), _xlfn.CONCAT("-", F91), ""), _xlfn.CONCAT("-", G91), ""),
Tabla2[Electric Vehicle Type], _xlfn.IFS(F91 = "B",'Datos auxiliares'!$B$2,F91 = "P",'Datos auxiliares'!$B$3),
Tabla2[Clean Alternative Fuel Vehicle (CAFV) Eligibility], _xlfn.IFS(G91 = "C",'Datos auxiliares'!$C$4,G91 = "E",'Datos auxiliares'!$C$3,G91 = "N", 'Datos auxiliares'!$C$2))</f>
        <v>0</v>
      </c>
      <c r="J91" s="1">
        <f t="shared" si="17"/>
        <v>0</v>
      </c>
      <c r="K91" s="1" t="str">
        <f t="shared" si="15"/>
        <v>No hay Log de 0</v>
      </c>
    </row>
    <row r="92" spans="1:11" x14ac:dyDescent="0.3">
      <c r="A92" t="s">
        <v>7</v>
      </c>
      <c r="B92" t="s">
        <v>8</v>
      </c>
      <c r="C92" t="s">
        <v>9</v>
      </c>
      <c r="E92" t="s">
        <v>19</v>
      </c>
      <c r="F92" t="s">
        <v>41</v>
      </c>
      <c r="G92" t="s">
        <v>44</v>
      </c>
      <c r="H92" s="1" t="str">
        <f t="shared" si="16"/>
        <v>MTE:FORD-P-N</v>
      </c>
      <c r="I92" s="1">
        <f>COUNTIFS(
Tabla2[Make],
SUBSTITUTE(SUBSTITUTE(SUBSTITUTE(H92,$H$62,""), _xlfn.CONCAT("-", F92), ""), _xlfn.CONCAT("-", G92), ""),
Tabla2[Electric Vehicle Type], _xlfn.IFS(F92 = "B",'Datos auxiliares'!$B$2,F92 = "P",'Datos auxiliares'!$B$3),
Tabla2[Clean Alternative Fuel Vehicle (CAFV) Eligibility], _xlfn.IFS(G92 = "C",'Datos auxiliares'!$C$4,G92 = "E",'Datos auxiliares'!$C$3,G92 = "N", 'Datos auxiliares'!$C$2))</f>
        <v>1</v>
      </c>
      <c r="J92" s="1">
        <f t="shared" si="17"/>
        <v>0.01</v>
      </c>
      <c r="K92" s="1">
        <f t="shared" si="15"/>
        <v>0.02</v>
      </c>
    </row>
    <row r="93" spans="1:11" x14ac:dyDescent="0.3">
      <c r="A93" t="s">
        <v>13</v>
      </c>
      <c r="B93" t="s">
        <v>4</v>
      </c>
      <c r="C93" t="s">
        <v>5</v>
      </c>
      <c r="E93" t="s">
        <v>19</v>
      </c>
      <c r="F93" t="s">
        <v>40</v>
      </c>
      <c r="G93" t="s">
        <v>42</v>
      </c>
      <c r="H93" s="1" t="str">
        <f t="shared" si="16"/>
        <v>MTE:FORD-B-C</v>
      </c>
      <c r="I93" s="1">
        <f>COUNTIFS(
Tabla2[Make],
SUBSTITUTE(SUBSTITUTE(SUBSTITUTE(H93,$H$62,""), _xlfn.CONCAT("-", F93), ""), _xlfn.CONCAT("-", G93), ""),
Tabla2[Electric Vehicle Type], _xlfn.IFS(F93 = "B",'Datos auxiliares'!$B$2,F93 = "P",'Datos auxiliares'!$B$3),
Tabla2[Clean Alternative Fuel Vehicle (CAFV) Eligibility], _xlfn.IFS(G93 = "C",'Datos auxiliares'!$C$4,G93 = "E",'Datos auxiliares'!$C$3,G93 = "N", 'Datos auxiliares'!$C$2))</f>
        <v>0</v>
      </c>
      <c r="J93" s="1">
        <f t="shared" si="17"/>
        <v>0</v>
      </c>
      <c r="K93" s="1" t="str">
        <f t="shared" si="15"/>
        <v>No hay Log de 0</v>
      </c>
    </row>
    <row r="94" spans="1:11" x14ac:dyDescent="0.3">
      <c r="A94" t="s">
        <v>11</v>
      </c>
      <c r="B94" t="s">
        <v>8</v>
      </c>
      <c r="C94" t="s">
        <v>9</v>
      </c>
      <c r="E94" t="s">
        <v>19</v>
      </c>
      <c r="F94" t="s">
        <v>40</v>
      </c>
      <c r="G94" t="s">
        <v>43</v>
      </c>
      <c r="H94" s="1" t="str">
        <f t="shared" si="16"/>
        <v>MTE:FORD-B-E</v>
      </c>
      <c r="I94" s="1">
        <f>COUNTIFS(
Tabla2[Make],
SUBSTITUTE(SUBSTITUTE(SUBSTITUTE(H94,$H$62,""), _xlfn.CONCAT("-", F94), ""), _xlfn.CONCAT("-", G94), ""),
Tabla2[Electric Vehicle Type], _xlfn.IFS(F94 = "B",'Datos auxiliares'!$B$2,F94 = "P",'Datos auxiliares'!$B$3),
Tabla2[Clean Alternative Fuel Vehicle (CAFV) Eligibility], _xlfn.IFS(G94 = "C",'Datos auxiliares'!$C$4,G94 = "E",'Datos auxiliares'!$C$3,G94 = "N", 'Datos auxiliares'!$C$2))</f>
        <v>1</v>
      </c>
      <c r="J94" s="1">
        <f t="shared" si="17"/>
        <v>0.01</v>
      </c>
      <c r="K94" s="1">
        <f t="shared" si="15"/>
        <v>0.02</v>
      </c>
    </row>
    <row r="95" spans="1:11" x14ac:dyDescent="0.3">
      <c r="A95" t="s">
        <v>3</v>
      </c>
      <c r="B95" t="s">
        <v>4</v>
      </c>
      <c r="C95" t="s">
        <v>5</v>
      </c>
      <c r="E95" t="s">
        <v>19</v>
      </c>
      <c r="F95" t="s">
        <v>40</v>
      </c>
      <c r="G95" t="s">
        <v>44</v>
      </c>
      <c r="H95" s="1" t="str">
        <f t="shared" si="16"/>
        <v>MTE:FORD-B-N</v>
      </c>
      <c r="I95" s="1">
        <f>COUNTIFS(
Tabla2[Make],
SUBSTITUTE(SUBSTITUTE(SUBSTITUTE(H95,$H$62,""), _xlfn.CONCAT("-", F95), ""), _xlfn.CONCAT("-", G95), ""),
Tabla2[Electric Vehicle Type], _xlfn.IFS(F95 = "B",'Datos auxiliares'!$B$2,F95 = "P",'Datos auxiliares'!$B$3),
Tabla2[Clean Alternative Fuel Vehicle (CAFV) Eligibility], _xlfn.IFS(G95 = "C",'Datos auxiliares'!$C$4,G95 = "E",'Datos auxiliares'!$C$3,G95 = "N", 'Datos auxiliares'!$C$2))</f>
        <v>0</v>
      </c>
      <c r="J95" s="1">
        <f t="shared" si="17"/>
        <v>0</v>
      </c>
      <c r="K95" s="1" t="str">
        <f t="shared" si="15"/>
        <v>No hay Log de 0</v>
      </c>
    </row>
    <row r="96" spans="1:11" x14ac:dyDescent="0.3">
      <c r="A96" t="s">
        <v>6</v>
      </c>
      <c r="B96" t="s">
        <v>4</v>
      </c>
      <c r="C96" t="s">
        <v>5</v>
      </c>
      <c r="E96" t="s">
        <v>19</v>
      </c>
      <c r="F96" t="s">
        <v>41</v>
      </c>
      <c r="G96" t="s">
        <v>42</v>
      </c>
      <c r="H96" s="1" t="str">
        <f t="shared" si="16"/>
        <v>MTE:FORD-P-C</v>
      </c>
      <c r="I96" s="1">
        <f>COUNTIFS(
Tabla2[Make],
SUBSTITUTE(SUBSTITUTE(SUBSTITUTE(H96,$H$62,""), _xlfn.CONCAT("-", F96), ""), _xlfn.CONCAT("-", G96), ""),
Tabla2[Electric Vehicle Type], _xlfn.IFS(F96 = "B",'Datos auxiliares'!$B$2,F96 = "P",'Datos auxiliares'!$B$3),
Tabla2[Clean Alternative Fuel Vehicle (CAFV) Eligibility], _xlfn.IFS(G96 = "C",'Datos auxiliares'!$C$4,G96 = "E",'Datos auxiliares'!$C$3,G96 = "N", 'Datos auxiliares'!$C$2))</f>
        <v>0</v>
      </c>
      <c r="J96" s="1">
        <f t="shared" si="17"/>
        <v>0</v>
      </c>
      <c r="K96" s="1" t="str">
        <f t="shared" si="15"/>
        <v>No hay Log de 0</v>
      </c>
    </row>
    <row r="97" spans="1:11" x14ac:dyDescent="0.3">
      <c r="A97" t="s">
        <v>3</v>
      </c>
      <c r="B97" t="s">
        <v>4</v>
      </c>
      <c r="C97" t="s">
        <v>5</v>
      </c>
      <c r="E97" t="s">
        <v>19</v>
      </c>
      <c r="F97" t="s">
        <v>41</v>
      </c>
      <c r="G97" t="s">
        <v>43</v>
      </c>
      <c r="H97" s="1" t="str">
        <f t="shared" si="16"/>
        <v>MTE:FORD-P-E</v>
      </c>
      <c r="I97" s="1">
        <f>COUNTIFS(
Tabla2[Make],
SUBSTITUTE(SUBSTITUTE(SUBSTITUTE(H97,$H$62,""), _xlfn.CONCAT("-", F97), ""), _xlfn.CONCAT("-", G97), ""),
Tabla2[Electric Vehicle Type], _xlfn.IFS(F97 = "B",'Datos auxiliares'!$B$2,F97 = "P",'Datos auxiliares'!$B$3),
Tabla2[Clean Alternative Fuel Vehicle (CAFV) Eligibility], _xlfn.IFS(G97 = "C",'Datos auxiliares'!$C$4,G97 = "E",'Datos auxiliares'!$C$3,G97 = "N", 'Datos auxiliares'!$C$2))</f>
        <v>0</v>
      </c>
      <c r="J97" s="1">
        <f t="shared" si="17"/>
        <v>0</v>
      </c>
      <c r="K97" s="1" t="str">
        <f t="shared" si="15"/>
        <v>No hay Log de 0</v>
      </c>
    </row>
    <row r="98" spans="1:11" x14ac:dyDescent="0.3">
      <c r="A98" t="s">
        <v>15</v>
      </c>
      <c r="B98" t="s">
        <v>4</v>
      </c>
      <c r="C98" t="s">
        <v>5</v>
      </c>
      <c r="E98" t="s">
        <v>17</v>
      </c>
      <c r="F98" t="s">
        <v>41</v>
      </c>
      <c r="G98" t="s">
        <v>44</v>
      </c>
      <c r="H98" s="1" t="str">
        <f t="shared" si="16"/>
        <v>MTE:HYUNDAI-P-N</v>
      </c>
      <c r="I98" s="1">
        <f>COUNTIFS(
Tabla2[Make],
SUBSTITUTE(SUBSTITUTE(SUBSTITUTE(H98,$H$62,""), _xlfn.CONCAT("-", F98), ""), _xlfn.CONCAT("-", G98), ""),
Tabla2[Electric Vehicle Type], _xlfn.IFS(F98 = "B",'Datos auxiliares'!$B$2,F98 = "P",'Datos auxiliares'!$B$3),
Tabla2[Clean Alternative Fuel Vehicle (CAFV) Eligibility], _xlfn.IFS(G98 = "C",'Datos auxiliares'!$C$4,G98 = "E",'Datos auxiliares'!$C$3,G98 = "N", 'Datos auxiliares'!$C$2))</f>
        <v>0</v>
      </c>
      <c r="J98" s="1">
        <f t="shared" si="17"/>
        <v>0</v>
      </c>
      <c r="K98" s="1" t="str">
        <f t="shared" si="15"/>
        <v>No hay Log de 0</v>
      </c>
    </row>
    <row r="99" spans="1:11" x14ac:dyDescent="0.3">
      <c r="A99" t="s">
        <v>3</v>
      </c>
      <c r="B99" t="s">
        <v>4</v>
      </c>
      <c r="C99" t="s">
        <v>5</v>
      </c>
      <c r="E99" t="s">
        <v>17</v>
      </c>
      <c r="F99" t="s">
        <v>40</v>
      </c>
      <c r="G99" t="s">
        <v>42</v>
      </c>
      <c r="H99" s="1" t="str">
        <f t="shared" si="16"/>
        <v>MTE:HYUNDAI-B-C</v>
      </c>
      <c r="I99" s="1">
        <f>COUNTIFS(
Tabla2[Make],
SUBSTITUTE(SUBSTITUTE(SUBSTITUTE(H99,$H$62,""), _xlfn.CONCAT("-", F99), ""), _xlfn.CONCAT("-", G99), ""),
Tabla2[Electric Vehicle Type], _xlfn.IFS(F99 = "B",'Datos auxiliares'!$B$2,F99 = "P",'Datos auxiliares'!$B$3),
Tabla2[Clean Alternative Fuel Vehicle (CAFV) Eligibility], _xlfn.IFS(G99 = "C",'Datos auxiliares'!$C$4,G99 = "E",'Datos auxiliares'!$C$3,G99 = "N", 'Datos auxiliares'!$C$2))</f>
        <v>0</v>
      </c>
      <c r="J99" s="1">
        <f t="shared" si="17"/>
        <v>0</v>
      </c>
      <c r="K99" s="1" t="str">
        <f t="shared" si="15"/>
        <v>No hay Log de 0</v>
      </c>
    </row>
    <row r="100" spans="1:11" x14ac:dyDescent="0.3">
      <c r="A100" t="s">
        <v>3</v>
      </c>
      <c r="B100" t="s">
        <v>4</v>
      </c>
      <c r="C100" t="s">
        <v>5</v>
      </c>
      <c r="E100" t="s">
        <v>17</v>
      </c>
      <c r="F100" t="s">
        <v>40</v>
      </c>
      <c r="G100" t="s">
        <v>43</v>
      </c>
      <c r="H100" s="1" t="str">
        <f t="shared" si="16"/>
        <v>MTE:HYUNDAI-B-E</v>
      </c>
      <c r="I100" s="1">
        <f>COUNTIFS(
Tabla2[Make],
SUBSTITUTE(SUBSTITUTE(SUBSTITUTE(H100,$H$62,""), _xlfn.CONCAT("-", F100), ""), _xlfn.CONCAT("-", G100), ""),
Tabla2[Electric Vehicle Type], _xlfn.IFS(F100 = "B",'Datos auxiliares'!$B$2,F100 = "P",'Datos auxiliares'!$B$3),
Tabla2[Clean Alternative Fuel Vehicle (CAFV) Eligibility], _xlfn.IFS(G100 = "C",'Datos auxiliares'!$C$4,G100 = "E",'Datos auxiliares'!$C$3,G100 = "N", 'Datos auxiliares'!$C$2))</f>
        <v>0</v>
      </c>
      <c r="J100" s="1">
        <f t="shared" si="17"/>
        <v>0</v>
      </c>
      <c r="K100" s="1" t="str">
        <f t="shared" si="15"/>
        <v>No hay Log de 0</v>
      </c>
    </row>
    <row r="101" spans="1:11" x14ac:dyDescent="0.3">
      <c r="A101" t="s">
        <v>6</v>
      </c>
      <c r="B101" t="s">
        <v>4</v>
      </c>
      <c r="C101" t="s">
        <v>5</v>
      </c>
      <c r="E101" t="s">
        <v>17</v>
      </c>
      <c r="F101" t="s">
        <v>40</v>
      </c>
      <c r="G101" t="s">
        <v>44</v>
      </c>
      <c r="H101" s="1" t="str">
        <f t="shared" si="16"/>
        <v>MTE:HYUNDAI-B-N</v>
      </c>
      <c r="I101" s="1">
        <f>COUNTIFS(
Tabla2[Make],
SUBSTITUTE(SUBSTITUTE(SUBSTITUTE(H101,$H$62,""), _xlfn.CONCAT("-", F101), ""), _xlfn.CONCAT("-", G101), ""),
Tabla2[Electric Vehicle Type], _xlfn.IFS(F101 = "B",'Datos auxiliares'!$B$2,F101 = "P",'Datos auxiliares'!$B$3),
Tabla2[Clean Alternative Fuel Vehicle (CAFV) Eligibility], _xlfn.IFS(G101 = "C",'Datos auxiliares'!$C$4,G101 = "E",'Datos auxiliares'!$C$3,G101 = "N", 'Datos auxiliares'!$C$2))</f>
        <v>0</v>
      </c>
      <c r="J101" s="1">
        <f t="shared" si="17"/>
        <v>0</v>
      </c>
      <c r="K101" s="1" t="str">
        <f t="shared" si="15"/>
        <v>No hay Log de 0</v>
      </c>
    </row>
    <row r="102" spans="1:11" x14ac:dyDescent="0.3">
      <c r="E102" t="s">
        <v>17</v>
      </c>
      <c r="F102" t="s">
        <v>41</v>
      </c>
      <c r="G102" t="s">
        <v>42</v>
      </c>
      <c r="H102" s="1" t="str">
        <f t="shared" si="16"/>
        <v>MTE:HYUNDAI-P-C</v>
      </c>
      <c r="I102" s="1">
        <f>COUNTIFS(
Tabla2[Make],
SUBSTITUTE(SUBSTITUTE(SUBSTITUTE(H102,$H$62,""), _xlfn.CONCAT("-", F102), ""), _xlfn.CONCAT("-", G102), ""),
Tabla2[Electric Vehicle Type], _xlfn.IFS(F102 = "B",'Datos auxiliares'!$B$2,F102 = "P",'Datos auxiliares'!$B$3),
Tabla2[Clean Alternative Fuel Vehicle (CAFV) Eligibility], _xlfn.IFS(G102 = "C",'Datos auxiliares'!$C$4,G102 = "E",'Datos auxiliares'!$C$3,G102 = "N", 'Datos auxiliares'!$C$2))</f>
        <v>1</v>
      </c>
      <c r="J102" s="1">
        <f t="shared" si="17"/>
        <v>0.01</v>
      </c>
      <c r="K102" s="1">
        <f t="shared" si="15"/>
        <v>0.02</v>
      </c>
    </row>
    <row r="103" spans="1:11" x14ac:dyDescent="0.3">
      <c r="E103" t="s">
        <v>17</v>
      </c>
      <c r="F103" t="s">
        <v>41</v>
      </c>
      <c r="G103" t="s">
        <v>43</v>
      </c>
      <c r="H103" s="1" t="str">
        <f t="shared" si="16"/>
        <v>MTE:HYUNDAI-P-E</v>
      </c>
      <c r="I103" s="1">
        <f>COUNTIFS(
Tabla2[Make],
SUBSTITUTE(SUBSTITUTE(SUBSTITUTE(H103,$H$62,""), _xlfn.CONCAT("-", F103), ""), _xlfn.CONCAT("-", G103), ""),
Tabla2[Electric Vehicle Type], _xlfn.IFS(F103 = "B",'Datos auxiliares'!$B$2,F103 = "P",'Datos auxiliares'!$B$3),
Tabla2[Clean Alternative Fuel Vehicle (CAFV) Eligibility], _xlfn.IFS(G103 = "C",'Datos auxiliares'!$C$4,G103 = "E",'Datos auxiliares'!$C$3,G103 = "N", 'Datos auxiliares'!$C$2))</f>
        <v>0</v>
      </c>
      <c r="J103" s="1">
        <f t="shared" si="17"/>
        <v>0</v>
      </c>
      <c r="K103" s="1" t="str">
        <f t="shared" si="15"/>
        <v>No hay Log de 0</v>
      </c>
    </row>
    <row r="104" spans="1:11" x14ac:dyDescent="0.3">
      <c r="E104" t="s">
        <v>17</v>
      </c>
      <c r="F104" t="s">
        <v>41</v>
      </c>
      <c r="G104" t="s">
        <v>44</v>
      </c>
      <c r="H104" s="1" t="str">
        <f t="shared" si="16"/>
        <v>MTE:HYUNDAI-P-N</v>
      </c>
      <c r="I104" s="1">
        <f>COUNTIFS(
Tabla2[Make],
SUBSTITUTE(SUBSTITUTE(SUBSTITUTE(H104,$H$62,""), _xlfn.CONCAT("-", F104), ""), _xlfn.CONCAT("-", G104), ""),
Tabla2[Electric Vehicle Type], _xlfn.IFS(F104 = "B",'Datos auxiliares'!$B$2,F104 = "P",'Datos auxiliares'!$B$3),
Tabla2[Clean Alternative Fuel Vehicle (CAFV) Eligibility], _xlfn.IFS(G104 = "C",'Datos auxiliares'!$C$4,G104 = "E",'Datos auxiliares'!$C$3,G104 = "N", 'Datos auxiliares'!$C$2))</f>
        <v>0</v>
      </c>
      <c r="J104" s="1">
        <f t="shared" si="17"/>
        <v>0</v>
      </c>
      <c r="K104" s="1" t="str">
        <f t="shared" si="15"/>
        <v>No hay Log de 0</v>
      </c>
    </row>
    <row r="105" spans="1:11" x14ac:dyDescent="0.3">
      <c r="E105" t="s">
        <v>7</v>
      </c>
      <c r="F105" t="s">
        <v>40</v>
      </c>
      <c r="G105" t="s">
        <v>42</v>
      </c>
      <c r="H105" s="1" t="str">
        <f t="shared" si="16"/>
        <v>MTE:JEEP-B-C</v>
      </c>
      <c r="I105" s="1">
        <f>COUNTIFS(
Tabla2[Make],
SUBSTITUTE(SUBSTITUTE(SUBSTITUTE(H105,$H$62,""), _xlfn.CONCAT("-", F105), ""), _xlfn.CONCAT("-", G105), ""),
Tabla2[Electric Vehicle Type], _xlfn.IFS(F105 = "B",'Datos auxiliares'!$B$2,F105 = "P",'Datos auxiliares'!$B$3),
Tabla2[Clean Alternative Fuel Vehicle (CAFV) Eligibility], _xlfn.IFS(G105 = "C",'Datos auxiliares'!$C$4,G105 = "E",'Datos auxiliares'!$C$3,G105 = "N", 'Datos auxiliares'!$C$2))</f>
        <v>0</v>
      </c>
      <c r="J105" s="1">
        <f t="shared" si="17"/>
        <v>0</v>
      </c>
      <c r="K105" s="1" t="str">
        <f t="shared" si="15"/>
        <v>No hay Log de 0</v>
      </c>
    </row>
    <row r="106" spans="1:11" x14ac:dyDescent="0.3">
      <c r="E106" t="s">
        <v>7</v>
      </c>
      <c r="F106" t="s">
        <v>40</v>
      </c>
      <c r="G106" t="s">
        <v>43</v>
      </c>
      <c r="H106" s="1" t="str">
        <f t="shared" si="16"/>
        <v>MTE:JEEP-B-E</v>
      </c>
      <c r="I106" s="1">
        <f>COUNTIFS(
Tabla2[Make],
SUBSTITUTE(SUBSTITUTE(SUBSTITUTE(H106,$H$62,""), _xlfn.CONCAT("-", F106), ""), _xlfn.CONCAT("-", G106), ""),
Tabla2[Electric Vehicle Type], _xlfn.IFS(F106 = "B",'Datos auxiliares'!$B$2,F106 = "P",'Datos auxiliares'!$B$3),
Tabla2[Clean Alternative Fuel Vehicle (CAFV) Eligibility], _xlfn.IFS(G106 = "C",'Datos auxiliares'!$C$4,G106 = "E",'Datos auxiliares'!$C$3,G106 = "N", 'Datos auxiliares'!$C$2))</f>
        <v>0</v>
      </c>
      <c r="J106" s="1">
        <f t="shared" si="17"/>
        <v>0</v>
      </c>
      <c r="K106" s="1" t="str">
        <f t="shared" si="15"/>
        <v>No hay Log de 0</v>
      </c>
    </row>
    <row r="107" spans="1:11" x14ac:dyDescent="0.3">
      <c r="E107" t="s">
        <v>7</v>
      </c>
      <c r="F107" t="s">
        <v>40</v>
      </c>
      <c r="G107" t="s">
        <v>44</v>
      </c>
      <c r="H107" s="1" t="str">
        <f t="shared" si="16"/>
        <v>MTE:JEEP-B-N</v>
      </c>
      <c r="I107" s="1">
        <f>COUNTIFS(
Tabla2[Make],
SUBSTITUTE(SUBSTITUTE(SUBSTITUTE(H107,$H$62,""), _xlfn.CONCAT("-", F107), ""), _xlfn.CONCAT("-", G107), ""),
Tabla2[Electric Vehicle Type], _xlfn.IFS(F107 = "B",'Datos auxiliares'!$B$2,F107 = "P",'Datos auxiliares'!$B$3),
Tabla2[Clean Alternative Fuel Vehicle (CAFV) Eligibility], _xlfn.IFS(G107 = "C",'Datos auxiliares'!$C$4,G107 = "E",'Datos auxiliares'!$C$3,G107 = "N", 'Datos auxiliares'!$C$2))</f>
        <v>0</v>
      </c>
      <c r="J107" s="1">
        <f t="shared" si="17"/>
        <v>0</v>
      </c>
      <c r="K107" s="1" t="str">
        <f t="shared" si="15"/>
        <v>No hay Log de 0</v>
      </c>
    </row>
    <row r="108" spans="1:11" x14ac:dyDescent="0.3">
      <c r="E108" t="s">
        <v>7</v>
      </c>
      <c r="F108" t="s">
        <v>41</v>
      </c>
      <c r="G108" t="s">
        <v>42</v>
      </c>
      <c r="H108" s="1" t="str">
        <f t="shared" si="16"/>
        <v>MTE:JEEP-P-C</v>
      </c>
      <c r="I108" s="1">
        <f>COUNTIFS(
Tabla2[Make],
SUBSTITUTE(SUBSTITUTE(SUBSTITUTE(H108,$H$62,""), _xlfn.CONCAT("-", F108), ""), _xlfn.CONCAT("-", G108), ""),
Tabla2[Electric Vehicle Type], _xlfn.IFS(F108 = "B",'Datos auxiliares'!$B$2,F108 = "P",'Datos auxiliares'!$B$3),
Tabla2[Clean Alternative Fuel Vehicle (CAFV) Eligibility], _xlfn.IFS(G108 = "C",'Datos auxiliares'!$C$4,G108 = "E",'Datos auxiliares'!$C$3,G108 = "N", 'Datos auxiliares'!$C$2))</f>
        <v>0</v>
      </c>
      <c r="J108" s="1">
        <f t="shared" si="17"/>
        <v>0</v>
      </c>
      <c r="K108" s="1" t="str">
        <f t="shared" si="15"/>
        <v>No hay Log de 0</v>
      </c>
    </row>
    <row r="109" spans="1:11" x14ac:dyDescent="0.3">
      <c r="E109" t="s">
        <v>7</v>
      </c>
      <c r="F109" t="s">
        <v>41</v>
      </c>
      <c r="G109" t="s">
        <v>43</v>
      </c>
      <c r="H109" s="1" t="str">
        <f t="shared" si="16"/>
        <v>MTE:JEEP-P-E</v>
      </c>
      <c r="I109" s="1">
        <f>COUNTIFS(
Tabla2[Make],
SUBSTITUTE(SUBSTITUTE(SUBSTITUTE(H109,$H$62,""), _xlfn.CONCAT("-", F109), ""), _xlfn.CONCAT("-", G109), ""),
Tabla2[Electric Vehicle Type], _xlfn.IFS(F109 = "B",'Datos auxiliares'!$B$2,F109 = "P",'Datos auxiliares'!$B$3),
Tabla2[Clean Alternative Fuel Vehicle (CAFV) Eligibility], _xlfn.IFS(G109 = "C",'Datos auxiliares'!$C$4,G109 = "E",'Datos auxiliares'!$C$3,G109 = "N", 'Datos auxiliares'!$C$2))</f>
        <v>0</v>
      </c>
      <c r="J109" s="1">
        <f t="shared" si="17"/>
        <v>0</v>
      </c>
      <c r="K109" s="1" t="str">
        <f t="shared" si="15"/>
        <v>No hay Log de 0</v>
      </c>
    </row>
    <row r="110" spans="1:11" x14ac:dyDescent="0.3">
      <c r="E110" t="s">
        <v>7</v>
      </c>
      <c r="F110" t="s">
        <v>41</v>
      </c>
      <c r="G110" t="s">
        <v>44</v>
      </c>
      <c r="H110" s="1" t="str">
        <f t="shared" si="16"/>
        <v>MTE:JEEP-P-N</v>
      </c>
      <c r="I110" s="1">
        <f>COUNTIFS(
Tabla2[Make],
SUBSTITUTE(SUBSTITUTE(SUBSTITUTE(H110,$H$62,""), _xlfn.CONCAT("-", F110), ""), _xlfn.CONCAT("-", G110), ""),
Tabla2[Electric Vehicle Type], _xlfn.IFS(F110 = "B",'Datos auxiliares'!$B$2,F110 = "P",'Datos auxiliares'!$B$3),
Tabla2[Clean Alternative Fuel Vehicle (CAFV) Eligibility], _xlfn.IFS(G110 = "C",'Datos auxiliares'!$C$4,G110 = "E",'Datos auxiliares'!$C$3,G110 = "N", 'Datos auxiliares'!$C$2))</f>
        <v>4</v>
      </c>
      <c r="J110" s="1">
        <f t="shared" si="17"/>
        <v>0.04</v>
      </c>
      <c r="K110" s="1">
        <f t="shared" si="15"/>
        <v>5.5917600346881501E-2</v>
      </c>
    </row>
    <row r="111" spans="1:11" x14ac:dyDescent="0.3">
      <c r="E111" t="s">
        <v>14</v>
      </c>
      <c r="F111" t="s">
        <v>40</v>
      </c>
      <c r="G111" t="s">
        <v>42</v>
      </c>
      <c r="H111" s="1" t="str">
        <f t="shared" si="16"/>
        <v>MTE:KIA-B-C</v>
      </c>
      <c r="I111" s="1">
        <f>COUNTIFS(
Tabla2[Make],
SUBSTITUTE(SUBSTITUTE(SUBSTITUTE(H111,$H$62,""), _xlfn.CONCAT("-", F111), ""), _xlfn.CONCAT("-", G111), ""),
Tabla2[Electric Vehicle Type], _xlfn.IFS(F111 = "B",'Datos auxiliares'!$B$2,F111 = "P",'Datos auxiliares'!$B$3),
Tabla2[Clean Alternative Fuel Vehicle (CAFV) Eligibility], _xlfn.IFS(G111 = "C",'Datos auxiliares'!$C$4,G111 = "E",'Datos auxiliares'!$C$3,G111 = "N", 'Datos auxiliares'!$C$2))</f>
        <v>7</v>
      </c>
      <c r="J111" s="1">
        <f t="shared" si="17"/>
        <v>7.0000000000000007E-2</v>
      </c>
      <c r="K111" s="1">
        <f t="shared" si="15"/>
        <v>8.0843137199002019E-2</v>
      </c>
    </row>
    <row r="112" spans="1:11" x14ac:dyDescent="0.3">
      <c r="E112" t="s">
        <v>14</v>
      </c>
      <c r="F112" t="s">
        <v>40</v>
      </c>
      <c r="G112" t="s">
        <v>43</v>
      </c>
      <c r="H112" s="1" t="str">
        <f t="shared" si="16"/>
        <v>MTE:KIA-B-E</v>
      </c>
      <c r="I112" s="1">
        <f>COUNTIFS(
Tabla2[Make],
SUBSTITUTE(SUBSTITUTE(SUBSTITUTE(H112,$H$62,""), _xlfn.CONCAT("-", F112), ""), _xlfn.CONCAT("-", G112), ""),
Tabla2[Electric Vehicle Type], _xlfn.IFS(F112 = "B",'Datos auxiliares'!$B$2,F112 = "P",'Datos auxiliares'!$B$3),
Tabla2[Clean Alternative Fuel Vehicle (CAFV) Eligibility], _xlfn.IFS(G112 = "C",'Datos auxiliares'!$C$4,G112 = "E",'Datos auxiliares'!$C$3,G112 = "N", 'Datos auxiliares'!$C$2))</f>
        <v>0</v>
      </c>
      <c r="J112" s="1">
        <f t="shared" si="17"/>
        <v>0</v>
      </c>
      <c r="K112" s="1" t="str">
        <f t="shared" si="15"/>
        <v>No hay Log de 0</v>
      </c>
    </row>
    <row r="113" spans="5:11" x14ac:dyDescent="0.3">
      <c r="E113" t="s">
        <v>14</v>
      </c>
      <c r="F113" t="s">
        <v>40</v>
      </c>
      <c r="G113" t="s">
        <v>44</v>
      </c>
      <c r="H113" s="1" t="str">
        <f t="shared" si="16"/>
        <v>MTE:KIA-B-N</v>
      </c>
      <c r="I113" s="1">
        <f>COUNTIFS(
Tabla2[Make],
SUBSTITUTE(SUBSTITUTE(SUBSTITUTE(H113,$H$62,""), _xlfn.CONCAT("-", F113), ""), _xlfn.CONCAT("-", G113), ""),
Tabla2[Electric Vehicle Type], _xlfn.IFS(F113 = "B",'Datos auxiliares'!$B$2,F113 = "P",'Datos auxiliares'!$B$3),
Tabla2[Clean Alternative Fuel Vehicle (CAFV) Eligibility], _xlfn.IFS(G113 = "C",'Datos auxiliares'!$C$4,G113 = "E",'Datos auxiliares'!$C$3,G113 = "N", 'Datos auxiliares'!$C$2))</f>
        <v>0</v>
      </c>
      <c r="J113" s="1">
        <f t="shared" si="17"/>
        <v>0</v>
      </c>
      <c r="K113" s="1" t="str">
        <f t="shared" si="15"/>
        <v>No hay Log de 0</v>
      </c>
    </row>
    <row r="114" spans="5:11" x14ac:dyDescent="0.3">
      <c r="E114" t="s">
        <v>14</v>
      </c>
      <c r="F114" t="s">
        <v>41</v>
      </c>
      <c r="G114" t="s">
        <v>42</v>
      </c>
      <c r="H114" s="1" t="str">
        <f t="shared" si="16"/>
        <v>MTE:KIA-P-C</v>
      </c>
      <c r="I114" s="1">
        <f>COUNTIFS(
Tabla2[Make],
SUBSTITUTE(SUBSTITUTE(SUBSTITUTE(H114,$H$62,""), _xlfn.CONCAT("-", F114), ""), _xlfn.CONCAT("-", G114), ""),
Tabla2[Electric Vehicle Type], _xlfn.IFS(F114 = "B",'Datos auxiliares'!$B$2,F114 = "P",'Datos auxiliares'!$B$3),
Tabla2[Clean Alternative Fuel Vehicle (CAFV) Eligibility], _xlfn.IFS(G114 = "C",'Datos auxiliares'!$C$4,G114 = "E",'Datos auxiliares'!$C$3,G114 = "N", 'Datos auxiliares'!$C$2))</f>
        <v>3</v>
      </c>
      <c r="J114" s="1">
        <f t="shared" si="17"/>
        <v>0.03</v>
      </c>
      <c r="K114" s="1">
        <f t="shared" si="15"/>
        <v>4.5686362358410129E-2</v>
      </c>
    </row>
    <row r="115" spans="5:11" x14ac:dyDescent="0.3">
      <c r="E115" t="s">
        <v>14</v>
      </c>
      <c r="F115" t="s">
        <v>41</v>
      </c>
      <c r="G115" t="s">
        <v>43</v>
      </c>
      <c r="H115" s="1" t="str">
        <f t="shared" si="16"/>
        <v>MTE:KIA-P-E</v>
      </c>
      <c r="I115" s="1">
        <f>COUNTIFS(
Tabla2[Make],
SUBSTITUTE(SUBSTITUTE(SUBSTITUTE(H115,$H$62,""), _xlfn.CONCAT("-", F115), ""), _xlfn.CONCAT("-", G115), ""),
Tabla2[Electric Vehicle Type], _xlfn.IFS(F115 = "B",'Datos auxiliares'!$B$2,F115 = "P",'Datos auxiliares'!$B$3),
Tabla2[Clean Alternative Fuel Vehicle (CAFV) Eligibility], _xlfn.IFS(G115 = "C",'Datos auxiliares'!$C$4,G115 = "E",'Datos auxiliares'!$C$3,G115 = "N", 'Datos auxiliares'!$C$2))</f>
        <v>0</v>
      </c>
      <c r="J115" s="1">
        <f t="shared" si="17"/>
        <v>0</v>
      </c>
      <c r="K115" s="1" t="str">
        <f t="shared" si="15"/>
        <v>No hay Log de 0</v>
      </c>
    </row>
    <row r="116" spans="5:11" x14ac:dyDescent="0.3">
      <c r="E116" t="s">
        <v>14</v>
      </c>
      <c r="F116" t="s">
        <v>41</v>
      </c>
      <c r="G116" t="s">
        <v>44</v>
      </c>
      <c r="H116" s="1" t="str">
        <f t="shared" si="16"/>
        <v>MTE:KIA-P-N</v>
      </c>
      <c r="I116" s="1">
        <f>COUNTIFS(
Tabla2[Make],
SUBSTITUTE(SUBSTITUTE(SUBSTITUTE(H116,$H$62,""), _xlfn.CONCAT("-", F116), ""), _xlfn.CONCAT("-", G116), ""),
Tabla2[Electric Vehicle Type], _xlfn.IFS(F116 = "B",'Datos auxiliares'!$B$2,F116 = "P",'Datos auxiliares'!$B$3),
Tabla2[Clean Alternative Fuel Vehicle (CAFV) Eligibility], _xlfn.IFS(G116 = "C",'Datos auxiliares'!$C$4,G116 = "E",'Datos auxiliares'!$C$3,G116 = "N", 'Datos auxiliares'!$C$2))</f>
        <v>3</v>
      </c>
      <c r="J116" s="1">
        <f t="shared" si="17"/>
        <v>0.03</v>
      </c>
      <c r="K116" s="1">
        <f t="shared" si="15"/>
        <v>4.5686362358410129E-2</v>
      </c>
    </row>
    <row r="117" spans="5:11" x14ac:dyDescent="0.3">
      <c r="E117" t="s">
        <v>6</v>
      </c>
      <c r="F117" t="s">
        <v>40</v>
      </c>
      <c r="G117" t="s">
        <v>42</v>
      </c>
      <c r="H117" s="1" t="str">
        <f t="shared" si="16"/>
        <v>MTE:NISSAN-B-C</v>
      </c>
      <c r="I117" s="1">
        <f>COUNTIFS(
Tabla2[Make],
SUBSTITUTE(SUBSTITUTE(SUBSTITUTE(H117,$H$62,""), _xlfn.CONCAT("-", F117), ""), _xlfn.CONCAT("-", G117), ""),
Tabla2[Electric Vehicle Type], _xlfn.IFS(F117 = "B",'Datos auxiliares'!$B$2,F117 = "P",'Datos auxiliares'!$B$3),
Tabla2[Clean Alternative Fuel Vehicle (CAFV) Eligibility], _xlfn.IFS(G117 = "C",'Datos auxiliares'!$C$4,G117 = "E",'Datos auxiliares'!$C$3,G117 = "N", 'Datos auxiliares'!$C$2))</f>
        <v>13</v>
      </c>
      <c r="J117" s="1">
        <f t="shared" si="17"/>
        <v>0.13</v>
      </c>
      <c r="K117" s="1">
        <f t="shared" si="15"/>
        <v>0.11518736420011122</v>
      </c>
    </row>
    <row r="118" spans="5:11" x14ac:dyDescent="0.3">
      <c r="E118" t="s">
        <v>6</v>
      </c>
      <c r="F118" t="s">
        <v>40</v>
      </c>
      <c r="G118" t="s">
        <v>43</v>
      </c>
      <c r="H118" s="1" t="str">
        <f t="shared" si="16"/>
        <v>MTE:NISSAN-B-E</v>
      </c>
      <c r="I118" s="1">
        <f>COUNTIFS(
Tabla2[Make],
SUBSTITUTE(SUBSTITUTE(SUBSTITUTE(H118,$H$62,""), _xlfn.CONCAT("-", F118), ""), _xlfn.CONCAT("-", G118), ""),
Tabla2[Electric Vehicle Type], _xlfn.IFS(F118 = "B",'Datos auxiliares'!$B$2,F118 = "P",'Datos auxiliares'!$B$3),
Tabla2[Clean Alternative Fuel Vehicle (CAFV) Eligibility], _xlfn.IFS(G118 = "C",'Datos auxiliares'!$C$4,G118 = "E",'Datos auxiliares'!$C$3,G118 = "N", 'Datos auxiliares'!$C$2))</f>
        <v>0</v>
      </c>
      <c r="J118" s="1">
        <f t="shared" si="17"/>
        <v>0</v>
      </c>
      <c r="K118" s="1" t="str">
        <f t="shared" si="15"/>
        <v>No hay Log de 0</v>
      </c>
    </row>
    <row r="119" spans="5:11" x14ac:dyDescent="0.3">
      <c r="E119" t="s">
        <v>6</v>
      </c>
      <c r="F119" t="s">
        <v>40</v>
      </c>
      <c r="G119" t="s">
        <v>44</v>
      </c>
      <c r="H119" s="1" t="str">
        <f t="shared" si="16"/>
        <v>MTE:NISSAN-B-N</v>
      </c>
      <c r="I119" s="1">
        <f>COUNTIFS(
Tabla2[Make],
SUBSTITUTE(SUBSTITUTE(SUBSTITUTE(H119,$H$62,""), _xlfn.CONCAT("-", F119), ""), _xlfn.CONCAT("-", G119), ""),
Tabla2[Electric Vehicle Type], _xlfn.IFS(F119 = "B",'Datos auxiliares'!$B$2,F119 = "P",'Datos auxiliares'!$B$3),
Tabla2[Clean Alternative Fuel Vehicle (CAFV) Eligibility], _xlfn.IFS(G119 = "C",'Datos auxiliares'!$C$4,G119 = "E",'Datos auxiliares'!$C$3,G119 = "N", 'Datos auxiliares'!$C$2))</f>
        <v>0</v>
      </c>
      <c r="J119" s="1">
        <f t="shared" si="17"/>
        <v>0</v>
      </c>
      <c r="K119" s="1" t="str">
        <f t="shared" si="15"/>
        <v>No hay Log de 0</v>
      </c>
    </row>
    <row r="120" spans="5:11" x14ac:dyDescent="0.3">
      <c r="E120" t="s">
        <v>6</v>
      </c>
      <c r="F120" t="s">
        <v>41</v>
      </c>
      <c r="G120" t="s">
        <v>42</v>
      </c>
      <c r="H120" s="1" t="str">
        <f t="shared" si="16"/>
        <v>MTE:NISSAN-P-C</v>
      </c>
      <c r="I120" s="1">
        <f>COUNTIFS(
Tabla2[Make],
SUBSTITUTE(SUBSTITUTE(SUBSTITUTE(H120,$H$62,""), _xlfn.CONCAT("-", F120), ""), _xlfn.CONCAT("-", G120), ""),
Tabla2[Electric Vehicle Type], _xlfn.IFS(F120 = "B",'Datos auxiliares'!$B$2,F120 = "P",'Datos auxiliares'!$B$3),
Tabla2[Clean Alternative Fuel Vehicle (CAFV) Eligibility], _xlfn.IFS(G120 = "C",'Datos auxiliares'!$C$4,G120 = "E",'Datos auxiliares'!$C$3,G120 = "N", 'Datos auxiliares'!$C$2))</f>
        <v>0</v>
      </c>
      <c r="J120" s="1">
        <f t="shared" si="17"/>
        <v>0</v>
      </c>
      <c r="K120" s="1" t="str">
        <f t="shared" si="15"/>
        <v>No hay Log de 0</v>
      </c>
    </row>
    <row r="121" spans="5:11" x14ac:dyDescent="0.3">
      <c r="E121" t="s">
        <v>6</v>
      </c>
      <c r="F121" t="s">
        <v>41</v>
      </c>
      <c r="G121" t="s">
        <v>43</v>
      </c>
      <c r="H121" s="1" t="str">
        <f t="shared" si="16"/>
        <v>MTE:NISSAN-P-E</v>
      </c>
      <c r="I121" s="1">
        <f>COUNTIFS(
Tabla2[Make],
SUBSTITUTE(SUBSTITUTE(SUBSTITUTE(H121,$H$62,""), _xlfn.CONCAT("-", F121), ""), _xlfn.CONCAT("-", G121), ""),
Tabla2[Electric Vehicle Type], _xlfn.IFS(F121 = "B",'Datos auxiliares'!$B$2,F121 = "P",'Datos auxiliares'!$B$3),
Tabla2[Clean Alternative Fuel Vehicle (CAFV) Eligibility], _xlfn.IFS(G121 = "C",'Datos auxiliares'!$C$4,G121 = "E",'Datos auxiliares'!$C$3,G121 = "N", 'Datos auxiliares'!$C$2))</f>
        <v>0</v>
      </c>
      <c r="J121" s="1">
        <f t="shared" si="17"/>
        <v>0</v>
      </c>
      <c r="K121" s="1" t="str">
        <f t="shared" si="15"/>
        <v>No hay Log de 0</v>
      </c>
    </row>
    <row r="122" spans="5:11" x14ac:dyDescent="0.3">
      <c r="E122" t="s">
        <v>6</v>
      </c>
      <c r="F122" t="s">
        <v>41</v>
      </c>
      <c r="G122" t="s">
        <v>44</v>
      </c>
      <c r="H122" s="1" t="str">
        <f t="shared" si="16"/>
        <v>MTE:NISSAN-P-N</v>
      </c>
      <c r="I122" s="1">
        <f>COUNTIFS(
Tabla2[Make],
SUBSTITUTE(SUBSTITUTE(SUBSTITUTE(H122,$H$62,""), _xlfn.CONCAT("-", F122), ""), _xlfn.CONCAT("-", G122), ""),
Tabla2[Electric Vehicle Type], _xlfn.IFS(F122 = "B",'Datos auxiliares'!$B$2,F122 = "P",'Datos auxiliares'!$B$3),
Tabla2[Clean Alternative Fuel Vehicle (CAFV) Eligibility], _xlfn.IFS(G122 = "C",'Datos auxiliares'!$C$4,G122 = "E",'Datos auxiliares'!$C$3,G122 = "N", 'Datos auxiliares'!$C$2))</f>
        <v>0</v>
      </c>
      <c r="J122" s="1">
        <f t="shared" si="17"/>
        <v>0</v>
      </c>
      <c r="K122" s="1" t="str">
        <f t="shared" si="15"/>
        <v>No hay Log de 0</v>
      </c>
    </row>
    <row r="123" spans="5:11" x14ac:dyDescent="0.3">
      <c r="E123" t="s">
        <v>22</v>
      </c>
      <c r="F123" t="s">
        <v>40</v>
      </c>
      <c r="G123" t="s">
        <v>42</v>
      </c>
      <c r="H123" s="1" t="str">
        <f t="shared" si="16"/>
        <v>MTE:POLESTAR-B-C</v>
      </c>
      <c r="I123" s="1">
        <f>COUNTIFS(
Tabla2[Make],
SUBSTITUTE(SUBSTITUTE(SUBSTITUTE(H123,$H$62,""), _xlfn.CONCAT("-", F123), ""), _xlfn.CONCAT("-", G123), ""),
Tabla2[Electric Vehicle Type], _xlfn.IFS(F123 = "B",'Datos auxiliares'!$B$2,F123 = "P",'Datos auxiliares'!$B$3),
Tabla2[Clean Alternative Fuel Vehicle (CAFV) Eligibility], _xlfn.IFS(G123 = "C",'Datos auxiliares'!$C$4,G123 = "E",'Datos auxiliares'!$C$3,G123 = "N", 'Datos auxiliares'!$C$2))</f>
        <v>1</v>
      </c>
      <c r="J123" s="1">
        <f t="shared" si="17"/>
        <v>0.01</v>
      </c>
      <c r="K123" s="1">
        <f t="shared" si="15"/>
        <v>0.02</v>
      </c>
    </row>
    <row r="124" spans="5:11" x14ac:dyDescent="0.3">
      <c r="E124" t="s">
        <v>22</v>
      </c>
      <c r="F124" t="s">
        <v>40</v>
      </c>
      <c r="G124" t="s">
        <v>43</v>
      </c>
      <c r="H124" s="1" t="str">
        <f t="shared" si="16"/>
        <v>MTE:POLESTAR-B-E</v>
      </c>
      <c r="I124" s="1">
        <f>COUNTIFS(
Tabla2[Make],
SUBSTITUTE(SUBSTITUTE(SUBSTITUTE(H124,$H$62,""), _xlfn.CONCAT("-", F124), ""), _xlfn.CONCAT("-", G124), ""),
Tabla2[Electric Vehicle Type], _xlfn.IFS(F124 = "B",'Datos auxiliares'!$B$2,F124 = "P",'Datos auxiliares'!$B$3),
Tabla2[Clean Alternative Fuel Vehicle (CAFV) Eligibility], _xlfn.IFS(G124 = "C",'Datos auxiliares'!$C$4,G124 = "E",'Datos auxiliares'!$C$3,G124 = "N", 'Datos auxiliares'!$C$2))</f>
        <v>0</v>
      </c>
      <c r="J124" s="1">
        <f t="shared" si="17"/>
        <v>0</v>
      </c>
      <c r="K124" s="1" t="str">
        <f t="shared" si="15"/>
        <v>No hay Log de 0</v>
      </c>
    </row>
    <row r="125" spans="5:11" x14ac:dyDescent="0.3">
      <c r="E125" t="s">
        <v>22</v>
      </c>
      <c r="F125" t="s">
        <v>40</v>
      </c>
      <c r="G125" t="s">
        <v>44</v>
      </c>
      <c r="H125" s="1" t="str">
        <f t="shared" si="16"/>
        <v>MTE:POLESTAR-B-N</v>
      </c>
      <c r="I125" s="1">
        <f>COUNTIFS(
Tabla2[Make],
SUBSTITUTE(SUBSTITUTE(SUBSTITUTE(H125,$H$62,""), _xlfn.CONCAT("-", F125), ""), _xlfn.CONCAT("-", G125), ""),
Tabla2[Electric Vehicle Type], _xlfn.IFS(F125 = "B",'Datos auxiliares'!$B$2,F125 = "P",'Datos auxiliares'!$B$3),
Tabla2[Clean Alternative Fuel Vehicle (CAFV) Eligibility], _xlfn.IFS(G125 = "C",'Datos auxiliares'!$C$4,G125 = "E",'Datos auxiliares'!$C$3,G125 = "N", 'Datos auxiliares'!$C$2))</f>
        <v>0</v>
      </c>
      <c r="J125" s="1">
        <f t="shared" si="17"/>
        <v>0</v>
      </c>
      <c r="K125" s="1" t="str">
        <f t="shared" si="15"/>
        <v>No hay Log de 0</v>
      </c>
    </row>
    <row r="126" spans="5:11" x14ac:dyDescent="0.3">
      <c r="E126" t="s">
        <v>22</v>
      </c>
      <c r="F126" t="s">
        <v>41</v>
      </c>
      <c r="G126" t="s">
        <v>42</v>
      </c>
      <c r="H126" s="1" t="str">
        <f t="shared" si="16"/>
        <v>MTE:POLESTAR-P-C</v>
      </c>
      <c r="I126" s="1">
        <f>COUNTIFS(
Tabla2[Make],
SUBSTITUTE(SUBSTITUTE(SUBSTITUTE(H126,$H$62,""), _xlfn.CONCAT("-", F126), ""), _xlfn.CONCAT("-", G126), ""),
Tabla2[Electric Vehicle Type], _xlfn.IFS(F126 = "B",'Datos auxiliares'!$B$2,F126 = "P",'Datos auxiliares'!$B$3),
Tabla2[Clean Alternative Fuel Vehicle (CAFV) Eligibility], _xlfn.IFS(G126 = "C",'Datos auxiliares'!$C$4,G126 = "E",'Datos auxiliares'!$C$3,G126 = "N", 'Datos auxiliares'!$C$2))</f>
        <v>0</v>
      </c>
      <c r="J126" s="1">
        <f t="shared" si="17"/>
        <v>0</v>
      </c>
      <c r="K126" s="1" t="str">
        <f t="shared" si="15"/>
        <v>No hay Log de 0</v>
      </c>
    </row>
    <row r="127" spans="5:11" x14ac:dyDescent="0.3">
      <c r="E127" t="s">
        <v>22</v>
      </c>
      <c r="F127" t="s">
        <v>41</v>
      </c>
      <c r="G127" t="s">
        <v>43</v>
      </c>
      <c r="H127" s="1" t="str">
        <f t="shared" si="16"/>
        <v>MTE:POLESTAR-P-E</v>
      </c>
      <c r="I127" s="1">
        <f>COUNTIFS(
Tabla2[Make],
SUBSTITUTE(SUBSTITUTE(SUBSTITUTE(H127,$H$62,""), _xlfn.CONCAT("-", F127), ""), _xlfn.CONCAT("-", G127), ""),
Tabla2[Electric Vehicle Type], _xlfn.IFS(F127 = "B",'Datos auxiliares'!$B$2,F127 = "P",'Datos auxiliares'!$B$3),
Tabla2[Clean Alternative Fuel Vehicle (CAFV) Eligibility], _xlfn.IFS(G127 = "C",'Datos auxiliares'!$C$4,G127 = "E",'Datos auxiliares'!$C$3,G127 = "N", 'Datos auxiliares'!$C$2))</f>
        <v>0</v>
      </c>
      <c r="J127" s="1">
        <f t="shared" si="17"/>
        <v>0</v>
      </c>
      <c r="K127" s="1" t="str">
        <f t="shared" ref="K127:K152" si="18">IFERROR(-LOG10(J127) * J127, "No hay Log de 0")</f>
        <v>No hay Log de 0</v>
      </c>
    </row>
    <row r="128" spans="5:11" x14ac:dyDescent="0.3">
      <c r="E128" t="s">
        <v>22</v>
      </c>
      <c r="F128" t="s">
        <v>41</v>
      </c>
      <c r="G128" t="s">
        <v>44</v>
      </c>
      <c r="H128" s="1" t="str">
        <f t="shared" ref="H128:H152" si="19">_xlfn.CONCAT($H$62,E128, _xlfn.CONCAT("-", F128), _xlfn.CONCAT("-", G128))</f>
        <v>MTE:POLESTAR-P-N</v>
      </c>
      <c r="I128" s="1">
        <f>COUNTIFS(
Tabla2[Make],
SUBSTITUTE(SUBSTITUTE(SUBSTITUTE(H128,$H$62,""), _xlfn.CONCAT("-", F128), ""), _xlfn.CONCAT("-", G128), ""),
Tabla2[Electric Vehicle Type], _xlfn.IFS(F128 = "B",'Datos auxiliares'!$B$2,F128 = "P",'Datos auxiliares'!$B$3),
Tabla2[Clean Alternative Fuel Vehicle (CAFV) Eligibility], _xlfn.IFS(G128 = "C",'Datos auxiliares'!$C$4,G128 = "E",'Datos auxiliares'!$C$3,G128 = "N", 'Datos auxiliares'!$C$2))</f>
        <v>0</v>
      </c>
      <c r="J128" s="1">
        <f t="shared" ref="J128:J152" si="20">I128 / $I$153</f>
        <v>0</v>
      </c>
      <c r="K128" s="1" t="str">
        <f t="shared" si="18"/>
        <v>No hay Log de 0</v>
      </c>
    </row>
    <row r="129" spans="5:11" x14ac:dyDescent="0.3">
      <c r="E129" t="s">
        <v>20</v>
      </c>
      <c r="F129" t="s">
        <v>40</v>
      </c>
      <c r="G129" t="s">
        <v>42</v>
      </c>
      <c r="H129" s="1" t="str">
        <f t="shared" si="19"/>
        <v>MTE:PORSCHE-B-C</v>
      </c>
      <c r="I129" s="1">
        <f>COUNTIFS(
Tabla2[Make],
SUBSTITUTE(SUBSTITUTE(SUBSTITUTE(H129,$H$62,""), _xlfn.CONCAT("-", F129), ""), _xlfn.CONCAT("-", G129), ""),
Tabla2[Electric Vehicle Type], _xlfn.IFS(F129 = "B",'Datos auxiliares'!$B$2,F129 = "P",'Datos auxiliares'!$B$3),
Tabla2[Clean Alternative Fuel Vehicle (CAFV) Eligibility], _xlfn.IFS(G129 = "C",'Datos auxiliares'!$C$4,G129 = "E",'Datos auxiliares'!$C$3,G129 = "N", 'Datos auxiliares'!$C$2))</f>
        <v>1</v>
      </c>
      <c r="J129" s="1">
        <f t="shared" si="20"/>
        <v>0.01</v>
      </c>
      <c r="K129" s="1">
        <f t="shared" si="18"/>
        <v>0.02</v>
      </c>
    </row>
    <row r="130" spans="5:11" x14ac:dyDescent="0.3">
      <c r="E130" t="s">
        <v>20</v>
      </c>
      <c r="F130" t="s">
        <v>40</v>
      </c>
      <c r="G130" t="s">
        <v>43</v>
      </c>
      <c r="H130" s="1" t="str">
        <f t="shared" si="19"/>
        <v>MTE:PORSCHE-B-E</v>
      </c>
      <c r="I130" s="1">
        <f>COUNTIFS(
Tabla2[Make],
SUBSTITUTE(SUBSTITUTE(SUBSTITUTE(H130,$H$62,""), _xlfn.CONCAT("-", F130), ""), _xlfn.CONCAT("-", G130), ""),
Tabla2[Electric Vehicle Type], _xlfn.IFS(F130 = "B",'Datos auxiliares'!$B$2,F130 = "P",'Datos auxiliares'!$B$3),
Tabla2[Clean Alternative Fuel Vehicle (CAFV) Eligibility], _xlfn.IFS(G130 = "C",'Datos auxiliares'!$C$4,G130 = "E",'Datos auxiliares'!$C$3,G130 = "N", 'Datos auxiliares'!$C$2))</f>
        <v>0</v>
      </c>
      <c r="J130" s="1">
        <f t="shared" si="20"/>
        <v>0</v>
      </c>
      <c r="K130" s="1" t="str">
        <f t="shared" si="18"/>
        <v>No hay Log de 0</v>
      </c>
    </row>
    <row r="131" spans="5:11" x14ac:dyDescent="0.3">
      <c r="E131" t="s">
        <v>20</v>
      </c>
      <c r="F131" t="s">
        <v>40</v>
      </c>
      <c r="G131" t="s">
        <v>44</v>
      </c>
      <c r="H131" s="1" t="str">
        <f t="shared" si="19"/>
        <v>MTE:PORSCHE-B-N</v>
      </c>
      <c r="I131" s="1">
        <f>COUNTIFS(
Tabla2[Make],
SUBSTITUTE(SUBSTITUTE(SUBSTITUTE(H131,$H$62,""), _xlfn.CONCAT("-", F131), ""), _xlfn.CONCAT("-", G131), ""),
Tabla2[Electric Vehicle Type], _xlfn.IFS(F131 = "B",'Datos auxiliares'!$B$2,F131 = "P",'Datos auxiliares'!$B$3),
Tabla2[Clean Alternative Fuel Vehicle (CAFV) Eligibility], _xlfn.IFS(G131 = "C",'Datos auxiliares'!$C$4,G131 = "E",'Datos auxiliares'!$C$3,G131 = "N", 'Datos auxiliares'!$C$2))</f>
        <v>0</v>
      </c>
      <c r="J131" s="1">
        <f t="shared" si="20"/>
        <v>0</v>
      </c>
      <c r="K131" s="1" t="str">
        <f t="shared" si="18"/>
        <v>No hay Log de 0</v>
      </c>
    </row>
    <row r="132" spans="5:11" x14ac:dyDescent="0.3">
      <c r="E132" t="s">
        <v>20</v>
      </c>
      <c r="F132" t="s">
        <v>41</v>
      </c>
      <c r="G132" t="s">
        <v>42</v>
      </c>
      <c r="H132" s="1" t="str">
        <f t="shared" si="19"/>
        <v>MTE:PORSCHE-P-C</v>
      </c>
      <c r="I132" s="1">
        <f>COUNTIFS(
Tabla2[Make],
SUBSTITUTE(SUBSTITUTE(SUBSTITUTE(H132,$H$62,""), _xlfn.CONCAT("-", F132), ""), _xlfn.CONCAT("-", G132), ""),
Tabla2[Electric Vehicle Type], _xlfn.IFS(F132 = "B",'Datos auxiliares'!$B$2,F132 = "P",'Datos auxiliares'!$B$3),
Tabla2[Clean Alternative Fuel Vehicle (CAFV) Eligibility], _xlfn.IFS(G132 = "C",'Datos auxiliares'!$C$4,G132 = "E",'Datos auxiliares'!$C$3,G132 = "N", 'Datos auxiliares'!$C$2))</f>
        <v>0</v>
      </c>
      <c r="J132" s="1">
        <f t="shared" si="20"/>
        <v>0</v>
      </c>
      <c r="K132" s="1" t="str">
        <f t="shared" si="18"/>
        <v>No hay Log de 0</v>
      </c>
    </row>
    <row r="133" spans="5:11" x14ac:dyDescent="0.3">
      <c r="E133" t="s">
        <v>20</v>
      </c>
      <c r="F133" t="s">
        <v>41</v>
      </c>
      <c r="G133" t="s">
        <v>43</v>
      </c>
      <c r="H133" s="1" t="str">
        <f t="shared" si="19"/>
        <v>MTE:PORSCHE-P-E</v>
      </c>
      <c r="I133" s="1">
        <f>COUNTIFS(
Tabla2[Make],
SUBSTITUTE(SUBSTITUTE(SUBSTITUTE(H133,$H$62,""), _xlfn.CONCAT("-", F133), ""), _xlfn.CONCAT("-", G133), ""),
Tabla2[Electric Vehicle Type], _xlfn.IFS(F133 = "B",'Datos auxiliares'!$B$2,F133 = "P",'Datos auxiliares'!$B$3),
Tabla2[Clean Alternative Fuel Vehicle (CAFV) Eligibility], _xlfn.IFS(G133 = "C",'Datos auxiliares'!$C$4,G133 = "E",'Datos auxiliares'!$C$3,G133 = "N", 'Datos auxiliares'!$C$2))</f>
        <v>0</v>
      </c>
      <c r="J133" s="1">
        <f t="shared" si="20"/>
        <v>0</v>
      </c>
      <c r="K133" s="1" t="str">
        <f t="shared" si="18"/>
        <v>No hay Log de 0</v>
      </c>
    </row>
    <row r="134" spans="5:11" x14ac:dyDescent="0.3">
      <c r="E134" t="s">
        <v>20</v>
      </c>
      <c r="F134" t="s">
        <v>41</v>
      </c>
      <c r="G134" t="s">
        <v>44</v>
      </c>
      <c r="H134" s="1" t="str">
        <f t="shared" si="19"/>
        <v>MTE:PORSCHE-P-N</v>
      </c>
      <c r="I134" s="1">
        <f>COUNTIFS(
Tabla2[Make],
SUBSTITUTE(SUBSTITUTE(SUBSTITUTE(H134,$H$62,""), _xlfn.CONCAT("-", F134), ""), _xlfn.CONCAT("-", G134), ""),
Tabla2[Electric Vehicle Type], _xlfn.IFS(F134 = "B",'Datos auxiliares'!$B$2,F134 = "P",'Datos auxiliares'!$B$3),
Tabla2[Clean Alternative Fuel Vehicle (CAFV) Eligibility], _xlfn.IFS(G134 = "C",'Datos auxiliares'!$C$4,G134 = "E",'Datos auxiliares'!$C$3,G134 = "N", 'Datos auxiliares'!$C$2))</f>
        <v>0</v>
      </c>
      <c r="J134" s="1">
        <f t="shared" si="20"/>
        <v>0</v>
      </c>
      <c r="K134" s="1" t="str">
        <f t="shared" si="18"/>
        <v>No hay Log de 0</v>
      </c>
    </row>
    <row r="135" spans="5:11" x14ac:dyDescent="0.3">
      <c r="E135" t="s">
        <v>3</v>
      </c>
      <c r="F135" t="s">
        <v>40</v>
      </c>
      <c r="G135" t="s">
        <v>42</v>
      </c>
      <c r="H135" s="1" t="str">
        <f t="shared" si="19"/>
        <v>MTE:TESLA-B-C</v>
      </c>
      <c r="I135" s="1">
        <f>COUNTIFS(
Tabla2[Make],
SUBSTITUTE(SUBSTITUTE(SUBSTITUTE(H135,$H$62,""), _xlfn.CONCAT("-", F135), ""), _xlfn.CONCAT("-", G135), ""),
Tabla2[Electric Vehicle Type], _xlfn.IFS(F135 = "B",'Datos auxiliares'!$B$2,F135 = "P",'Datos auxiliares'!$B$3),
Tabla2[Clean Alternative Fuel Vehicle (CAFV) Eligibility], _xlfn.IFS(G135 = "C",'Datos auxiliares'!$C$4,G135 = "E",'Datos auxiliares'!$C$3,G135 = "N", 'Datos auxiliares'!$C$2))</f>
        <v>26</v>
      </c>
      <c r="J135" s="1">
        <f t="shared" si="20"/>
        <v>0.26</v>
      </c>
      <c r="K135" s="1">
        <f t="shared" si="18"/>
        <v>0.15210692952758734</v>
      </c>
    </row>
    <row r="136" spans="5:11" x14ac:dyDescent="0.3">
      <c r="E136" t="s">
        <v>3</v>
      </c>
      <c r="F136" t="s">
        <v>40</v>
      </c>
      <c r="G136" t="s">
        <v>43</v>
      </c>
      <c r="H136" s="1" t="str">
        <f t="shared" si="19"/>
        <v>MTE:TESLA-B-E</v>
      </c>
      <c r="I136" s="1">
        <f>COUNTIFS(
Tabla2[Make],
SUBSTITUTE(SUBSTITUTE(SUBSTITUTE(H136,$H$62,""), _xlfn.CONCAT("-", F136), ""), _xlfn.CONCAT("-", G136), ""),
Tabla2[Electric Vehicle Type], _xlfn.IFS(F136 = "B",'Datos auxiliares'!$B$2,F136 = "P",'Datos auxiliares'!$B$3),
Tabla2[Clean Alternative Fuel Vehicle (CAFV) Eligibility], _xlfn.IFS(G136 = "C",'Datos auxiliares'!$C$4,G136 = "E",'Datos auxiliares'!$C$3,G136 = "N", 'Datos auxiliares'!$C$2))</f>
        <v>4</v>
      </c>
      <c r="J136" s="1">
        <f t="shared" si="20"/>
        <v>0.04</v>
      </c>
      <c r="K136" s="1">
        <f t="shared" si="18"/>
        <v>5.5917600346881501E-2</v>
      </c>
    </row>
    <row r="137" spans="5:11" x14ac:dyDescent="0.3">
      <c r="E137" t="s">
        <v>3</v>
      </c>
      <c r="F137" t="s">
        <v>40</v>
      </c>
      <c r="G137" t="s">
        <v>44</v>
      </c>
      <c r="H137" s="1" t="str">
        <f t="shared" si="19"/>
        <v>MTE:TESLA-B-N</v>
      </c>
      <c r="I137" s="1">
        <f>COUNTIFS(
Tabla2[Make],
SUBSTITUTE(SUBSTITUTE(SUBSTITUTE(H137,$H$62,""), _xlfn.CONCAT("-", F137), ""), _xlfn.CONCAT("-", G137), ""),
Tabla2[Electric Vehicle Type], _xlfn.IFS(F137 = "B",'Datos auxiliares'!$B$2,F137 = "P",'Datos auxiliares'!$B$3),
Tabla2[Clean Alternative Fuel Vehicle (CAFV) Eligibility], _xlfn.IFS(G137 = "C",'Datos auxiliares'!$C$4,G137 = "E",'Datos auxiliares'!$C$3,G137 = "N", 'Datos auxiliares'!$C$2))</f>
        <v>0</v>
      </c>
      <c r="J137" s="1">
        <f t="shared" si="20"/>
        <v>0</v>
      </c>
      <c r="K137" s="1" t="str">
        <f t="shared" si="18"/>
        <v>No hay Log de 0</v>
      </c>
    </row>
    <row r="138" spans="5:11" x14ac:dyDescent="0.3">
      <c r="E138" t="s">
        <v>3</v>
      </c>
      <c r="F138" t="s">
        <v>41</v>
      </c>
      <c r="G138" t="s">
        <v>42</v>
      </c>
      <c r="H138" s="1" t="str">
        <f t="shared" si="19"/>
        <v>MTE:TESLA-P-C</v>
      </c>
      <c r="I138" s="1">
        <f>COUNTIFS(
Tabla2[Make],
SUBSTITUTE(SUBSTITUTE(SUBSTITUTE(H138,$H$62,""), _xlfn.CONCAT("-", F138), ""), _xlfn.CONCAT("-", G138), ""),
Tabla2[Electric Vehicle Type], _xlfn.IFS(F138 = "B",'Datos auxiliares'!$B$2,F138 = "P",'Datos auxiliares'!$B$3),
Tabla2[Clean Alternative Fuel Vehicle (CAFV) Eligibility], _xlfn.IFS(G138 = "C",'Datos auxiliares'!$C$4,G138 = "E",'Datos auxiliares'!$C$3,G138 = "N", 'Datos auxiliares'!$C$2))</f>
        <v>0</v>
      </c>
      <c r="J138" s="1">
        <f t="shared" si="20"/>
        <v>0</v>
      </c>
      <c r="K138" s="1" t="str">
        <f t="shared" si="18"/>
        <v>No hay Log de 0</v>
      </c>
    </row>
    <row r="139" spans="5:11" x14ac:dyDescent="0.3">
      <c r="E139" t="s">
        <v>3</v>
      </c>
      <c r="F139" t="s">
        <v>41</v>
      </c>
      <c r="G139" t="s">
        <v>43</v>
      </c>
      <c r="H139" s="1" t="str">
        <f t="shared" si="19"/>
        <v>MTE:TESLA-P-E</v>
      </c>
      <c r="I139" s="1">
        <f>COUNTIFS(
Tabla2[Make],
SUBSTITUTE(SUBSTITUTE(SUBSTITUTE(H139,$H$62,""), _xlfn.CONCAT("-", F139), ""), _xlfn.CONCAT("-", G139), ""),
Tabla2[Electric Vehicle Type], _xlfn.IFS(F139 = "B",'Datos auxiliares'!$B$2,F139 = "P",'Datos auxiliares'!$B$3),
Tabla2[Clean Alternative Fuel Vehicle (CAFV) Eligibility], _xlfn.IFS(G139 = "C",'Datos auxiliares'!$C$4,G139 = "E",'Datos auxiliares'!$C$3,G139 = "N", 'Datos auxiliares'!$C$2))</f>
        <v>0</v>
      </c>
      <c r="J139" s="1">
        <f t="shared" si="20"/>
        <v>0</v>
      </c>
      <c r="K139" s="1" t="str">
        <f t="shared" si="18"/>
        <v>No hay Log de 0</v>
      </c>
    </row>
    <row r="140" spans="5:11" x14ac:dyDescent="0.3">
      <c r="E140" t="s">
        <v>3</v>
      </c>
      <c r="F140" t="s">
        <v>41</v>
      </c>
      <c r="G140" t="s">
        <v>44</v>
      </c>
      <c r="H140" s="1" t="str">
        <f t="shared" si="19"/>
        <v>MTE:TESLA-P-N</v>
      </c>
      <c r="I140" s="1">
        <f>COUNTIFS(
Tabla2[Make],
SUBSTITUTE(SUBSTITUTE(SUBSTITUTE(H140,$H$62,""), _xlfn.CONCAT("-", F140), ""), _xlfn.CONCAT("-", G140), ""),
Tabla2[Electric Vehicle Type], _xlfn.IFS(F140 = "B",'Datos auxiliares'!$B$2,F140 = "P",'Datos auxiliares'!$B$3),
Tabla2[Clean Alternative Fuel Vehicle (CAFV) Eligibility], _xlfn.IFS(G140 = "C",'Datos auxiliares'!$C$4,G140 = "E",'Datos auxiliares'!$C$3,G140 = "N", 'Datos auxiliares'!$C$2))</f>
        <v>0</v>
      </c>
      <c r="J140" s="1">
        <f t="shared" si="20"/>
        <v>0</v>
      </c>
      <c r="K140" s="1" t="str">
        <f t="shared" si="18"/>
        <v>No hay Log de 0</v>
      </c>
    </row>
    <row r="141" spans="5:11" x14ac:dyDescent="0.3">
      <c r="E141" t="s">
        <v>21</v>
      </c>
      <c r="F141" t="s">
        <v>40</v>
      </c>
      <c r="G141" t="s">
        <v>42</v>
      </c>
      <c r="H141" s="1" t="str">
        <f t="shared" si="19"/>
        <v>MTE:VOLKSWAGEN-B-C</v>
      </c>
      <c r="I141" s="1">
        <f>COUNTIFS(
Tabla2[Make],
SUBSTITUTE(SUBSTITUTE(SUBSTITUTE(H141,$H$62,""), _xlfn.CONCAT("-", F141), ""), _xlfn.CONCAT("-", G141), ""),
Tabla2[Electric Vehicle Type], _xlfn.IFS(F141 = "B",'Datos auxiliares'!$B$2,F141 = "P",'Datos auxiliares'!$B$3),
Tabla2[Clean Alternative Fuel Vehicle (CAFV) Eligibility], _xlfn.IFS(G141 = "C",'Datos auxiliares'!$C$4,G141 = "E",'Datos auxiliares'!$C$3,G141 = "N", 'Datos auxiliares'!$C$2))</f>
        <v>0</v>
      </c>
      <c r="J141" s="1">
        <f t="shared" si="20"/>
        <v>0</v>
      </c>
      <c r="K141" s="1" t="str">
        <f t="shared" si="18"/>
        <v>No hay Log de 0</v>
      </c>
    </row>
    <row r="142" spans="5:11" x14ac:dyDescent="0.3">
      <c r="E142" t="s">
        <v>21</v>
      </c>
      <c r="F142" t="s">
        <v>40</v>
      </c>
      <c r="G142" t="s">
        <v>43</v>
      </c>
      <c r="H142" s="1" t="str">
        <f t="shared" si="19"/>
        <v>MTE:VOLKSWAGEN-B-E</v>
      </c>
      <c r="I142" s="1">
        <f>COUNTIFS(
Tabla2[Make],
SUBSTITUTE(SUBSTITUTE(SUBSTITUTE(H142,$H$62,""), _xlfn.CONCAT("-", F142), ""), _xlfn.CONCAT("-", G142), ""),
Tabla2[Electric Vehicle Type], _xlfn.IFS(F142 = "B",'Datos auxiliares'!$B$2,F142 = "P",'Datos auxiliares'!$B$3),
Tabla2[Clean Alternative Fuel Vehicle (CAFV) Eligibility], _xlfn.IFS(G142 = "C",'Datos auxiliares'!$C$4,G142 = "E",'Datos auxiliares'!$C$3,G142 = "N", 'Datos auxiliares'!$C$2))</f>
        <v>1</v>
      </c>
      <c r="J142" s="1">
        <f t="shared" si="20"/>
        <v>0.01</v>
      </c>
      <c r="K142" s="1">
        <f t="shared" si="18"/>
        <v>0.02</v>
      </c>
    </row>
    <row r="143" spans="5:11" x14ac:dyDescent="0.3">
      <c r="E143" t="s">
        <v>21</v>
      </c>
      <c r="F143" t="s">
        <v>40</v>
      </c>
      <c r="G143" t="s">
        <v>44</v>
      </c>
      <c r="H143" s="1" t="str">
        <f t="shared" si="19"/>
        <v>MTE:VOLKSWAGEN-B-N</v>
      </c>
      <c r="I143" s="1">
        <f>COUNTIFS(
Tabla2[Make],
SUBSTITUTE(SUBSTITUTE(SUBSTITUTE(H143,$H$62,""), _xlfn.CONCAT("-", F143), ""), _xlfn.CONCAT("-", G143), ""),
Tabla2[Electric Vehicle Type], _xlfn.IFS(F143 = "B",'Datos auxiliares'!$B$2,F143 = "P",'Datos auxiliares'!$B$3),
Tabla2[Clean Alternative Fuel Vehicle (CAFV) Eligibility], _xlfn.IFS(G143 = "C",'Datos auxiliares'!$C$4,G143 = "E",'Datos auxiliares'!$C$3,G143 = "N", 'Datos auxiliares'!$C$2))</f>
        <v>0</v>
      </c>
      <c r="J143" s="1">
        <f t="shared" si="20"/>
        <v>0</v>
      </c>
      <c r="K143" s="1" t="str">
        <f t="shared" si="18"/>
        <v>No hay Log de 0</v>
      </c>
    </row>
    <row r="144" spans="5:11" x14ac:dyDescent="0.3">
      <c r="E144" t="s">
        <v>21</v>
      </c>
      <c r="F144" t="s">
        <v>41</v>
      </c>
      <c r="G144" t="s">
        <v>42</v>
      </c>
      <c r="H144" s="1" t="str">
        <f t="shared" si="19"/>
        <v>MTE:VOLKSWAGEN-P-C</v>
      </c>
      <c r="I144" s="1">
        <f>COUNTIFS(
Tabla2[Make],
SUBSTITUTE(SUBSTITUTE(SUBSTITUTE(H144,$H$62,""), _xlfn.CONCAT("-", F144), ""), _xlfn.CONCAT("-", G144), ""),
Tabla2[Electric Vehicle Type], _xlfn.IFS(F144 = "B",'Datos auxiliares'!$B$2,F144 = "P",'Datos auxiliares'!$B$3),
Tabla2[Clean Alternative Fuel Vehicle (CAFV) Eligibility], _xlfn.IFS(G144 = "C",'Datos auxiliares'!$C$4,G144 = "E",'Datos auxiliares'!$C$3,G144 = "N", 'Datos auxiliares'!$C$2))</f>
        <v>0</v>
      </c>
      <c r="J144" s="1">
        <f t="shared" si="20"/>
        <v>0</v>
      </c>
      <c r="K144" s="1" t="str">
        <f t="shared" si="18"/>
        <v>No hay Log de 0</v>
      </c>
    </row>
    <row r="145" spans="5:11" x14ac:dyDescent="0.3">
      <c r="E145" t="s">
        <v>21</v>
      </c>
      <c r="F145" t="s">
        <v>41</v>
      </c>
      <c r="G145" t="s">
        <v>43</v>
      </c>
      <c r="H145" s="1" t="str">
        <f t="shared" si="19"/>
        <v>MTE:VOLKSWAGEN-P-E</v>
      </c>
      <c r="I145" s="1">
        <f>COUNTIFS(
Tabla2[Make],
SUBSTITUTE(SUBSTITUTE(SUBSTITUTE(H145,$H$62,""), _xlfn.CONCAT("-", F145), ""), _xlfn.CONCAT("-", G145), ""),
Tabla2[Electric Vehicle Type], _xlfn.IFS(F145 = "B",'Datos auxiliares'!$B$2,F145 = "P",'Datos auxiliares'!$B$3),
Tabla2[Clean Alternative Fuel Vehicle (CAFV) Eligibility], _xlfn.IFS(G145 = "C",'Datos auxiliares'!$C$4,G145 = "E",'Datos auxiliares'!$C$3,G145 = "N", 'Datos auxiliares'!$C$2))</f>
        <v>0</v>
      </c>
      <c r="J145" s="1">
        <f t="shared" si="20"/>
        <v>0</v>
      </c>
      <c r="K145" s="1" t="str">
        <f t="shared" si="18"/>
        <v>No hay Log de 0</v>
      </c>
    </row>
    <row r="146" spans="5:11" x14ac:dyDescent="0.3">
      <c r="E146" t="s">
        <v>21</v>
      </c>
      <c r="F146" t="s">
        <v>41</v>
      </c>
      <c r="G146" t="s">
        <v>44</v>
      </c>
      <c r="H146" s="1" t="str">
        <f t="shared" si="19"/>
        <v>MTE:VOLKSWAGEN-P-N</v>
      </c>
      <c r="I146" s="1">
        <f>COUNTIFS(
Tabla2[Make],
SUBSTITUTE(SUBSTITUTE(SUBSTITUTE(H146,$H$62,""), _xlfn.CONCAT("-", F146), ""), _xlfn.CONCAT("-", G146), ""),
Tabla2[Electric Vehicle Type], _xlfn.IFS(F146 = "B",'Datos auxiliares'!$B$2,F146 = "P",'Datos auxiliares'!$B$3),
Tabla2[Clean Alternative Fuel Vehicle (CAFV) Eligibility], _xlfn.IFS(G146 = "C",'Datos auxiliares'!$C$4,G146 = "E",'Datos auxiliares'!$C$3,G146 = "N", 'Datos auxiliares'!$C$2))</f>
        <v>0</v>
      </c>
      <c r="J146" s="1">
        <f t="shared" si="20"/>
        <v>0</v>
      </c>
      <c r="K146" s="1" t="str">
        <f t="shared" si="18"/>
        <v>No hay Log de 0</v>
      </c>
    </row>
    <row r="147" spans="5:11" x14ac:dyDescent="0.3">
      <c r="E147" t="s">
        <v>11</v>
      </c>
      <c r="F147" t="s">
        <v>40</v>
      </c>
      <c r="G147" t="s">
        <v>42</v>
      </c>
      <c r="H147" s="1" t="str">
        <f t="shared" si="19"/>
        <v>MTE:VOLVO-B-C</v>
      </c>
      <c r="I147" s="1">
        <f>COUNTIFS(
Tabla2[Make],
SUBSTITUTE(SUBSTITUTE(SUBSTITUTE(H147,$H$62,""), _xlfn.CONCAT("-", F147), ""), _xlfn.CONCAT("-", G147), ""),
Tabla2[Electric Vehicle Type], _xlfn.IFS(F147 = "B",'Datos auxiliares'!$B$2,F147 = "P",'Datos auxiliares'!$B$3),
Tabla2[Clean Alternative Fuel Vehicle (CAFV) Eligibility], _xlfn.IFS(G147 = "C",'Datos auxiliares'!$C$4,G147 = "E",'Datos auxiliares'!$C$3,G147 = "N", 'Datos auxiliares'!$C$2))</f>
        <v>0</v>
      </c>
      <c r="J147" s="1">
        <f t="shared" si="20"/>
        <v>0</v>
      </c>
      <c r="K147" s="1" t="str">
        <f t="shared" si="18"/>
        <v>No hay Log de 0</v>
      </c>
    </row>
    <row r="148" spans="5:11" x14ac:dyDescent="0.3">
      <c r="E148" t="s">
        <v>11</v>
      </c>
      <c r="F148" t="s">
        <v>40</v>
      </c>
      <c r="G148" t="s">
        <v>43</v>
      </c>
      <c r="H148" s="1" t="str">
        <f t="shared" si="19"/>
        <v>MTE:VOLVO-B-E</v>
      </c>
      <c r="I148" s="1">
        <f>COUNTIFS(
Tabla2[Make],
SUBSTITUTE(SUBSTITUTE(SUBSTITUTE(H148,$H$62,""), _xlfn.CONCAT("-", F148), ""), _xlfn.CONCAT("-", G148), ""),
Tabla2[Electric Vehicle Type], _xlfn.IFS(F148 = "B",'Datos auxiliares'!$B$2,F148 = "P",'Datos auxiliares'!$B$3),
Tabla2[Clean Alternative Fuel Vehicle (CAFV) Eligibility], _xlfn.IFS(G148 = "C",'Datos auxiliares'!$C$4,G148 = "E",'Datos auxiliares'!$C$3,G148 = "N", 'Datos auxiliares'!$C$2))</f>
        <v>1</v>
      </c>
      <c r="J148" s="1">
        <f t="shared" si="20"/>
        <v>0.01</v>
      </c>
      <c r="K148" s="1">
        <f t="shared" si="18"/>
        <v>0.02</v>
      </c>
    </row>
    <row r="149" spans="5:11" x14ac:dyDescent="0.3">
      <c r="E149" t="s">
        <v>11</v>
      </c>
      <c r="F149" t="s">
        <v>40</v>
      </c>
      <c r="G149" t="s">
        <v>44</v>
      </c>
      <c r="H149" s="1" t="str">
        <f t="shared" si="19"/>
        <v>MTE:VOLVO-B-N</v>
      </c>
      <c r="I149" s="1">
        <f>COUNTIFS(
Tabla2[Make],
SUBSTITUTE(SUBSTITUTE(SUBSTITUTE(H149,$H$62,""), _xlfn.CONCAT("-", F149), ""), _xlfn.CONCAT("-", G149), ""),
Tabla2[Electric Vehicle Type], _xlfn.IFS(F149 = "B",'Datos auxiliares'!$B$2,F149 = "P",'Datos auxiliares'!$B$3),
Tabla2[Clean Alternative Fuel Vehicle (CAFV) Eligibility], _xlfn.IFS(G149 = "C",'Datos auxiliares'!$C$4,G149 = "E",'Datos auxiliares'!$C$3,G149 = "N", 'Datos auxiliares'!$C$2))</f>
        <v>0</v>
      </c>
      <c r="J149" s="1">
        <f t="shared" si="20"/>
        <v>0</v>
      </c>
      <c r="K149" s="1" t="str">
        <f t="shared" si="18"/>
        <v>No hay Log de 0</v>
      </c>
    </row>
    <row r="150" spans="5:11" x14ac:dyDescent="0.3">
      <c r="E150" t="s">
        <v>11</v>
      </c>
      <c r="F150" t="s">
        <v>41</v>
      </c>
      <c r="G150" t="s">
        <v>42</v>
      </c>
      <c r="H150" s="1" t="str">
        <f t="shared" si="19"/>
        <v>MTE:VOLVO-P-C</v>
      </c>
      <c r="I150" s="1">
        <f>COUNTIFS(
Tabla2[Make],
SUBSTITUTE(SUBSTITUTE(SUBSTITUTE(H150,$H$62,""), _xlfn.CONCAT("-", F150), ""), _xlfn.CONCAT("-", G150), ""),
Tabla2[Electric Vehicle Type], _xlfn.IFS(F150 = "B",'Datos auxiliares'!$B$2,F150 = "P",'Datos auxiliares'!$B$3),
Tabla2[Clean Alternative Fuel Vehicle (CAFV) Eligibility], _xlfn.IFS(G150 = "C",'Datos auxiliares'!$C$4,G150 = "E",'Datos auxiliares'!$C$3,G150 = "N", 'Datos auxiliares'!$C$2))</f>
        <v>2</v>
      </c>
      <c r="J150" s="1">
        <f t="shared" si="20"/>
        <v>0.02</v>
      </c>
      <c r="K150" s="1">
        <f t="shared" si="18"/>
        <v>3.3979400086720374E-2</v>
      </c>
    </row>
    <row r="151" spans="5:11" x14ac:dyDescent="0.3">
      <c r="E151" t="s">
        <v>11</v>
      </c>
      <c r="F151" t="s">
        <v>41</v>
      </c>
      <c r="G151" t="s">
        <v>43</v>
      </c>
      <c r="H151" s="1" t="str">
        <f t="shared" si="19"/>
        <v>MTE:VOLVO-P-E</v>
      </c>
      <c r="I151" s="1">
        <f>COUNTIFS(
Tabla2[Make],
SUBSTITUTE(SUBSTITUTE(SUBSTITUTE(H151,$H$62,""), _xlfn.CONCAT("-", F151), ""), _xlfn.CONCAT("-", G151), ""),
Tabla2[Electric Vehicle Type], _xlfn.IFS(F151 = "B",'Datos auxiliares'!$B$2,F151 = "P",'Datos auxiliares'!$B$3),
Tabla2[Clean Alternative Fuel Vehicle (CAFV) Eligibility], _xlfn.IFS(G151 = "C",'Datos auxiliares'!$C$4,G151 = "E",'Datos auxiliares'!$C$3,G151 = "N", 'Datos auxiliares'!$C$2))</f>
        <v>0</v>
      </c>
      <c r="J151" s="1">
        <f t="shared" si="20"/>
        <v>0</v>
      </c>
      <c r="K151" s="1" t="str">
        <f t="shared" si="18"/>
        <v>No hay Log de 0</v>
      </c>
    </row>
    <row r="152" spans="5:11" x14ac:dyDescent="0.3">
      <c r="E152" t="s">
        <v>11</v>
      </c>
      <c r="F152" t="s">
        <v>41</v>
      </c>
      <c r="G152" t="s">
        <v>44</v>
      </c>
      <c r="H152" s="1" t="str">
        <f t="shared" si="19"/>
        <v>MTE:VOLVO-P-N</v>
      </c>
      <c r="I152" s="1">
        <f>COUNTIFS(
Tabla2[Make],
SUBSTITUTE(SUBSTITUTE(SUBSTITUTE(H152,$H$62,""), _xlfn.CONCAT("-", F152), ""), _xlfn.CONCAT("-", G152), ""),
Tabla2[Electric Vehicle Type], _xlfn.IFS(F152 = "B",'Datos auxiliares'!$B$2,F152 = "P",'Datos auxiliares'!$B$3),
Tabla2[Clean Alternative Fuel Vehicle (CAFV) Eligibility], _xlfn.IFS(G152 = "C",'Datos auxiliares'!$C$4,G152 = "E",'Datos auxiliares'!$C$3,G152 = "N", 'Datos auxiliares'!$C$2))</f>
        <v>3</v>
      </c>
      <c r="J152" s="1">
        <f t="shared" si="20"/>
        <v>0.03</v>
      </c>
      <c r="K152" s="1">
        <f t="shared" si="18"/>
        <v>4.5686362358410129E-2</v>
      </c>
    </row>
    <row r="153" spans="5:11" x14ac:dyDescent="0.3">
      <c r="I153" s="2">
        <f>SUM(I63:I152)</f>
        <v>100</v>
      </c>
      <c r="J153" s="2">
        <f>SUM(J63:J152)</f>
        <v>1.0000000000000002</v>
      </c>
      <c r="K153" s="2">
        <f>SUM(K30:K152)</f>
        <v>2.310907007257637</v>
      </c>
    </row>
  </sheetData>
  <sortState xmlns:xlrd2="http://schemas.microsoft.com/office/spreadsheetml/2017/richdata2" ref="D63:E152">
    <sortCondition ref="E63:E152"/>
  </sortState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74EA2-762B-46F7-9C0E-D25D7A56B832}">
  <dimension ref="A1:D16"/>
  <sheetViews>
    <sheetView workbookViewId="0">
      <selection activeCell="C2" sqref="C2"/>
    </sheetView>
  </sheetViews>
  <sheetFormatPr baseColWidth="10" defaultRowHeight="14.4" x14ac:dyDescent="0.3"/>
  <cols>
    <col min="1" max="1" width="15.88671875" bestFit="1" customWidth="1"/>
    <col min="2" max="2" width="31.109375" bestFit="1" customWidth="1"/>
    <col min="3" max="3" width="50.6640625" bestFit="1" customWidth="1"/>
  </cols>
  <sheetData>
    <row r="1" spans="1:4" x14ac:dyDescent="0.3">
      <c r="A1" t="s">
        <v>35</v>
      </c>
      <c r="B1" t="s">
        <v>36</v>
      </c>
      <c r="C1" t="s">
        <v>37</v>
      </c>
      <c r="D1" t="s">
        <v>47</v>
      </c>
    </row>
    <row r="2" spans="1:4" x14ac:dyDescent="0.3">
      <c r="A2" t="s">
        <v>10</v>
      </c>
      <c r="B2" t="s">
        <v>4</v>
      </c>
      <c r="C2" t="s">
        <v>9</v>
      </c>
      <c r="D2" t="str">
        <f>SUBSTITUTE(SUBSTITUTE(SUBSTITUTE(SUBSTITUTE(SUBSTITUTE(SUBSTITUTE(SUBSTITUTE(SUBSTITUTE(SUBSTITUTE(SUBSTITUTE(SUBSTITUTE(SUBSTITUTE(SUBSTITUTE(SUBSTITUTE(SUBSTITUTE(A2,"AUDI", ""), "BMW", ""),"CADILLAC", ""), "CHEVROLET", ""), "FIAT", ""), "FORD", ""), "HYUNDAI", ""), "JEEP", ""), "KIA", ""), "NISSAN", ""), "POLESTAR", ""), "PORSCHE", ""),"TESLA", ""), "VOLKSWAGEN", ""),"VOLVO", "")</f>
        <v/>
      </c>
    </row>
    <row r="3" spans="1:4" x14ac:dyDescent="0.3">
      <c r="A3" t="s">
        <v>15</v>
      </c>
      <c r="B3" t="s">
        <v>8</v>
      </c>
      <c r="C3" t="s">
        <v>16</v>
      </c>
      <c r="D3" t="str">
        <f t="shared" ref="D3:D16" si="0">SUBSTITUTE(SUBSTITUTE(SUBSTITUTE(SUBSTITUTE(SUBSTITUTE(SUBSTITUTE(SUBSTITUTE(SUBSTITUTE(SUBSTITUTE(SUBSTITUTE(SUBSTITUTE(SUBSTITUTE(SUBSTITUTE(SUBSTITUTE(SUBSTITUTE(A3,"AUDI", ""), "BMW", ""),"CADILLAC", ""), "CHEVROLET", ""), "FIAT", ""), "FORD", ""), "HYUNDAI", ""), "JEEP", ""), "KIA", ""), "NISSAN", ""), "POLESTAR", ""), "PORSCHE", ""),"TESLA", ""), "VOLKSWAGEN", ""),"VOLVO", "")</f>
        <v/>
      </c>
    </row>
    <row r="4" spans="1:4" x14ac:dyDescent="0.3">
      <c r="A4" t="s">
        <v>18</v>
      </c>
      <c r="C4" t="s">
        <v>5</v>
      </c>
      <c r="D4" t="str">
        <f t="shared" si="0"/>
        <v/>
      </c>
    </row>
    <row r="5" spans="1:4" x14ac:dyDescent="0.3">
      <c r="A5" t="s">
        <v>12</v>
      </c>
      <c r="D5" t="str">
        <f t="shared" si="0"/>
        <v/>
      </c>
    </row>
    <row r="6" spans="1:4" x14ac:dyDescent="0.3">
      <c r="A6" t="s">
        <v>13</v>
      </c>
      <c r="D6" t="str">
        <f t="shared" si="0"/>
        <v/>
      </c>
    </row>
    <row r="7" spans="1:4" x14ac:dyDescent="0.3">
      <c r="A7" t="s">
        <v>19</v>
      </c>
      <c r="D7" t="str">
        <f t="shared" si="0"/>
        <v/>
      </c>
    </row>
    <row r="8" spans="1:4" x14ac:dyDescent="0.3">
      <c r="A8" t="s">
        <v>17</v>
      </c>
      <c r="D8" t="str">
        <f t="shared" si="0"/>
        <v/>
      </c>
    </row>
    <row r="9" spans="1:4" x14ac:dyDescent="0.3">
      <c r="A9" t="s">
        <v>7</v>
      </c>
      <c r="D9" t="str">
        <f t="shared" si="0"/>
        <v/>
      </c>
    </row>
    <row r="10" spans="1:4" x14ac:dyDescent="0.3">
      <c r="A10" t="s">
        <v>14</v>
      </c>
      <c r="D10" t="str">
        <f t="shared" si="0"/>
        <v/>
      </c>
    </row>
    <row r="11" spans="1:4" x14ac:dyDescent="0.3">
      <c r="A11" t="s">
        <v>6</v>
      </c>
      <c r="D11" t="str">
        <f t="shared" si="0"/>
        <v/>
      </c>
    </row>
    <row r="12" spans="1:4" x14ac:dyDescent="0.3">
      <c r="A12" t="s">
        <v>22</v>
      </c>
      <c r="D12" t="str">
        <f t="shared" si="0"/>
        <v/>
      </c>
    </row>
    <row r="13" spans="1:4" x14ac:dyDescent="0.3">
      <c r="A13" t="s">
        <v>20</v>
      </c>
      <c r="D13" t="str">
        <f t="shared" si="0"/>
        <v/>
      </c>
    </row>
    <row r="14" spans="1:4" x14ac:dyDescent="0.3">
      <c r="A14" t="s">
        <v>3</v>
      </c>
      <c r="D14" t="str">
        <f t="shared" si="0"/>
        <v/>
      </c>
    </row>
    <row r="15" spans="1:4" x14ac:dyDescent="0.3">
      <c r="A15" t="s">
        <v>21</v>
      </c>
      <c r="D15" t="str">
        <f t="shared" si="0"/>
        <v/>
      </c>
    </row>
    <row r="16" spans="1:4" x14ac:dyDescent="0.3">
      <c r="A16" t="s">
        <v>11</v>
      </c>
      <c r="D16" t="str">
        <f t="shared" si="0"/>
        <v/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eve práctico</vt:lpstr>
      <vt:lpstr>Datos auxiliares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Ranfery Morales</dc:creator>
  <cp:lastModifiedBy>Ranfery Morales</cp:lastModifiedBy>
  <dcterms:created xsi:type="dcterms:W3CDTF">2026-03-05T04:35:38Z</dcterms:created>
  <dcterms:modified xsi:type="dcterms:W3CDTF">2026-03-21T09:55:35Z</dcterms:modified>
</cp:coreProperties>
</file>
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27" documentId="8_{20220EA8-2522-4AD9-BA63-8425EDE5FF6A}" xr6:coauthVersionLast="47" xr6:coauthVersionMax="47" xr10:uidLastSave="{27C11305-957A-48F1-9B17-3664FDD90767}"/>
  <bookViews>
    <workbookView xWindow="-120" yWindow="-120" windowWidth="20730" windowHeight="11040" xr2:uid="{F4A7B566-75F6-4720-A0B5-2310848060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0" i="1"/>
  <c r="K19" i="1"/>
  <c r="K18" i="1"/>
  <c r="K17" i="1"/>
  <c r="I12" i="1"/>
  <c r="J12" i="1"/>
  <c r="H12" i="1"/>
  <c r="M5" i="1"/>
  <c r="M6" i="1"/>
  <c r="M7" i="1"/>
  <c r="M8" i="1"/>
  <c r="M9" i="1"/>
  <c r="M10" i="1"/>
  <c r="M11" i="1"/>
  <c r="M4" i="1"/>
  <c r="L5" i="1"/>
  <c r="L6" i="1"/>
  <c r="L7" i="1"/>
  <c r="L8" i="1"/>
  <c r="L9" i="1"/>
  <c r="L10" i="1"/>
  <c r="L11" i="1"/>
  <c r="L4" i="1"/>
  <c r="K5" i="1"/>
  <c r="K6" i="1"/>
  <c r="K7" i="1"/>
  <c r="K8" i="1"/>
  <c r="K9" i="1"/>
  <c r="K10" i="1"/>
  <c r="K11" i="1"/>
  <c r="K4" i="1"/>
</calcChain>
</file>

<file path=xl/sharedStrings.xml><?xml version="1.0" encoding="utf-8"?>
<sst xmlns="http://schemas.openxmlformats.org/spreadsheetml/2006/main" count="233" uniqueCount="34">
  <si>
    <t>HeartDisease</t>
  </si>
  <si>
    <t>BMI</t>
  </si>
  <si>
    <t>Smoking</t>
  </si>
  <si>
    <t>AlcoholDrinking</t>
  </si>
  <si>
    <t>Stroke</t>
  </si>
  <si>
    <t>No</t>
  </si>
  <si>
    <t>Yes</t>
  </si>
  <si>
    <t>IF X THEN Y</t>
  </si>
  <si>
    <t>N</t>
  </si>
  <si>
    <t>HD&gt; SM</t>
  </si>
  <si>
    <t>NX</t>
  </si>
  <si>
    <t>NY</t>
  </si>
  <si>
    <t>NX^Y</t>
  </si>
  <si>
    <t>S</t>
  </si>
  <si>
    <t>C</t>
  </si>
  <si>
    <t>L</t>
  </si>
  <si>
    <t>IF(HD=N) THEN(SM =N)</t>
  </si>
  <si>
    <t>IF(HD=N) THEN(SM =Y)</t>
  </si>
  <si>
    <t>IF(SM=N) THEN(HD =N)</t>
  </si>
  <si>
    <t>IF(SM=N) THEN(HD =Y)</t>
  </si>
  <si>
    <t>IF(HD=Y) THEN(SM =N)</t>
  </si>
  <si>
    <t>IF(HD=Y) THEN(SM =Y)</t>
  </si>
  <si>
    <t>IF(SM=Y) THEN(HD =N)</t>
  </si>
  <si>
    <t>IF(SM=Y) THEN(HD =Y)</t>
  </si>
  <si>
    <t>NA</t>
  </si>
  <si>
    <t>HD</t>
  </si>
  <si>
    <t>SM</t>
  </si>
  <si>
    <t>AD</t>
  </si>
  <si>
    <t>ST</t>
  </si>
  <si>
    <t>R1</t>
  </si>
  <si>
    <t>R1 THEN R2</t>
  </si>
  <si>
    <t>R2</t>
  </si>
  <si>
    <t>IF(HD=N) THEN(AD =N)</t>
  </si>
  <si>
    <t>IF(HD=N) THEN((AD =N) AND (SM =N))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</si>
</sst>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542925</xdr:colOff>
      <xdr:row>0</xdr:row>
      <xdr:rowOff>133350</xdr:rowOff>
    </xdr:from>
    <xdr:to>
      <xdr:col>18</xdr:col>
      <xdr:colOff>9876</xdr:colOff>
      <xdr:row>2</xdr:row>
      <xdr:rowOff>181035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10D4EC-88CE-4363-1195-99721D783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5950" y="133350"/>
          <a:ext cx="2514951" cy="428685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3</xdr:row>
      <xdr:rowOff>152400</xdr:rowOff>
    </xdr:from>
    <xdr:to>
      <xdr:col>19</xdr:col>
      <xdr:colOff>133775</xdr:colOff>
      <xdr:row>6</xdr:row>
      <xdr:rowOff>114374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64F42E-B650-9844-724B-432C87EEB0E1}"/>
            </a:ext>
            <a:ext uri="{147F2762-F138-4A5C-976F-8EAC2B608ADB}">
              <a16:predDERef xmlns:a16="http://schemas.microsoft.com/office/drawing/2014/main" pred="{C610D4EC-88CE-4363-1195-99721D783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723900"/>
          <a:ext cx="3048425" cy="5334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7</xdr:row>
      <xdr:rowOff>19050</xdr:rowOff>
    </xdr:from>
    <xdr:to>
      <xdr:col>19</xdr:col>
      <xdr:colOff>448215</xdr:colOff>
      <xdr:row>10</xdr:row>
      <xdr:rowOff>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96272B-159D-F841-77CA-3246630584C2}"/>
            </a:ext>
            <a:ext uri="{147F2762-F138-4A5C-976F-8EAC2B608ADB}">
              <a16:predDERef xmlns:a16="http://schemas.microsoft.com/office/drawing/2014/main" pred="{4064F42E-B650-9844-724B-432C87EEB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1150" y="1352550"/>
          <a:ext cx="3867690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482F-ADDA-4F1E-B6D5-06469FC419A7}">
  <dimension ref="A1:M51"/>
  <sheetViews>
    <sheetView tabSelected="1" workbookViewId="0">
      <selection activeCell="G4" sqref="G4"/>
    </sheetView>
  </sheetViews>
  <sheetFormatPr defaultRowHeight="15"/>
  <cols>
    <col min="1" max="1" width="12.7109375" bestFit="1" customWidth="1"/>
    <col min="2" max="2" width="6" bestFit="1" customWidth="1"/>
    <col min="3" max="3" width="8.5703125" bestFit="1" customWidth="1"/>
    <col min="4" max="4" width="15.28515625" bestFit="1" customWidth="1"/>
    <col min="5" max="5" width="6.42578125" bestFit="1" customWidth="1"/>
    <col min="7" max="7" width="21.42578125" bestFit="1" customWidth="1"/>
    <col min="9" max="9" width="33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>
      <c r="A2" t="s">
        <v>5</v>
      </c>
      <c r="B2">
        <v>20.34</v>
      </c>
      <c r="C2" t="s">
        <v>5</v>
      </c>
      <c r="D2" t="s">
        <v>5</v>
      </c>
      <c r="E2" t="s">
        <v>6</v>
      </c>
      <c r="G2" t="s">
        <v>7</v>
      </c>
      <c r="H2" t="s">
        <v>8</v>
      </c>
      <c r="I2">
        <v>50</v>
      </c>
    </row>
    <row r="3" spans="1:13">
      <c r="A3" t="s">
        <v>5</v>
      </c>
      <c r="B3">
        <v>24.21</v>
      </c>
      <c r="C3" t="s">
        <v>5</v>
      </c>
      <c r="D3" t="s">
        <v>5</v>
      </c>
      <c r="E3" t="s">
        <v>5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3">
      <c r="A4" t="s">
        <v>5</v>
      </c>
      <c r="B4">
        <v>23.71</v>
      </c>
      <c r="C4" t="s">
        <v>5</v>
      </c>
      <c r="D4" t="s">
        <v>5</v>
      </c>
      <c r="E4" t="s">
        <v>5</v>
      </c>
      <c r="G4" t="s">
        <v>16</v>
      </c>
      <c r="H4">
        <v>44</v>
      </c>
      <c r="I4">
        <v>25</v>
      </c>
      <c r="J4">
        <v>24</v>
      </c>
      <c r="K4">
        <f>J4/I$2</f>
        <v>0.48</v>
      </c>
      <c r="L4" s="1">
        <f>J4/H4</f>
        <v>0.54545454545454541</v>
      </c>
      <c r="M4" s="1">
        <f>(J4*I$2)/(H4*I4)</f>
        <v>1.0909090909090908</v>
      </c>
    </row>
    <row r="5" spans="1:13">
      <c r="A5" t="s">
        <v>5</v>
      </c>
      <c r="B5">
        <v>21.63</v>
      </c>
      <c r="C5" t="s">
        <v>5</v>
      </c>
      <c r="D5" t="s">
        <v>5</v>
      </c>
      <c r="E5" t="s">
        <v>5</v>
      </c>
      <c r="G5" t="s">
        <v>17</v>
      </c>
      <c r="H5">
        <v>44</v>
      </c>
      <c r="I5">
        <v>25</v>
      </c>
      <c r="J5">
        <v>20</v>
      </c>
      <c r="K5">
        <f t="shared" ref="K5:K11" si="0">J5/I$2</f>
        <v>0.4</v>
      </c>
      <c r="L5" s="1">
        <f t="shared" ref="L5:L11" si="1">J5/H5</f>
        <v>0.45454545454545453</v>
      </c>
      <c r="M5" s="1">
        <f t="shared" ref="M5:M11" si="2">(J5*I$2)/(H5*I5)</f>
        <v>0.90909090909090906</v>
      </c>
    </row>
    <row r="6" spans="1:13">
      <c r="A6" t="s">
        <v>5</v>
      </c>
      <c r="B6">
        <v>26.45</v>
      </c>
      <c r="C6" t="s">
        <v>5</v>
      </c>
      <c r="D6" t="s">
        <v>5</v>
      </c>
      <c r="E6" t="s">
        <v>5</v>
      </c>
      <c r="G6" t="s">
        <v>18</v>
      </c>
      <c r="H6">
        <v>25</v>
      </c>
      <c r="I6">
        <v>44</v>
      </c>
      <c r="J6">
        <v>24</v>
      </c>
      <c r="K6">
        <f t="shared" si="0"/>
        <v>0.48</v>
      </c>
      <c r="L6" s="1">
        <f t="shared" si="1"/>
        <v>0.96</v>
      </c>
      <c r="M6" s="1">
        <f t="shared" si="2"/>
        <v>1.0909090909090908</v>
      </c>
    </row>
    <row r="7" spans="1:13">
      <c r="A7" t="s">
        <v>5</v>
      </c>
      <c r="B7">
        <v>40.69</v>
      </c>
      <c r="C7" t="s">
        <v>5</v>
      </c>
      <c r="D7" t="s">
        <v>6</v>
      </c>
      <c r="E7" t="s">
        <v>5</v>
      </c>
      <c r="G7" t="s">
        <v>19</v>
      </c>
      <c r="H7">
        <v>25</v>
      </c>
      <c r="I7">
        <v>6</v>
      </c>
      <c r="J7">
        <v>1</v>
      </c>
      <c r="K7">
        <f t="shared" si="0"/>
        <v>0.02</v>
      </c>
      <c r="L7" s="1">
        <f t="shared" si="1"/>
        <v>0.04</v>
      </c>
      <c r="M7" s="1">
        <f t="shared" si="2"/>
        <v>0.33333333333333331</v>
      </c>
    </row>
    <row r="8" spans="1:13">
      <c r="A8" t="s">
        <v>5</v>
      </c>
      <c r="B8">
        <v>28.15</v>
      </c>
      <c r="C8" t="s">
        <v>5</v>
      </c>
      <c r="D8" t="s">
        <v>5</v>
      </c>
      <c r="E8" t="s">
        <v>5</v>
      </c>
      <c r="G8" t="s">
        <v>20</v>
      </c>
      <c r="H8">
        <v>6</v>
      </c>
      <c r="I8">
        <v>25</v>
      </c>
      <c r="J8">
        <v>1</v>
      </c>
      <c r="K8">
        <f t="shared" si="0"/>
        <v>0.02</v>
      </c>
      <c r="L8" s="1">
        <f t="shared" si="1"/>
        <v>0.16666666666666666</v>
      </c>
      <c r="M8" s="1">
        <f t="shared" si="2"/>
        <v>0.33333333333333331</v>
      </c>
    </row>
    <row r="9" spans="1:13">
      <c r="A9" t="s">
        <v>5</v>
      </c>
      <c r="B9">
        <v>29.18</v>
      </c>
      <c r="C9" t="s">
        <v>5</v>
      </c>
      <c r="D9" t="s">
        <v>5</v>
      </c>
      <c r="E9" t="s">
        <v>5</v>
      </c>
      <c r="G9" t="s">
        <v>21</v>
      </c>
      <c r="H9">
        <v>6</v>
      </c>
      <c r="I9">
        <v>25</v>
      </c>
      <c r="J9">
        <v>5</v>
      </c>
      <c r="K9">
        <f t="shared" si="0"/>
        <v>0.1</v>
      </c>
      <c r="L9" s="1">
        <f t="shared" si="1"/>
        <v>0.83333333333333337</v>
      </c>
      <c r="M9" s="1">
        <f t="shared" si="2"/>
        <v>1.6666666666666667</v>
      </c>
    </row>
    <row r="10" spans="1:13">
      <c r="A10" t="s">
        <v>5</v>
      </c>
      <c r="B10">
        <v>26.26</v>
      </c>
      <c r="C10" t="s">
        <v>5</v>
      </c>
      <c r="D10" t="s">
        <v>5</v>
      </c>
      <c r="E10" t="s">
        <v>5</v>
      </c>
      <c r="G10" t="s">
        <v>22</v>
      </c>
      <c r="H10">
        <v>25</v>
      </c>
      <c r="I10">
        <v>44</v>
      </c>
      <c r="J10">
        <v>20</v>
      </c>
      <c r="K10">
        <f t="shared" si="0"/>
        <v>0.4</v>
      </c>
      <c r="L10" s="1">
        <f t="shared" si="1"/>
        <v>0.8</v>
      </c>
      <c r="M10" s="1">
        <f t="shared" si="2"/>
        <v>0.90909090909090906</v>
      </c>
    </row>
    <row r="11" spans="1:13">
      <c r="A11" t="s">
        <v>5</v>
      </c>
      <c r="B11">
        <v>18.13</v>
      </c>
      <c r="C11" t="s">
        <v>5</v>
      </c>
      <c r="D11" t="s">
        <v>5</v>
      </c>
      <c r="E11" t="s">
        <v>5</v>
      </c>
      <c r="G11" t="s">
        <v>23</v>
      </c>
      <c r="H11">
        <v>25</v>
      </c>
      <c r="I11">
        <v>6</v>
      </c>
      <c r="J11">
        <v>5</v>
      </c>
      <c r="K11">
        <f t="shared" si="0"/>
        <v>0.1</v>
      </c>
      <c r="L11" s="1">
        <f t="shared" si="1"/>
        <v>0.2</v>
      </c>
      <c r="M11" s="1">
        <f t="shared" si="2"/>
        <v>1.6666666666666667</v>
      </c>
    </row>
    <row r="12" spans="1:13">
      <c r="A12" t="s">
        <v>5</v>
      </c>
      <c r="B12">
        <v>21.16</v>
      </c>
      <c r="C12" t="s">
        <v>5</v>
      </c>
      <c r="D12" t="s">
        <v>5</v>
      </c>
      <c r="E12" t="s">
        <v>5</v>
      </c>
      <c r="H12">
        <f>SUM(H4:H11)</f>
        <v>200</v>
      </c>
      <c r="I12">
        <f t="shared" ref="I12:J12" si="3">SUM(I4:I11)</f>
        <v>200</v>
      </c>
      <c r="J12">
        <f t="shared" si="3"/>
        <v>100</v>
      </c>
    </row>
    <row r="13" spans="1:13">
      <c r="A13" t="s">
        <v>5</v>
      </c>
      <c r="B13">
        <v>28.9</v>
      </c>
      <c r="C13" t="s">
        <v>5</v>
      </c>
      <c r="D13" t="s">
        <v>5</v>
      </c>
      <c r="E13" t="s">
        <v>5</v>
      </c>
    </row>
    <row r="14" spans="1:13">
      <c r="A14" t="s">
        <v>5</v>
      </c>
      <c r="B14">
        <v>25.75</v>
      </c>
      <c r="C14" t="s">
        <v>5</v>
      </c>
      <c r="D14" t="s">
        <v>5</v>
      </c>
      <c r="E14" t="s">
        <v>5</v>
      </c>
    </row>
    <row r="15" spans="1:13">
      <c r="A15" t="s">
        <v>5</v>
      </c>
      <c r="B15">
        <v>24.89</v>
      </c>
      <c r="C15" t="s">
        <v>5</v>
      </c>
      <c r="D15" t="s">
        <v>5</v>
      </c>
      <c r="E15" t="s">
        <v>5</v>
      </c>
    </row>
    <row r="16" spans="1:13">
      <c r="A16" t="s">
        <v>5</v>
      </c>
      <c r="B16">
        <v>36.58</v>
      </c>
      <c r="C16" t="s">
        <v>5</v>
      </c>
      <c r="D16" t="s">
        <v>5</v>
      </c>
      <c r="E16" t="s">
        <v>5</v>
      </c>
    </row>
    <row r="17" spans="1:11">
      <c r="A17" t="s">
        <v>5</v>
      </c>
      <c r="B17">
        <v>30.67</v>
      </c>
      <c r="C17" t="s">
        <v>5</v>
      </c>
      <c r="D17" t="s">
        <v>24</v>
      </c>
      <c r="E17" t="s">
        <v>5</v>
      </c>
      <c r="H17" t="s">
        <v>25</v>
      </c>
      <c r="I17">
        <v>2</v>
      </c>
      <c r="K17">
        <f>I17*I18*2+I17*I19*2+I17*I20*2+I17*I21*2</f>
        <v>40</v>
      </c>
    </row>
    <row r="18" spans="1:11">
      <c r="A18" t="s">
        <v>5</v>
      </c>
      <c r="B18">
        <v>45.35</v>
      </c>
      <c r="C18" t="s">
        <v>5</v>
      </c>
      <c r="D18" t="s">
        <v>5</v>
      </c>
      <c r="E18" t="s">
        <v>5</v>
      </c>
      <c r="H18" t="s">
        <v>1</v>
      </c>
      <c r="I18">
        <v>4</v>
      </c>
      <c r="K18">
        <f>I18*I19*2*3</f>
        <v>48</v>
      </c>
    </row>
    <row r="19" spans="1:11">
      <c r="A19" t="s">
        <v>5</v>
      </c>
      <c r="B19">
        <v>38.97</v>
      </c>
      <c r="C19" t="s">
        <v>5</v>
      </c>
      <c r="D19" t="s">
        <v>5</v>
      </c>
      <c r="E19" t="s">
        <v>5</v>
      </c>
      <c r="H19" t="s">
        <v>26</v>
      </c>
      <c r="I19">
        <v>2</v>
      </c>
      <c r="K19">
        <f>I19*I20*2*2</f>
        <v>16</v>
      </c>
    </row>
    <row r="20" spans="1:11">
      <c r="A20" t="s">
        <v>5</v>
      </c>
      <c r="B20">
        <v>24.62</v>
      </c>
      <c r="C20" t="s">
        <v>5</v>
      </c>
      <c r="D20" t="s">
        <v>6</v>
      </c>
      <c r="E20" t="s">
        <v>5</v>
      </c>
      <c r="H20" t="s">
        <v>27</v>
      </c>
      <c r="I20">
        <v>2</v>
      </c>
      <c r="K20">
        <f>I20*I21*2</f>
        <v>8</v>
      </c>
    </row>
    <row r="21" spans="1:11">
      <c r="A21" t="s">
        <v>5</v>
      </c>
      <c r="B21">
        <v>21.93</v>
      </c>
      <c r="C21" t="s">
        <v>5</v>
      </c>
      <c r="D21" t="s">
        <v>5</v>
      </c>
      <c r="E21" t="s">
        <v>5</v>
      </c>
      <c r="H21" t="s">
        <v>28</v>
      </c>
      <c r="I21">
        <v>2</v>
      </c>
      <c r="K21">
        <f>SUM(K17:K20)</f>
        <v>112</v>
      </c>
    </row>
    <row r="22" spans="1:11">
      <c r="A22" t="s">
        <v>5</v>
      </c>
      <c r="B22">
        <v>28.13</v>
      </c>
      <c r="C22" t="s">
        <v>5</v>
      </c>
      <c r="D22" t="s">
        <v>5</v>
      </c>
      <c r="E22" t="s">
        <v>5</v>
      </c>
    </row>
    <row r="23" spans="1:11">
      <c r="A23" t="s">
        <v>5</v>
      </c>
      <c r="B23">
        <v>33.229999999999997</v>
      </c>
      <c r="C23" t="s">
        <v>5</v>
      </c>
      <c r="D23" t="s">
        <v>5</v>
      </c>
      <c r="E23" t="s">
        <v>5</v>
      </c>
    </row>
    <row r="24" spans="1:11">
      <c r="A24" t="s">
        <v>5</v>
      </c>
      <c r="B24">
        <v>25.11</v>
      </c>
      <c r="C24" t="s">
        <v>5</v>
      </c>
      <c r="D24" t="s">
        <v>5</v>
      </c>
      <c r="E24" t="s">
        <v>5</v>
      </c>
      <c r="F24" t="s">
        <v>29</v>
      </c>
      <c r="G24" t="s">
        <v>16</v>
      </c>
      <c r="I24" t="s">
        <v>30</v>
      </c>
    </row>
    <row r="25" spans="1:11">
      <c r="A25" t="s">
        <v>5</v>
      </c>
      <c r="B25">
        <v>20.12</v>
      </c>
      <c r="C25" t="s">
        <v>5</v>
      </c>
      <c r="D25" t="s">
        <v>5</v>
      </c>
      <c r="E25" t="s">
        <v>5</v>
      </c>
      <c r="F25" t="s">
        <v>31</v>
      </c>
      <c r="G25" t="s">
        <v>32</v>
      </c>
      <c r="I25" t="s">
        <v>33</v>
      </c>
    </row>
    <row r="26" spans="1:11">
      <c r="A26" t="s">
        <v>5</v>
      </c>
      <c r="B26">
        <v>16.600000000000001</v>
      </c>
      <c r="C26" t="s">
        <v>6</v>
      </c>
      <c r="D26" t="s">
        <v>5</v>
      </c>
      <c r="E26" t="s">
        <v>5</v>
      </c>
    </row>
    <row r="27" spans="1:11">
      <c r="A27" t="s">
        <v>5</v>
      </c>
      <c r="B27">
        <v>26.58</v>
      </c>
      <c r="C27" t="s">
        <v>6</v>
      </c>
      <c r="D27" t="s">
        <v>5</v>
      </c>
      <c r="E27" t="s">
        <v>5</v>
      </c>
    </row>
    <row r="28" spans="1:11">
      <c r="A28" t="s">
        <v>5</v>
      </c>
      <c r="B28">
        <v>31.64</v>
      </c>
      <c r="C28" t="s">
        <v>6</v>
      </c>
      <c r="D28" t="s">
        <v>5</v>
      </c>
      <c r="E28" t="s">
        <v>5</v>
      </c>
    </row>
    <row r="29" spans="1:11">
      <c r="A29" t="s">
        <v>5</v>
      </c>
      <c r="B29">
        <v>28.71</v>
      </c>
      <c r="C29" t="s">
        <v>6</v>
      </c>
      <c r="D29" t="s">
        <v>5</v>
      </c>
      <c r="E29" t="s">
        <v>5</v>
      </c>
    </row>
    <row r="30" spans="1:11">
      <c r="A30" t="s">
        <v>5</v>
      </c>
      <c r="B30">
        <v>28.37</v>
      </c>
      <c r="C30" t="s">
        <v>6</v>
      </c>
      <c r="D30" t="s">
        <v>5</v>
      </c>
      <c r="E30" t="s">
        <v>5</v>
      </c>
    </row>
    <row r="31" spans="1:11">
      <c r="A31" t="s">
        <v>5</v>
      </c>
      <c r="B31">
        <v>29.29</v>
      </c>
      <c r="C31" t="s">
        <v>6</v>
      </c>
      <c r="D31" t="s">
        <v>5</v>
      </c>
      <c r="E31" t="s">
        <v>5</v>
      </c>
    </row>
    <row r="32" spans="1:11">
      <c r="A32" t="s">
        <v>5</v>
      </c>
      <c r="B32">
        <v>22.59</v>
      </c>
      <c r="C32" t="s">
        <v>6</v>
      </c>
      <c r="D32" t="s">
        <v>5</v>
      </c>
      <c r="E32" t="s">
        <v>5</v>
      </c>
    </row>
    <row r="33" spans="1:5">
      <c r="A33" t="s">
        <v>5</v>
      </c>
      <c r="B33">
        <v>29.86</v>
      </c>
      <c r="C33" t="s">
        <v>6</v>
      </c>
      <c r="D33" t="s">
        <v>6</v>
      </c>
      <c r="E33" t="s">
        <v>5</v>
      </c>
    </row>
    <row r="34" spans="1:5">
      <c r="A34" t="s">
        <v>5</v>
      </c>
      <c r="B34">
        <v>26.17</v>
      </c>
      <c r="C34" t="s">
        <v>6</v>
      </c>
      <c r="D34" t="s">
        <v>5</v>
      </c>
      <c r="E34" t="s">
        <v>5</v>
      </c>
    </row>
    <row r="35" spans="1:5">
      <c r="A35" t="s">
        <v>5</v>
      </c>
      <c r="B35">
        <v>25.82</v>
      </c>
      <c r="C35" t="s">
        <v>6</v>
      </c>
      <c r="D35" t="s">
        <v>5</v>
      </c>
      <c r="E35" t="s">
        <v>5</v>
      </c>
    </row>
    <row r="36" spans="1:5">
      <c r="A36" t="s">
        <v>5</v>
      </c>
      <c r="B36">
        <v>29.18</v>
      </c>
      <c r="C36" t="s">
        <v>6</v>
      </c>
      <c r="D36" t="s">
        <v>5</v>
      </c>
      <c r="E36" t="s">
        <v>5</v>
      </c>
    </row>
    <row r="37" spans="1:5">
      <c r="A37" t="s">
        <v>5</v>
      </c>
      <c r="B37">
        <v>34.340000000000003</v>
      </c>
      <c r="C37" t="s">
        <v>6</v>
      </c>
      <c r="D37" t="s">
        <v>5</v>
      </c>
      <c r="E37" t="s">
        <v>5</v>
      </c>
    </row>
    <row r="38" spans="1:5">
      <c r="A38" t="s">
        <v>5</v>
      </c>
      <c r="B38">
        <v>31.66</v>
      </c>
      <c r="C38" t="s">
        <v>6</v>
      </c>
      <c r="D38" t="s">
        <v>5</v>
      </c>
      <c r="E38" t="s">
        <v>5</v>
      </c>
    </row>
    <row r="39" spans="1:5">
      <c r="A39" t="s">
        <v>5</v>
      </c>
      <c r="B39">
        <v>25.84</v>
      </c>
      <c r="C39" t="s">
        <v>6</v>
      </c>
      <c r="D39" t="s">
        <v>5</v>
      </c>
      <c r="E39" t="s">
        <v>5</v>
      </c>
    </row>
    <row r="40" spans="1:5">
      <c r="A40" t="s">
        <v>5</v>
      </c>
      <c r="B40">
        <v>19.02</v>
      </c>
      <c r="C40" t="s">
        <v>6</v>
      </c>
      <c r="D40" t="s">
        <v>5</v>
      </c>
      <c r="E40" t="s">
        <v>5</v>
      </c>
    </row>
    <row r="41" spans="1:5">
      <c r="A41" t="s">
        <v>5</v>
      </c>
      <c r="B41">
        <v>20.43</v>
      </c>
      <c r="C41" t="s">
        <v>6</v>
      </c>
      <c r="D41" t="s">
        <v>5</v>
      </c>
      <c r="E41" t="s">
        <v>5</v>
      </c>
    </row>
    <row r="42" spans="1:5">
      <c r="A42" t="s">
        <v>5</v>
      </c>
      <c r="B42">
        <v>27.37</v>
      </c>
      <c r="C42" t="s">
        <v>6</v>
      </c>
      <c r="D42" t="s">
        <v>5</v>
      </c>
      <c r="E42" t="s">
        <v>5</v>
      </c>
    </row>
    <row r="43" spans="1:5">
      <c r="A43" t="s">
        <v>5</v>
      </c>
      <c r="B43">
        <v>22.6</v>
      </c>
      <c r="C43" t="s">
        <v>6</v>
      </c>
      <c r="D43" t="s">
        <v>5</v>
      </c>
      <c r="E43" t="s">
        <v>6</v>
      </c>
    </row>
    <row r="44" spans="1:5">
      <c r="A44" t="s">
        <v>5</v>
      </c>
      <c r="B44">
        <v>30.34</v>
      </c>
      <c r="C44" t="s">
        <v>6</v>
      </c>
      <c r="D44" t="s">
        <v>5</v>
      </c>
      <c r="E44" t="s">
        <v>5</v>
      </c>
    </row>
    <row r="45" spans="1:5">
      <c r="A45" t="s">
        <v>5</v>
      </c>
      <c r="B45">
        <v>27.46</v>
      </c>
      <c r="C45" t="s">
        <v>6</v>
      </c>
      <c r="D45" t="s">
        <v>5</v>
      </c>
      <c r="E45" t="s">
        <v>6</v>
      </c>
    </row>
    <row r="46" spans="1:5">
      <c r="A46" t="s">
        <v>6</v>
      </c>
      <c r="B46">
        <v>25.06</v>
      </c>
      <c r="C46" t="s">
        <v>5</v>
      </c>
      <c r="D46" t="s">
        <v>5</v>
      </c>
      <c r="E46" t="s">
        <v>5</v>
      </c>
    </row>
    <row r="47" spans="1:5">
      <c r="A47" t="s">
        <v>6</v>
      </c>
      <c r="B47">
        <v>28.87</v>
      </c>
      <c r="C47" t="s">
        <v>6</v>
      </c>
      <c r="D47" t="s">
        <v>5</v>
      </c>
      <c r="E47" t="s">
        <v>5</v>
      </c>
    </row>
    <row r="48" spans="1:5">
      <c r="A48" t="s">
        <v>6</v>
      </c>
      <c r="B48">
        <v>34.299999999999997</v>
      </c>
      <c r="C48" t="s">
        <v>6</v>
      </c>
      <c r="D48" t="s">
        <v>5</v>
      </c>
      <c r="E48" t="s">
        <v>5</v>
      </c>
    </row>
    <row r="49" spans="1:5">
      <c r="A49" t="s">
        <v>6</v>
      </c>
      <c r="B49">
        <v>32.979999999999997</v>
      </c>
      <c r="C49" t="s">
        <v>6</v>
      </c>
      <c r="D49" t="s">
        <v>5</v>
      </c>
      <c r="E49" t="s">
        <v>6</v>
      </c>
    </row>
    <row r="50" spans="1:5">
      <c r="A50" t="s">
        <v>6</v>
      </c>
      <c r="B50">
        <v>30.23</v>
      </c>
      <c r="C50" t="s">
        <v>6</v>
      </c>
      <c r="D50" t="s">
        <v>5</v>
      </c>
      <c r="E50" t="s">
        <v>5</v>
      </c>
    </row>
    <row r="51" spans="1:5">
      <c r="A51" t="s">
        <v>6</v>
      </c>
      <c r="B51">
        <v>20.37</v>
      </c>
      <c r="C51" t="s">
        <v>6</v>
      </c>
      <c r="D51" t="s">
        <v>5</v>
      </c>
      <c r="E51" t="s">
        <v>5</v>
      </c>
    </row>
  </sheetData>
  <sortState xmlns:xlrd2="http://schemas.microsoft.com/office/spreadsheetml/2017/richdata2" ref="A2:E51">
    <sortCondition ref="A2:A51"/>
    <sortCondition ref="C2:C51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2446E1A27DD469CF856B0DD4F45DB" ma:contentTypeVersion="3" ma:contentTypeDescription="Create a new document." ma:contentTypeScope="" ma:versionID="b117cdc90cd8f6bba313d4f598468070">
  <xsd:schema xmlns:xsd="http://www.w3.org/2001/XMLSchema" xmlns:xs="http://www.w3.org/2001/XMLSchema" xmlns:p="http://schemas.microsoft.com/office/2006/metadata/properties" xmlns:ns2="1289c272-c64b-4e6a-a93c-6b5348dc2569" targetNamespace="http://schemas.microsoft.com/office/2006/metadata/properties" ma:root="true" ma:fieldsID="7aec4f8027cf01cd065e878390360e77" ns2:_="">
    <xsd:import namespace="1289c272-c64b-4e6a-a93c-6b5348dc2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9c272-c64b-4e6a-a93c-6b5348dc25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8E8A1A-AFA8-4238-98CB-033BFA13E0BF}"/>
</file>

<file path=customXml/itemProps2.xml><?xml version="1.0" encoding="utf-8"?>
<ds:datastoreItem xmlns:ds="http://schemas.openxmlformats.org/officeDocument/2006/customXml" ds:itemID="{A69B1FC6-833D-46C1-B30B-1E0731E4DF6D}"/>
</file>

<file path=customXml/itemProps3.xml><?xml version="1.0" encoding="utf-8"?>
<ds:datastoreItem xmlns:ds="http://schemas.openxmlformats.org/officeDocument/2006/customXml" ds:itemID="{B825B9B3-2C9D-42B1-BE6C-14EBB69795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Raymundo Said Zamora Pequeño</dc:creator>
  <cp:keywords/>
  <dc:description/>
  <cp:lastModifiedBy>RAYMUNDO SAID ZAMORA PEQUE�O</cp:lastModifiedBy>
  <cp:revision/>
  <dcterms:created xsi:type="dcterms:W3CDTF">2024-04-25T21:33:34Z</dcterms:created>
  <dcterms:modified xsi:type="dcterms:W3CDTF">2026-03-28T00:11:53Z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0x0101007BB2446E1A27DD469CF856B0DD4F45DB</vt:lpwstr>
  </property>
</Properties>
</file>
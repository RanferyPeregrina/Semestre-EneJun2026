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Ran\Programas\GitHub\Repositorios\Semestre-EneJun2026\Teoría de la información\"/>
    </mc:Choice>
  </mc:AlternateContent>
  <bookViews>
    <workbookView xWindow="-108" yWindow="-108" windowWidth="23256" windowHeight="12456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G21" i="1"/>
  <c r="G14" i="1"/>
  <c r="G15" i="1" l="1"/>
  <c r="G16" i="1"/>
  <c r="F23" i="1"/>
  <c r="F22" i="1"/>
  <c r="E22" i="1"/>
  <c r="E23" i="1"/>
  <c r="E21" i="1"/>
  <c r="F21" i="1"/>
  <c r="D22" i="1"/>
  <c r="D23" i="1"/>
  <c r="D21" i="1"/>
  <c r="F7" i="1"/>
  <c r="E7" i="1"/>
  <c r="F6" i="1"/>
  <c r="E6" i="1"/>
  <c r="E5" i="1"/>
  <c r="F5" i="1"/>
  <c r="G22" i="1" l="1"/>
  <c r="D24" i="1"/>
  <c r="E24" i="1"/>
  <c r="G23" i="1"/>
  <c r="F24" i="1"/>
</calcChain>
</file>

<file path=xl/sharedStrings.xml><?xml version="1.0" encoding="utf-8"?>
<sst xmlns="http://schemas.openxmlformats.org/spreadsheetml/2006/main" count="31" uniqueCount="23">
  <si>
    <t>M1</t>
  </si>
  <si>
    <t>M2</t>
  </si>
  <si>
    <t>M3</t>
  </si>
  <si>
    <t>0s</t>
  </si>
  <si>
    <t>1s</t>
  </si>
  <si>
    <t>P0</t>
  </si>
  <si>
    <t>P1</t>
  </si>
  <si>
    <t>Q</t>
  </si>
  <si>
    <t>a1</t>
  </si>
  <si>
    <t>a2</t>
  </si>
  <si>
    <t>a3</t>
  </si>
  <si>
    <t>b1</t>
  </si>
  <si>
    <t>b2</t>
  </si>
  <si>
    <t>b3</t>
  </si>
  <si>
    <t>P</t>
  </si>
  <si>
    <t>Probabilidades de transición</t>
  </si>
  <si>
    <t>Matríz de transmisión</t>
  </si>
  <si>
    <t>Mensaje</t>
  </si>
  <si>
    <t>Diccionario</t>
  </si>
  <si>
    <t>Probabilidad de que sea enviado</t>
  </si>
  <si>
    <t>Esta matríz enlista la probabilidad de mandar una letra A y recibir una B</t>
  </si>
  <si>
    <t>Esta matríz enlista la probabilidad de que salga cada cada letra en específico</t>
  </si>
  <si>
    <t>Probabilidad total de error: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</si>
</sst>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1" xfId="0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12" fontId="0" fillId="6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8" borderId="0" xfId="0" applyFill="1"/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337930</xdr:colOff>
      <xdr:row>2</xdr:row>
      <xdr:rowOff>6626</xdr:rowOff>
    </xdr:from>
    <xdr:to>
      <xdr:col>14</xdr:col>
      <xdr:colOff>324897</xdr:colOff>
      <xdr:row>7</xdr:row>
      <xdr:rowOff>10697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7350936D-E5CB-0339-932B-3F5003ED0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4365" y="384313"/>
          <a:ext cx="6348010" cy="1097375"/>
        </a:xfrm>
        <a:prstGeom prst="rect">
          <a:avLst/>
        </a:prstGeom>
      </xdr:spPr>
    </xdr:pic>
    <xdr:clientData/>
  </xdr:twoCellAnchor>
  <xdr:twoCellAnchor editAs="oneCell">
    <xdr:from>
      <xdr:col>7</xdr:col>
      <xdr:colOff>245165</xdr:colOff>
      <xdr:row>10</xdr:row>
      <xdr:rowOff>33130</xdr:rowOff>
    </xdr:from>
    <xdr:to>
      <xdr:col>14</xdr:col>
      <xdr:colOff>691954</xdr:colOff>
      <xdr:row>17</xdr:row>
      <xdr:rowOff>5079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5772B6C9-56AC-E841-7592-9B16F0AB9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0435" y="1954695"/>
          <a:ext cx="6430145" cy="1177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4"/>
  <sheetViews>
    <sheetView tabSelected="1" zoomScale="115" zoomScaleNormal="115" workbookViewId="0">
      <selection activeCell="J22" sqref="J22"/>
    </sheetView>
  </sheetViews>
  <sheetFormatPr baseColWidth="10" defaultRowHeight="13.8"/>
  <cols>
    <col min="4" max="4" width="14.296875" bestFit="1" customWidth="1"/>
  </cols>
  <sheetData>
    <row r="2" spans="2:7" ht="15" customHeight="1"/>
    <row r="3" spans="2:7" ht="27.6" customHeight="1">
      <c r="B3" s="12" t="s">
        <v>17</v>
      </c>
      <c r="C3" s="12" t="s">
        <v>18</v>
      </c>
      <c r="D3" s="13" t="s">
        <v>19</v>
      </c>
      <c r="E3" s="12" t="s">
        <v>3</v>
      </c>
      <c r="F3" s="12" t="s">
        <v>4</v>
      </c>
    </row>
    <row r="4" spans="2:7">
      <c r="B4" s="10" t="s">
        <v>0</v>
      </c>
      <c r="C4" s="10">
        <v>1111</v>
      </c>
      <c r="D4" s="10">
        <v>0.5</v>
      </c>
      <c r="E4" s="11">
        <v>0</v>
      </c>
      <c r="F4" s="11">
        <v>1</v>
      </c>
    </row>
    <row r="5" spans="2:7">
      <c r="B5" s="10" t="s">
        <v>1</v>
      </c>
      <c r="C5" s="10">
        <v>100001</v>
      </c>
      <c r="D5" s="10">
        <v>0.3</v>
      </c>
      <c r="E5" s="11">
        <f>2/3</f>
        <v>0.66666666666666663</v>
      </c>
      <c r="F5" s="11">
        <f>1/3</f>
        <v>0.33333333333333331</v>
      </c>
    </row>
    <row r="6" spans="2:7">
      <c r="B6" s="10" t="s">
        <v>2</v>
      </c>
      <c r="C6" s="10">
        <v>1100</v>
      </c>
      <c r="D6" s="10">
        <v>0.2</v>
      </c>
      <c r="E6" s="11">
        <f>1/2</f>
        <v>0.5</v>
      </c>
      <c r="F6" s="11">
        <f>1/2</f>
        <v>0.5</v>
      </c>
    </row>
    <row r="7" spans="2:7">
      <c r="B7" s="1"/>
      <c r="C7" s="1"/>
      <c r="D7" s="1"/>
      <c r="E7" s="14">
        <f>SUMPRODUCT($D$4:$D$6,E4:E6)</f>
        <v>0.3</v>
      </c>
      <c r="F7" s="15">
        <f>SUMPRODUCT($D$4:$D$6,F4:F6)</f>
        <v>0.7</v>
      </c>
    </row>
    <row r="8" spans="2:7">
      <c r="B8" s="1"/>
      <c r="C8" s="1"/>
      <c r="D8" s="1"/>
      <c r="E8" s="14" t="s">
        <v>5</v>
      </c>
      <c r="F8" s="15" t="s">
        <v>6</v>
      </c>
    </row>
    <row r="9" spans="2:7" s="16" customFormat="1"/>
    <row r="11" spans="2:7">
      <c r="B11" t="s">
        <v>20</v>
      </c>
    </row>
    <row r="12" spans="2:7">
      <c r="B12" s="17" t="s">
        <v>15</v>
      </c>
      <c r="C12" s="17"/>
      <c r="D12" s="17"/>
      <c r="E12" s="17"/>
      <c r="F12" s="17"/>
      <c r="G12" s="17"/>
    </row>
    <row r="13" spans="2:7">
      <c r="B13" s="2" t="s">
        <v>14</v>
      </c>
      <c r="C13" s="3" t="s">
        <v>7</v>
      </c>
      <c r="D13" s="3" t="s">
        <v>11</v>
      </c>
      <c r="E13" s="3" t="s">
        <v>12</v>
      </c>
      <c r="F13" s="3" t="s">
        <v>13</v>
      </c>
      <c r="G13" s="4"/>
    </row>
    <row r="14" spans="2:7">
      <c r="B14" s="4">
        <v>0.4</v>
      </c>
      <c r="C14" s="5" t="s">
        <v>8</v>
      </c>
      <c r="D14" s="5">
        <v>0.94</v>
      </c>
      <c r="E14" s="5">
        <v>0.04</v>
      </c>
      <c r="F14" s="5">
        <v>0.02</v>
      </c>
      <c r="G14" s="4">
        <f>SUM(D14:F14)</f>
        <v>1</v>
      </c>
    </row>
    <row r="15" spans="2:7">
      <c r="B15" s="4">
        <v>0.5</v>
      </c>
      <c r="C15" s="5" t="s">
        <v>9</v>
      </c>
      <c r="D15" s="5">
        <v>0.01</v>
      </c>
      <c r="E15" s="5">
        <v>0.93</v>
      </c>
      <c r="F15" s="5">
        <v>0.06</v>
      </c>
      <c r="G15" s="4">
        <f>SUM(D15:F15)</f>
        <v>1</v>
      </c>
    </row>
    <row r="16" spans="2:7">
      <c r="B16" s="4">
        <v>0.1</v>
      </c>
      <c r="C16" s="5" t="s">
        <v>10</v>
      </c>
      <c r="D16" s="5">
        <v>0.03</v>
      </c>
      <c r="E16" s="5">
        <v>0.04</v>
      </c>
      <c r="F16" s="5">
        <v>0.93</v>
      </c>
      <c r="G16" s="4">
        <f>SUM(D16:F16)</f>
        <v>1</v>
      </c>
    </row>
    <row r="18" spans="2:9">
      <c r="B18" t="s">
        <v>21</v>
      </c>
    </row>
    <row r="19" spans="2:9">
      <c r="B19" s="18" t="s">
        <v>16</v>
      </c>
      <c r="C19" s="18"/>
      <c r="D19" s="18"/>
      <c r="E19" s="18"/>
      <c r="F19" s="18"/>
      <c r="G19" s="18"/>
    </row>
    <row r="20" spans="2:9">
      <c r="B20" s="6" t="s">
        <v>14</v>
      </c>
      <c r="C20" s="7" t="s">
        <v>7</v>
      </c>
      <c r="D20" s="7" t="s">
        <v>11</v>
      </c>
      <c r="E20" s="7" t="s">
        <v>12</v>
      </c>
      <c r="F20" s="7" t="s">
        <v>13</v>
      </c>
      <c r="G20" s="8"/>
      <c r="I20" s="7" t="s">
        <v>22</v>
      </c>
    </row>
    <row r="21" spans="2:9">
      <c r="B21" s="8"/>
      <c r="C21" s="7" t="s">
        <v>8</v>
      </c>
      <c r="D21" s="9">
        <f>D14 * B14</f>
        <v>0.376</v>
      </c>
      <c r="E21" s="9">
        <f>E14 * B14</f>
        <v>1.6E-2</v>
      </c>
      <c r="F21" s="9">
        <f>F14 * B$14</f>
        <v>8.0000000000000002E-3</v>
      </c>
      <c r="G21" s="8">
        <f>SUM(D21:F21)</f>
        <v>0.4</v>
      </c>
      <c r="I21" s="19">
        <f>SUM(E21, F21, D22, F22, D23, E23)</f>
        <v>6.6000000000000003E-2</v>
      </c>
    </row>
    <row r="22" spans="2:9">
      <c r="B22" s="8"/>
      <c r="C22" s="7" t="s">
        <v>9</v>
      </c>
      <c r="D22" s="9">
        <f>D15 * B15</f>
        <v>5.0000000000000001E-3</v>
      </c>
      <c r="E22" s="9">
        <f>E15 * B15</f>
        <v>0.46500000000000002</v>
      </c>
      <c r="F22" s="9">
        <f>F15 * B$15</f>
        <v>0.03</v>
      </c>
      <c r="G22" s="8">
        <f>SUM(D22:F22)</f>
        <v>0.5</v>
      </c>
    </row>
    <row r="23" spans="2:9">
      <c r="B23" s="8"/>
      <c r="C23" s="7" t="s">
        <v>10</v>
      </c>
      <c r="D23" s="9">
        <f>D16 * B16</f>
        <v>3.0000000000000001E-3</v>
      </c>
      <c r="E23" s="9">
        <f>E16 * B16</f>
        <v>4.0000000000000001E-3</v>
      </c>
      <c r="F23" s="9">
        <f>F16 * B$16</f>
        <v>9.3000000000000013E-2</v>
      </c>
      <c r="G23" s="8">
        <f>SUM(D23:F23)</f>
        <v>0.10000000000000002</v>
      </c>
    </row>
    <row r="24" spans="2:9">
      <c r="D24">
        <f>SUM(D21:D23)</f>
        <v>0.38400000000000001</v>
      </c>
      <c r="E24">
        <f>SUM(E21:E23)</f>
        <v>0.48500000000000004</v>
      </c>
      <c r="F24">
        <f>SUM(F21:F23)</f>
        <v>0.13100000000000001</v>
      </c>
    </row>
  </sheetData>
  <mergeCells count="2">
    <mergeCell ref="B12:G12"/>
    <mergeCell ref="B19:G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 JOSUA PEREGRINA MORALES</dc:creator>
  <cp:lastModifiedBy>CESAR</cp:lastModifiedBy>
  <dcterms:created xsi:type="dcterms:W3CDTF">2026-02-19T23:41:45Z</dcterms:created>
  <dcterms:modified xsi:type="dcterms:W3CDTF">2026-03-09T01:09:33Z</dcterms:modified>
</cp:coreProperties>
</file>
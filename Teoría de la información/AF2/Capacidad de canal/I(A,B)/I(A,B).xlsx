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repositories\Semestre-EneJun2026\Teoría de la información\AF2\Capacidad de canal\"/>
    </mc:Choice>
  </mc:AlternateContent>
  <xr:revisionPtr revIDLastSave="0" documentId="13_ncr:1_{55220AA1-695F-45C1-AB60-AED989B659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" l="1"/>
  <c r="N15" i="1"/>
  <c r="N13" i="1"/>
  <c r="M14" i="1"/>
  <c r="M15" i="1"/>
  <c r="M13" i="1"/>
  <c r="L14" i="1"/>
  <c r="L15" i="1"/>
  <c r="L13" i="1"/>
  <c r="O14" i="1" l="1"/>
  <c r="P14" i="1" s="1"/>
  <c r="O15" i="1"/>
  <c r="P15" i="1" s="1"/>
  <c r="O13" i="1"/>
  <c r="P13" i="1" s="1"/>
  <c r="G14" i="1"/>
  <c r="G15" i="1"/>
  <c r="G13" i="1"/>
  <c r="P16" i="1" l="1"/>
</calcChain>
</file>

<file path=xl/sharedStrings.xml><?xml version="1.0" encoding="utf-8"?>
<sst xmlns="http://schemas.openxmlformats.org/spreadsheetml/2006/main" count="53" uniqueCount="37">
  <si>
    <t>Q</t>
  </si>
  <si>
    <t>b1</t>
  </si>
  <si>
    <t>b2</t>
  </si>
  <si>
    <t>b3</t>
  </si>
  <si>
    <t>a1</t>
  </si>
  <si>
    <t>a2</t>
  </si>
  <si>
    <t>a3</t>
  </si>
  <si>
    <t>Lalnformación Mutua I(A, B) mide cuánta información sobre la entrada A nos da observar la salida B</t>
  </si>
  <si>
    <t>Para calcularlo se necesita:</t>
  </si>
  <si>
    <t>Vector de valores de entrada:</t>
  </si>
  <si>
    <t>Matríz de Transición:</t>
  </si>
  <si>
    <t>Las probabilidades de salida se obtiene multiplicando tus entradas por las columnas de la matriz.</t>
  </si>
  <si>
    <t>Entrada</t>
  </si>
  <si>
    <t>Salidas</t>
  </si>
  <si>
    <t>pi</t>
  </si>
  <si>
    <t>Y calculamos las probabilidades de salida</t>
  </si>
  <si>
    <t>a</t>
  </si>
  <si>
    <t>b</t>
  </si>
  <si>
    <t>c</t>
  </si>
  <si>
    <t>Veces enviada</t>
  </si>
  <si>
    <t>bits/carácter</t>
  </si>
  <si>
    <t>I(A,B)</t>
  </si>
  <si>
    <t>i=1</t>
  </si>
  <si>
    <t>j=1</t>
  </si>
  <si>
    <t>j=2</t>
  </si>
  <si>
    <t>j=3</t>
  </si>
  <si>
    <t>q11 * log2 ( q11 / ( p1q11 + p2q21 + p3q31) )</t>
  </si>
  <si>
    <t>q12 * log2 ( q12 / ( p1q12 + p2q22 + p3q32) )</t>
  </si>
  <si>
    <t>q13 * log2 ( q13 / ( p1q13 + p2q23 + p3q33) )</t>
  </si>
  <si>
    <t>i=2</t>
  </si>
  <si>
    <t>q21 * log2 ( q21 / ( p1q11 + p2q21 + p3q31) )</t>
  </si>
  <si>
    <t>q22 * log2 ( q22 / ( p1q12 + p2q22 + p3q32) )</t>
  </si>
  <si>
    <t>q23 * log2 ( q23 / ( p1q13 + p2q23 + p3q33) )</t>
  </si>
  <si>
    <t>i=3</t>
  </si>
  <si>
    <t>q31 * log2 ( q31 / ( p1q11 + p2q21 + p3q31) )</t>
  </si>
  <si>
    <t>q32 * log2 ( q22 / ( p1q12 + p2q22 + p3q32) )</t>
  </si>
  <si>
    <t>q33 * log2 ( q33 / ( p1q13 + p2q23 + p3q33)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</si>
</sst>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1" fillId="0" borderId="0" xfId="0" applyFont="1"/>
    <xf numFmtId="2" fontId="0" fillId="2" borderId="0" xfId="0" applyNumberFormat="1" applyFill="1" applyAlignment="1">
      <alignment horizontal="center" vertical="center"/>
    </xf>
    <xf numFmtId="0" fontId="0" fillId="3" borderId="0" xfId="0" applyFill="1"/>
    <xf numFmtId="0" fontId="0" fillId="0" borderId="0" xfId="0" applyAlignment="1"/>
    <xf numFmtId="0" fontId="1" fillId="2" borderId="0" xfId="0" applyFont="1" applyFill="1" applyAlignment="1">
      <alignment horizontal="center"/>
    </xf>
    <xf numFmtId="0" fontId="0" fillId="4" borderId="0" xfId="0" applyFill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/>
    <xf numFmtId="0" fontId="1" fillId="5" borderId="0" xfId="0" applyFont="1" applyFill="1"/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247135</xdr:colOff>
      <xdr:row>18</xdr:row>
      <xdr:rowOff>72082</xdr:rowOff>
    </xdr:from>
    <xdr:to>
      <xdr:col>15</xdr:col>
      <xdr:colOff>77365</xdr:colOff>
      <xdr:row>35</xdr:row>
      <xdr:rowOff>37959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3A48E1-657B-3439-B297-AF74980F8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9189" y="3408406"/>
          <a:ext cx="6317527" cy="3116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"/>
  <sheetViews>
    <sheetView tabSelected="1" zoomScale="74" workbookViewId="0">
      <selection activeCell="Q10" sqref="Q10"/>
    </sheetView>
  </sheetViews>
  <sheetFormatPr baseColWidth="10" defaultColWidth="8.88671875" defaultRowHeight="14.4" x14ac:dyDescent="0.3"/>
  <cols>
    <col min="2" max="2" width="25.21875" bestFit="1" customWidth="1"/>
    <col min="3" max="3" width="7.33203125" bestFit="1" customWidth="1"/>
    <col min="4" max="4" width="4.5546875" bestFit="1" customWidth="1"/>
    <col min="5" max="6" width="5" bestFit="1" customWidth="1"/>
    <col min="7" max="7" width="5.5546875" bestFit="1" customWidth="1"/>
    <col min="15" max="15" width="12.5546875" bestFit="1" customWidth="1"/>
  </cols>
  <sheetData>
    <row r="1" spans="1:17" x14ac:dyDescent="0.3">
      <c r="A1" t="s">
        <v>7</v>
      </c>
    </row>
    <row r="2" spans="1:17" x14ac:dyDescent="0.3">
      <c r="A2" t="s">
        <v>8</v>
      </c>
    </row>
    <row r="3" spans="1:17" x14ac:dyDescent="0.3">
      <c r="B3" t="s">
        <v>9</v>
      </c>
      <c r="C3">
        <v>0.4</v>
      </c>
      <c r="D3">
        <v>0.5</v>
      </c>
      <c r="E3">
        <v>0.1</v>
      </c>
    </row>
    <row r="4" spans="1:17" x14ac:dyDescent="0.3">
      <c r="B4" t="s">
        <v>10</v>
      </c>
    </row>
    <row r="5" spans="1:17" x14ac:dyDescent="0.3">
      <c r="C5" t="s">
        <v>0</v>
      </c>
      <c r="D5" t="s">
        <v>1</v>
      </c>
      <c r="E5" t="s">
        <v>2</v>
      </c>
      <c r="F5" t="s">
        <v>3</v>
      </c>
    </row>
    <row r="6" spans="1:17" x14ac:dyDescent="0.3">
      <c r="C6" t="s">
        <v>4</v>
      </c>
      <c r="D6">
        <v>0.94</v>
      </c>
      <c r="E6">
        <v>0.04</v>
      </c>
      <c r="F6">
        <v>0.02</v>
      </c>
    </row>
    <row r="7" spans="1:17" x14ac:dyDescent="0.3">
      <c r="C7" t="s">
        <v>5</v>
      </c>
      <c r="D7">
        <v>0.01</v>
      </c>
      <c r="E7">
        <v>0.93</v>
      </c>
      <c r="F7">
        <v>0.06</v>
      </c>
    </row>
    <row r="8" spans="1:17" x14ac:dyDescent="0.3">
      <c r="C8" t="s">
        <v>6</v>
      </c>
      <c r="D8">
        <v>0.03</v>
      </c>
      <c r="E8">
        <v>0.04</v>
      </c>
      <c r="F8">
        <v>0.93</v>
      </c>
    </row>
    <row r="10" spans="1:17" x14ac:dyDescent="0.3">
      <c r="A10" t="s">
        <v>11</v>
      </c>
      <c r="K10" t="s">
        <v>15</v>
      </c>
    </row>
    <row r="11" spans="1:17" x14ac:dyDescent="0.3">
      <c r="Q11" t="s">
        <v>21</v>
      </c>
    </row>
    <row r="12" spans="1:17" x14ac:dyDescent="0.3">
      <c r="C12" s="6" t="s">
        <v>12</v>
      </c>
      <c r="D12" s="2" t="s">
        <v>13</v>
      </c>
      <c r="E12" s="2"/>
      <c r="F12" s="2"/>
      <c r="J12" s="2" t="s">
        <v>14</v>
      </c>
      <c r="K12" s="2" t="s">
        <v>0</v>
      </c>
      <c r="L12" s="2" t="s">
        <v>16</v>
      </c>
      <c r="M12" s="2" t="s">
        <v>17</v>
      </c>
      <c r="N12" s="2" t="s">
        <v>18</v>
      </c>
      <c r="O12" s="6" t="s">
        <v>19</v>
      </c>
    </row>
    <row r="13" spans="1:17" x14ac:dyDescent="0.3">
      <c r="C13" s="6">
        <v>0.4</v>
      </c>
      <c r="D13" s="5">
        <v>0.94</v>
      </c>
      <c r="E13" s="3">
        <v>0.04</v>
      </c>
      <c r="F13" s="3">
        <v>0.02</v>
      </c>
      <c r="G13" s="1">
        <f>(C13 * D13)+(C13 * E13)+(C13 * F13)</f>
        <v>0.4</v>
      </c>
      <c r="J13" s="2">
        <v>0.4</v>
      </c>
      <c r="K13" s="9" t="s">
        <v>4</v>
      </c>
      <c r="L13" s="10">
        <f>D13*LOG(D13/($J$13*D$13+$J$14*D$14+$J$15*D$15), 2)</f>
        <v>1.2140611790932128</v>
      </c>
      <c r="M13" s="10">
        <f>E13*LOG(E13/($J$13*E$13+$J$14*E$14+$J$15*E$15), 2)</f>
        <v>-0.14399651368748514</v>
      </c>
      <c r="N13" s="10">
        <f>F13*LOG(F13/($J$13*F$13+$J$14*F$14+$J$15*F$15), 2)</f>
        <v>-5.4229898133001761E-2</v>
      </c>
      <c r="O13" s="8">
        <f>SUM(L13:N13)</f>
        <v>1.0158347672727257</v>
      </c>
      <c r="P13">
        <f>O13 * J13</f>
        <v>0.40633390690909033</v>
      </c>
    </row>
    <row r="14" spans="1:17" x14ac:dyDescent="0.3">
      <c r="C14" s="6">
        <v>0.5</v>
      </c>
      <c r="D14" s="5">
        <v>0.01</v>
      </c>
      <c r="E14" s="3">
        <v>0.93</v>
      </c>
      <c r="F14" s="3">
        <v>0.06</v>
      </c>
      <c r="G14" s="1">
        <f t="shared" ref="G14:G15" si="0">(C14 * D14)+(C14 * E14)+(C14 * F14)</f>
        <v>0.5</v>
      </c>
      <c r="J14" s="2">
        <v>0.5</v>
      </c>
      <c r="K14" s="9" t="s">
        <v>5</v>
      </c>
      <c r="L14" s="10">
        <f t="shared" ref="L14:L15" si="1">D14*LOG(D14/($J$13*D$13+$J$14*D$14+$J$15*D$15), 2)</f>
        <v>-5.2630344058337934E-2</v>
      </c>
      <c r="M14" s="10">
        <f t="shared" ref="M14:M15" si="2">E14*LOG(E14/($J$13*E$13+$J$14*E$14+$J$15*E$15), 2)</f>
        <v>0.87349875109644026</v>
      </c>
      <c r="N14" s="10">
        <f t="shared" ref="N14:N15" si="3">F14*LOG(F14/($J$13*F$13+$J$14*F$14+$J$15*F$15), 2)</f>
        <v>-6.7591944355735914E-2</v>
      </c>
      <c r="O14" s="8">
        <f t="shared" ref="O14:O15" si="4">SUM(L14:N14)</f>
        <v>0.75327646268236648</v>
      </c>
      <c r="P14">
        <f t="shared" ref="P14:P15" si="5">O14 * J14</f>
        <v>0.37663823134118324</v>
      </c>
    </row>
    <row r="15" spans="1:17" x14ac:dyDescent="0.3">
      <c r="C15" s="6">
        <v>0.1</v>
      </c>
      <c r="D15" s="5">
        <v>0.03</v>
      </c>
      <c r="E15" s="3">
        <v>0.04</v>
      </c>
      <c r="F15" s="3">
        <v>0.93</v>
      </c>
      <c r="G15" s="1">
        <f t="shared" si="0"/>
        <v>0.10000000000000002</v>
      </c>
      <c r="J15" s="2">
        <v>0.1</v>
      </c>
      <c r="K15" s="9" t="s">
        <v>6</v>
      </c>
      <c r="L15" s="10">
        <f t="shared" si="1"/>
        <v>-0.11034215715337913</v>
      </c>
      <c r="M15" s="10">
        <f t="shared" si="2"/>
        <v>-0.14399651368748514</v>
      </c>
      <c r="N15" s="10">
        <f t="shared" si="3"/>
        <v>2.6297274311458874</v>
      </c>
      <c r="O15" s="8">
        <f t="shared" si="4"/>
        <v>2.375388760305023</v>
      </c>
      <c r="P15">
        <f t="shared" si="5"/>
        <v>0.23753887603050231</v>
      </c>
    </row>
    <row r="16" spans="1:17" ht="14.4" customHeight="1" x14ac:dyDescent="0.3">
      <c r="L16" s="7"/>
      <c r="M16" s="7"/>
      <c r="N16" s="7"/>
      <c r="O16" s="7"/>
      <c r="P16">
        <f>SUM(P13:P15)</f>
        <v>1.0205110142807758</v>
      </c>
      <c r="Q16" t="s">
        <v>20</v>
      </c>
    </row>
    <row r="17" spans="1:14" x14ac:dyDescent="0.3">
      <c r="L17" s="7"/>
      <c r="M17" s="7"/>
      <c r="N17" s="7"/>
    </row>
    <row r="18" spans="1:14" x14ac:dyDescent="0.3">
      <c r="A18" s="15" t="s">
        <v>22</v>
      </c>
      <c r="B18" s="16" t="s">
        <v>23</v>
      </c>
      <c r="C18" s="13"/>
      <c r="D18" s="4"/>
      <c r="I18" s="4"/>
    </row>
    <row r="19" spans="1:14" x14ac:dyDescent="0.3">
      <c r="A19" s="14" t="s">
        <v>26</v>
      </c>
      <c r="B19" s="12"/>
      <c r="C19" s="13"/>
      <c r="D19" s="4"/>
      <c r="I19" s="4"/>
    </row>
    <row r="20" spans="1:14" x14ac:dyDescent="0.3">
      <c r="A20" s="11" t="s">
        <v>29</v>
      </c>
      <c r="B20" s="12" t="s">
        <v>23</v>
      </c>
      <c r="C20" s="13"/>
      <c r="D20" s="4"/>
      <c r="I20" s="4"/>
    </row>
    <row r="21" spans="1:14" x14ac:dyDescent="0.3">
      <c r="A21" s="14" t="s">
        <v>30</v>
      </c>
      <c r="B21" s="12"/>
      <c r="C21" s="13"/>
      <c r="D21" s="4"/>
      <c r="I21" s="4"/>
    </row>
    <row r="22" spans="1:14" x14ac:dyDescent="0.3">
      <c r="A22" s="11" t="s">
        <v>33</v>
      </c>
      <c r="B22" s="12" t="s">
        <v>23</v>
      </c>
      <c r="C22" s="13"/>
      <c r="D22" s="4"/>
      <c r="I22" s="4"/>
    </row>
    <row r="23" spans="1:14" x14ac:dyDescent="0.3">
      <c r="A23" s="14" t="s">
        <v>34</v>
      </c>
      <c r="B23" s="13"/>
      <c r="C23" s="13"/>
      <c r="D23" s="4"/>
      <c r="H23" s="4"/>
      <c r="I23" s="4"/>
    </row>
    <row r="24" spans="1:14" x14ac:dyDescent="0.3">
      <c r="B24" s="4"/>
      <c r="C24" s="4"/>
      <c r="D24" s="4"/>
    </row>
    <row r="26" spans="1:14" x14ac:dyDescent="0.3">
      <c r="A26" s="15" t="s">
        <v>22</v>
      </c>
      <c r="B26" s="16" t="s">
        <v>24</v>
      </c>
      <c r="C26" s="13"/>
      <c r="D26" s="4"/>
    </row>
    <row r="27" spans="1:14" x14ac:dyDescent="0.3">
      <c r="A27" s="14" t="s">
        <v>27</v>
      </c>
      <c r="B27" s="12"/>
      <c r="C27" s="13"/>
      <c r="D27" s="4"/>
    </row>
    <row r="28" spans="1:14" x14ac:dyDescent="0.3">
      <c r="A28" s="11" t="s">
        <v>29</v>
      </c>
      <c r="B28" s="12" t="s">
        <v>24</v>
      </c>
      <c r="C28" s="13"/>
      <c r="D28" s="4"/>
    </row>
    <row r="29" spans="1:14" x14ac:dyDescent="0.3">
      <c r="A29" s="14" t="s">
        <v>31</v>
      </c>
      <c r="B29" s="12"/>
      <c r="C29" s="13"/>
      <c r="D29" s="4"/>
    </row>
    <row r="30" spans="1:14" x14ac:dyDescent="0.3">
      <c r="A30" s="11" t="s">
        <v>33</v>
      </c>
      <c r="B30" s="12" t="s">
        <v>24</v>
      </c>
      <c r="C30" s="13"/>
      <c r="D30" s="4"/>
    </row>
    <row r="31" spans="1:14" x14ac:dyDescent="0.3">
      <c r="A31" s="14" t="s">
        <v>35</v>
      </c>
      <c r="B31" s="13"/>
      <c r="C31" s="13"/>
      <c r="D31" s="4"/>
    </row>
    <row r="34" spans="1:4" x14ac:dyDescent="0.3">
      <c r="A34" s="15" t="s">
        <v>22</v>
      </c>
      <c r="B34" s="16" t="s">
        <v>25</v>
      </c>
      <c r="C34" s="13"/>
      <c r="D34" s="4"/>
    </row>
    <row r="35" spans="1:4" x14ac:dyDescent="0.3">
      <c r="A35" s="14" t="s">
        <v>28</v>
      </c>
      <c r="B35" s="12"/>
      <c r="C35" s="13"/>
      <c r="D35" s="4"/>
    </row>
    <row r="36" spans="1:4" x14ac:dyDescent="0.3">
      <c r="A36" s="11" t="s">
        <v>29</v>
      </c>
      <c r="B36" s="12" t="s">
        <v>25</v>
      </c>
      <c r="C36" s="13"/>
      <c r="D36" s="4"/>
    </row>
    <row r="37" spans="1:4" x14ac:dyDescent="0.3">
      <c r="A37" s="14" t="s">
        <v>32</v>
      </c>
      <c r="B37" s="12"/>
      <c r="C37" s="13"/>
      <c r="D37" s="4"/>
    </row>
    <row r="38" spans="1:4" x14ac:dyDescent="0.3">
      <c r="A38" s="11" t="s">
        <v>33</v>
      </c>
      <c r="B38" s="12" t="s">
        <v>25</v>
      </c>
      <c r="C38" s="13"/>
      <c r="D38" s="4"/>
    </row>
    <row r="39" spans="1:4" x14ac:dyDescent="0.3">
      <c r="A39" s="14" t="s">
        <v>36</v>
      </c>
      <c r="B39" s="13"/>
      <c r="C39" s="13"/>
      <c r="D39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Ranfery</dc:creator>
  <cp:lastModifiedBy>RANFERY JOSUA PEREGRINA MORALES</cp:lastModifiedBy>
  <dcterms:created xsi:type="dcterms:W3CDTF">2015-06-05T18:17:20Z</dcterms:created>
  <dcterms:modified xsi:type="dcterms:W3CDTF">2026-05-22T23:18:03Z</dcterms:modified>
</cp:coreProperties>
</file>
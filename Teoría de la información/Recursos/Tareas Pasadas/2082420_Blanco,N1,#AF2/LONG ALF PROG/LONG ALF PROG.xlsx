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LONG ALF PROG/"/>
    </mc:Choice>
  </mc:AlternateContent>
  <xr:revisionPtr revIDLastSave="0" documentId="8_{ECD35CAC-0543-4291-A46B-F9C4AB4B0828}" xr6:coauthVersionLast="47" xr6:coauthVersionMax="47" xr10:uidLastSave="{00000000-0000-0000-0000-000000000000}"/>
  <bookViews>
    <workbookView xWindow="-120" yWindow="-120" windowWidth="29040" windowHeight="15795" xr2:uid="{DBD03790-5BC2-4762-A75D-5B6D13CB9D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0" i="1" l="1"/>
  <c r="AF39" i="1"/>
  <c r="AG39" i="1" s="1"/>
  <c r="AG40" i="1" s="1"/>
  <c r="AC37" i="1"/>
  <c r="AD37" i="1" s="1"/>
  <c r="AD36" i="1"/>
  <c r="AC36" i="1"/>
  <c r="AF35" i="1"/>
  <c r="AC35" i="1"/>
  <c r="AD35" i="1" s="1"/>
  <c r="AF34" i="1"/>
  <c r="AG34" i="1" s="1"/>
  <c r="AD34" i="1"/>
  <c r="AC34" i="1"/>
  <c r="B34" i="1"/>
  <c r="C33" i="1" s="1"/>
  <c r="C34" i="1" s="1"/>
  <c r="D33" i="1" s="1"/>
  <c r="D34" i="1" s="1"/>
  <c r="E33" i="1" s="1"/>
  <c r="E34" i="1" s="1"/>
  <c r="F33" i="1" s="1"/>
  <c r="AC33" i="1"/>
  <c r="AD33" i="1" s="1"/>
  <c r="AC32" i="1"/>
  <c r="AD32" i="1" s="1"/>
  <c r="AC31" i="1"/>
  <c r="AD31" i="1" s="1"/>
  <c r="AC30" i="1"/>
  <c r="AD30" i="1" s="1"/>
  <c r="AC29" i="1"/>
  <c r="AD29" i="1" s="1"/>
  <c r="AC28" i="1"/>
  <c r="AD28" i="1" s="1"/>
  <c r="AD27" i="1"/>
  <c r="AC27" i="1"/>
  <c r="AC26" i="1"/>
  <c r="AD26" i="1" s="1"/>
  <c r="AD25" i="1"/>
  <c r="AC25" i="1"/>
  <c r="AC24" i="1"/>
  <c r="AD24" i="1" s="1"/>
  <c r="Z24" i="1"/>
  <c r="X24" i="1"/>
  <c r="AC23" i="1"/>
  <c r="AD23" i="1" s="1"/>
  <c r="AC22" i="1"/>
  <c r="AD22" i="1" s="1"/>
  <c r="N22" i="1"/>
  <c r="F22" i="1"/>
  <c r="AC21" i="1"/>
  <c r="AD21" i="1" s="1"/>
  <c r="AF20" i="1"/>
  <c r="AD20" i="1"/>
  <c r="AC20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4" i="1"/>
  <c r="Y13" i="1"/>
  <c r="Y12" i="1"/>
  <c r="B9" i="1"/>
  <c r="C8" i="1" s="1"/>
  <c r="C9" i="1" s="1"/>
  <c r="D8" i="1" s="1"/>
  <c r="D9" i="1" s="1"/>
  <c r="Y8" i="1"/>
  <c r="E8" i="1"/>
  <c r="E9" i="1" s="1"/>
  <c r="F8" i="1" s="1"/>
  <c r="F9" i="1" s="1"/>
  <c r="G8" i="1" s="1"/>
  <c r="Y7" i="1"/>
  <c r="Y6" i="1"/>
  <c r="N3" i="1"/>
  <c r="N41" i="1" s="1"/>
  <c r="M3" i="1"/>
  <c r="J3" i="1"/>
  <c r="J41" i="1" s="1"/>
  <c r="F3" i="1"/>
  <c r="F41" i="1" s="1"/>
  <c r="E3" i="1"/>
  <c r="B3" i="1"/>
  <c r="B41" i="1" s="1"/>
  <c r="Q2" i="1"/>
  <c r="G9" i="1" l="1"/>
  <c r="H8" i="1" s="1"/>
  <c r="H9" i="1" s="1"/>
  <c r="I8" i="1" s="1"/>
  <c r="I9" i="1" s="1"/>
  <c r="J8" i="1" s="1"/>
  <c r="J9" i="1" s="1"/>
  <c r="K8" i="1" s="1"/>
  <c r="K9" i="1" s="1"/>
  <c r="L8" i="1" s="1"/>
  <c r="L9" i="1" s="1"/>
  <c r="M8" i="1" s="1"/>
  <c r="M9" i="1" s="1"/>
  <c r="N8" i="1" s="1"/>
  <c r="N9" i="1" s="1"/>
  <c r="O8" i="1" s="1"/>
  <c r="O9" i="1" s="1"/>
  <c r="P8" i="1" s="1"/>
  <c r="P9" i="1" s="1"/>
  <c r="B14" i="1"/>
  <c r="B15" i="1" s="1"/>
  <c r="C14" i="1" s="1"/>
  <c r="C15" i="1" s="1"/>
  <c r="D14" i="1" s="1"/>
  <c r="D15" i="1" s="1"/>
  <c r="E14" i="1" s="1"/>
  <c r="E15" i="1" s="1"/>
  <c r="F14" i="1" s="1"/>
  <c r="F15" i="1" s="1"/>
  <c r="G14" i="1" s="1"/>
  <c r="G15" i="1" s="1"/>
  <c r="H14" i="1" s="1"/>
  <c r="H15" i="1" s="1"/>
  <c r="I14" i="1" s="1"/>
  <c r="I15" i="1" s="1"/>
  <c r="J14" i="1" s="1"/>
  <c r="J15" i="1" s="1"/>
  <c r="K14" i="1" s="1"/>
  <c r="K15" i="1" s="1"/>
  <c r="L14" i="1" s="1"/>
  <c r="L15" i="1" s="1"/>
  <c r="M14" i="1" s="1"/>
  <c r="M15" i="1" s="1"/>
  <c r="N14" i="1" s="1"/>
  <c r="N15" i="1" s="1"/>
  <c r="O14" i="1" s="1"/>
  <c r="O15" i="1" s="1"/>
  <c r="P14" i="1" s="1"/>
  <c r="M41" i="1"/>
  <c r="M22" i="1"/>
  <c r="AE21" i="1"/>
  <c r="AF25" i="1"/>
  <c r="AF27" i="1" s="1"/>
  <c r="AG21" i="1"/>
  <c r="E41" i="1"/>
  <c r="E22" i="1"/>
  <c r="B39" i="1"/>
  <c r="B40" i="1" s="1"/>
  <c r="C39" i="1" s="1"/>
  <c r="F34" i="1"/>
  <c r="G33" i="1" s="1"/>
  <c r="G34" i="1" s="1"/>
  <c r="H33" i="1" s="1"/>
  <c r="H34" i="1" s="1"/>
  <c r="I33" i="1" s="1"/>
  <c r="I34" i="1" s="1"/>
  <c r="J33" i="1" s="1"/>
  <c r="J34" i="1" s="1"/>
  <c r="K33" i="1" s="1"/>
  <c r="K34" i="1" s="1"/>
  <c r="L33" i="1" s="1"/>
  <c r="L34" i="1" s="1"/>
  <c r="M33" i="1" s="1"/>
  <c r="M34" i="1" s="1"/>
  <c r="N33" i="1" s="1"/>
  <c r="N34" i="1" s="1"/>
  <c r="O33" i="1" s="1"/>
  <c r="O34" i="1" s="1"/>
  <c r="P33" i="1" s="1"/>
  <c r="P34" i="1" s="1"/>
  <c r="P22" i="1"/>
  <c r="K3" i="1"/>
  <c r="P3" i="1"/>
  <c r="P41" i="1" s="1"/>
  <c r="L3" i="1"/>
  <c r="L41" i="1" s="1"/>
  <c r="H3" i="1"/>
  <c r="H41" i="1" s="1"/>
  <c r="D3" i="1"/>
  <c r="D41" i="1" s="1"/>
  <c r="O3" i="1"/>
  <c r="G3" i="1"/>
  <c r="C3" i="1"/>
  <c r="I3" i="1"/>
  <c r="B22" i="1"/>
  <c r="J22" i="1"/>
  <c r="AG35" i="1"/>
  <c r="AH34" i="1"/>
  <c r="D22" i="1"/>
  <c r="L22" i="1"/>
  <c r="AH39" i="1"/>
  <c r="C41" i="1" l="1"/>
  <c r="C22" i="1"/>
  <c r="H22" i="1"/>
  <c r="G41" i="1"/>
  <c r="G22" i="1"/>
  <c r="C40" i="1"/>
  <c r="D39" i="1" s="1"/>
  <c r="D40" i="1" s="1"/>
  <c r="E39" i="1" s="1"/>
  <c r="E40" i="1" s="1"/>
  <c r="F39" i="1" s="1"/>
  <c r="F40" i="1" s="1"/>
  <c r="G39" i="1" s="1"/>
  <c r="AF28" i="1"/>
  <c r="AG27" i="1"/>
  <c r="B20" i="1"/>
  <c r="B21" i="1" s="1"/>
  <c r="C20" i="1" s="1"/>
  <c r="P15" i="1"/>
  <c r="O47" i="1"/>
  <c r="K47" i="1"/>
  <c r="G47" i="1"/>
  <c r="C47" i="1"/>
  <c r="N47" i="1"/>
  <c r="J47" i="1"/>
  <c r="F47" i="1"/>
  <c r="B47" i="1"/>
  <c r="M47" i="1"/>
  <c r="E47" i="1"/>
  <c r="L47" i="1"/>
  <c r="D47" i="1"/>
  <c r="I47" i="1"/>
  <c r="P47" i="1"/>
  <c r="H47" i="1"/>
  <c r="O41" i="1"/>
  <c r="O22" i="1"/>
  <c r="AH40" i="1"/>
  <c r="AI39" i="1"/>
  <c r="AH35" i="1"/>
  <c r="AI34" i="1"/>
  <c r="I41" i="1"/>
  <c r="I22" i="1"/>
  <c r="K41" i="1"/>
  <c r="K22" i="1"/>
  <c r="N53" i="1" l="1"/>
  <c r="J53" i="1"/>
  <c r="F53" i="1"/>
  <c r="B53" i="1"/>
  <c r="M53" i="1"/>
  <c r="I53" i="1"/>
  <c r="E53" i="1"/>
  <c r="P53" i="1"/>
  <c r="H53" i="1"/>
  <c r="O53" i="1"/>
  <c r="G53" i="1"/>
  <c r="L53" i="1"/>
  <c r="D53" i="1"/>
  <c r="K53" i="1"/>
  <c r="C53" i="1"/>
  <c r="G40" i="1"/>
  <c r="H39" i="1" s="1"/>
  <c r="AH27" i="1"/>
  <c r="AG28" i="1"/>
  <c r="AI35" i="1"/>
  <c r="AJ34" i="1"/>
  <c r="J28" i="1"/>
  <c r="O28" i="1"/>
  <c r="K28" i="1"/>
  <c r="G28" i="1"/>
  <c r="C28" i="1"/>
  <c r="N28" i="1"/>
  <c r="F28" i="1"/>
  <c r="B28" i="1"/>
  <c r="P28" i="1"/>
  <c r="H28" i="1"/>
  <c r="M28" i="1"/>
  <c r="E28" i="1"/>
  <c r="L28" i="1"/>
  <c r="D28" i="1"/>
  <c r="I28" i="1"/>
  <c r="AJ39" i="1"/>
  <c r="AI40" i="1"/>
  <c r="C21" i="1"/>
  <c r="D20" i="1" s="1"/>
  <c r="D21" i="1" s="1"/>
  <c r="E20" i="1" s="1"/>
  <c r="E21" i="1" s="1"/>
  <c r="F20" i="1" s="1"/>
  <c r="F21" i="1" s="1"/>
  <c r="G20" i="1" s="1"/>
  <c r="G21" i="1" s="1"/>
  <c r="H20" i="1" s="1"/>
  <c r="AK34" i="1" l="1"/>
  <c r="AJ35" i="1"/>
  <c r="AK39" i="1"/>
  <c r="AJ40" i="1"/>
  <c r="B45" i="1"/>
  <c r="B46" i="1" s="1"/>
  <c r="C45" i="1" s="1"/>
  <c r="C46" i="1" s="1"/>
  <c r="D45" i="1" s="1"/>
  <c r="D46" i="1" s="1"/>
  <c r="E45" i="1" s="1"/>
  <c r="E46" i="1" s="1"/>
  <c r="F45" i="1" s="1"/>
  <c r="F46" i="1" s="1"/>
  <c r="G45" i="1" s="1"/>
  <c r="G46" i="1" s="1"/>
  <c r="H45" i="1" s="1"/>
  <c r="H46" i="1" s="1"/>
  <c r="I45" i="1" s="1"/>
  <c r="I46" i="1" s="1"/>
  <c r="J45" i="1" s="1"/>
  <c r="J46" i="1" s="1"/>
  <c r="K45" i="1" s="1"/>
  <c r="K46" i="1" s="1"/>
  <c r="L45" i="1" s="1"/>
  <c r="L46" i="1" s="1"/>
  <c r="M45" i="1" s="1"/>
  <c r="H40" i="1"/>
  <c r="I39" i="1" s="1"/>
  <c r="I40" i="1" s="1"/>
  <c r="J39" i="1" s="1"/>
  <c r="J40" i="1" s="1"/>
  <c r="K39" i="1" s="1"/>
  <c r="K40" i="1" s="1"/>
  <c r="L39" i="1" s="1"/>
  <c r="L40" i="1" s="1"/>
  <c r="M39" i="1" s="1"/>
  <c r="M40" i="1" s="1"/>
  <c r="N39" i="1" s="1"/>
  <c r="N40" i="1" s="1"/>
  <c r="O39" i="1" s="1"/>
  <c r="O40" i="1" s="1"/>
  <c r="P39" i="1" s="1"/>
  <c r="P40" i="1" s="1"/>
  <c r="B26" i="1"/>
  <c r="B27" i="1" s="1"/>
  <c r="C26" i="1" s="1"/>
  <c r="C27" i="1" s="1"/>
  <c r="D26" i="1" s="1"/>
  <c r="D27" i="1" s="1"/>
  <c r="E26" i="1" s="1"/>
  <c r="E27" i="1" s="1"/>
  <c r="F26" i="1" s="1"/>
  <c r="F27" i="1" s="1"/>
  <c r="G26" i="1" s="1"/>
  <c r="G27" i="1" s="1"/>
  <c r="H26" i="1" s="1"/>
  <c r="H27" i="1" s="1"/>
  <c r="I26" i="1" s="1"/>
  <c r="I27" i="1" s="1"/>
  <c r="J26" i="1" s="1"/>
  <c r="J27" i="1" s="1"/>
  <c r="K26" i="1" s="1"/>
  <c r="K27" i="1" s="1"/>
  <c r="L26" i="1" s="1"/>
  <c r="L27" i="1" s="1"/>
  <c r="M26" i="1" s="1"/>
  <c r="M27" i="1" s="1"/>
  <c r="N26" i="1" s="1"/>
  <c r="N27" i="1" s="1"/>
  <c r="O26" i="1" s="1"/>
  <c r="O27" i="1" s="1"/>
  <c r="P26" i="1" s="1"/>
  <c r="P27" i="1" s="1"/>
  <c r="H21" i="1"/>
  <c r="I20" i="1" s="1"/>
  <c r="I21" i="1" s="1"/>
  <c r="J20" i="1" s="1"/>
  <c r="J21" i="1" s="1"/>
  <c r="K20" i="1" s="1"/>
  <c r="K21" i="1" s="1"/>
  <c r="L20" i="1" s="1"/>
  <c r="L21" i="1" s="1"/>
  <c r="M20" i="1" s="1"/>
  <c r="M21" i="1" s="1"/>
  <c r="N20" i="1" s="1"/>
  <c r="N21" i="1" s="1"/>
  <c r="O20" i="1" s="1"/>
  <c r="O21" i="1" s="1"/>
  <c r="P20" i="1" s="1"/>
  <c r="P21" i="1" s="1"/>
  <c r="AH28" i="1"/>
  <c r="AI27" i="1"/>
  <c r="AK40" i="1" l="1"/>
  <c r="AL39" i="1"/>
  <c r="AI28" i="1"/>
  <c r="AJ27" i="1"/>
  <c r="M46" i="1"/>
  <c r="N45" i="1" s="1"/>
  <c r="N46" i="1" s="1"/>
  <c r="O45" i="1" s="1"/>
  <c r="O46" i="1" s="1"/>
  <c r="P45" i="1" s="1"/>
  <c r="P46" i="1" s="1"/>
  <c r="B51" i="1"/>
  <c r="B52" i="1" s="1"/>
  <c r="C51" i="1" s="1"/>
  <c r="C52" i="1" s="1"/>
  <c r="D51" i="1" s="1"/>
  <c r="D52" i="1" s="1"/>
  <c r="E51" i="1" s="1"/>
  <c r="E52" i="1" s="1"/>
  <c r="F51" i="1" s="1"/>
  <c r="F52" i="1" s="1"/>
  <c r="G51" i="1" s="1"/>
  <c r="G52" i="1" s="1"/>
  <c r="H51" i="1" s="1"/>
  <c r="H52" i="1" s="1"/>
  <c r="I51" i="1" s="1"/>
  <c r="I52" i="1" s="1"/>
  <c r="J51" i="1" s="1"/>
  <c r="J52" i="1" s="1"/>
  <c r="K51" i="1" s="1"/>
  <c r="K52" i="1" s="1"/>
  <c r="L51" i="1" s="1"/>
  <c r="L52" i="1" s="1"/>
  <c r="M51" i="1" s="1"/>
  <c r="M52" i="1" s="1"/>
  <c r="N51" i="1" s="1"/>
  <c r="N52" i="1" s="1"/>
  <c r="O51" i="1" s="1"/>
  <c r="O52" i="1" s="1"/>
  <c r="P51" i="1" s="1"/>
  <c r="P52" i="1" s="1"/>
  <c r="AK35" i="1"/>
  <c r="AL34" i="1"/>
  <c r="AK27" i="1" l="1"/>
  <c r="AJ28" i="1"/>
  <c r="AL35" i="1"/>
  <c r="AM34" i="1"/>
  <c r="AL40" i="1"/>
  <c r="AM39" i="1"/>
  <c r="AM35" i="1" l="1"/>
  <c r="AN34" i="1"/>
  <c r="AN39" i="1"/>
  <c r="AM40" i="1"/>
  <c r="AL27" i="1"/>
  <c r="AK28" i="1"/>
  <c r="AO39" i="1" l="1"/>
  <c r="AN40" i="1"/>
  <c r="AN35" i="1"/>
  <c r="AO34" i="1"/>
  <c r="AM27" i="1"/>
  <c r="AL28" i="1"/>
  <c r="AP34" i="1" l="1"/>
  <c r="AO35" i="1"/>
  <c r="AM28" i="1"/>
  <c r="AN27" i="1"/>
  <c r="AO40" i="1"/>
  <c r="AP39" i="1"/>
  <c r="AN28" i="1" l="1"/>
  <c r="AO27" i="1"/>
  <c r="AP40" i="1"/>
  <c r="AQ39" i="1"/>
  <c r="AP35" i="1"/>
  <c r="AQ34" i="1"/>
  <c r="AR39" i="1" l="1"/>
  <c r="AQ40" i="1"/>
  <c r="AQ35" i="1"/>
  <c r="AR34" i="1"/>
  <c r="AP27" i="1"/>
  <c r="AO28" i="1"/>
  <c r="AR35" i="1" l="1"/>
  <c r="AS34" i="1"/>
  <c r="AP28" i="1"/>
  <c r="AQ27" i="1"/>
  <c r="AS39" i="1"/>
  <c r="AR40" i="1"/>
  <c r="AQ28" i="1" l="1"/>
  <c r="AR27" i="1"/>
  <c r="AS35" i="1"/>
  <c r="AT34" i="1"/>
  <c r="AS40" i="1"/>
  <c r="AT39" i="1"/>
  <c r="AT35" i="1" l="1"/>
  <c r="AU34" i="1"/>
  <c r="AT40" i="1"/>
  <c r="AU39" i="1"/>
  <c r="AS27" i="1"/>
  <c r="AR28" i="1"/>
  <c r="AV39" i="1" l="1"/>
  <c r="AU40" i="1"/>
  <c r="AU35" i="1"/>
  <c r="AV34" i="1"/>
  <c r="AT27" i="1"/>
  <c r="AS28" i="1"/>
  <c r="AV35" i="1" l="1"/>
  <c r="AW34" i="1"/>
  <c r="AU27" i="1"/>
  <c r="AT28" i="1"/>
  <c r="AW39" i="1"/>
  <c r="AV40" i="1"/>
  <c r="AU28" i="1" l="1"/>
  <c r="AV27" i="1"/>
  <c r="AV28" i="1" s="1"/>
  <c r="AW35" i="1"/>
  <c r="AX34" i="1"/>
  <c r="AW40" i="1"/>
  <c r="AX39" i="1"/>
  <c r="AX35" i="1" l="1"/>
  <c r="AY34" i="1"/>
  <c r="AX40" i="1"/>
  <c r="AY39" i="1"/>
  <c r="AZ39" i="1" l="1"/>
  <c r="AY40" i="1"/>
  <c r="AY35" i="1"/>
  <c r="AZ34" i="1"/>
  <c r="BA34" i="1" l="1"/>
  <c r="AZ35" i="1"/>
  <c r="BA39" i="1"/>
  <c r="AZ40" i="1"/>
  <c r="BA40" i="1" l="1"/>
  <c r="BB39" i="1"/>
  <c r="BB34" i="1"/>
  <c r="BA35" i="1"/>
  <c r="BB35" i="1" l="1"/>
  <c r="BC34" i="1"/>
  <c r="BB40" i="1"/>
  <c r="BC39" i="1"/>
  <c r="BD39" i="1" l="1"/>
  <c r="BC40" i="1"/>
  <c r="BC35" i="1"/>
  <c r="BD34" i="1"/>
  <c r="BE34" i="1" l="1"/>
  <c r="BD35" i="1"/>
  <c r="BE39" i="1"/>
  <c r="BD40" i="1"/>
  <c r="BE40" i="1" l="1"/>
  <c r="BF39" i="1"/>
  <c r="BF34" i="1"/>
  <c r="BE35" i="1"/>
  <c r="BG34" i="1" l="1"/>
  <c r="BF35" i="1"/>
  <c r="BF40" i="1"/>
  <c r="BG39" i="1"/>
  <c r="BH39" i="1" l="1"/>
  <c r="BG40" i="1"/>
  <c r="BG35" i="1"/>
  <c r="BH34" i="1"/>
  <c r="BI34" i="1" l="1"/>
  <c r="BH35" i="1"/>
  <c r="BI39" i="1"/>
  <c r="BH40" i="1"/>
  <c r="BI40" i="1" l="1"/>
  <c r="BJ39" i="1"/>
  <c r="BI35" i="1"/>
  <c r="BJ34" i="1"/>
  <c r="BJ35" i="1" l="1"/>
  <c r="BK34" i="1"/>
  <c r="BJ40" i="1"/>
  <c r="BK39" i="1"/>
  <c r="BL39" i="1" l="1"/>
  <c r="BK40" i="1"/>
  <c r="BK35" i="1"/>
  <c r="BL34" i="1"/>
  <c r="BM34" i="1" l="1"/>
  <c r="BL35" i="1"/>
  <c r="BM39" i="1"/>
  <c r="BL40" i="1"/>
  <c r="BM40" i="1" l="1"/>
  <c r="BN39" i="1"/>
  <c r="BM35" i="1"/>
  <c r="BN34" i="1"/>
  <c r="BN35" i="1" l="1"/>
  <c r="BO34" i="1"/>
  <c r="BN40" i="1"/>
  <c r="BO39" i="1"/>
  <c r="BP39" i="1" l="1"/>
  <c r="BO40" i="1"/>
  <c r="BO35" i="1"/>
  <c r="BP34" i="1"/>
  <c r="BQ34" i="1" l="1"/>
  <c r="BP35" i="1"/>
  <c r="BQ39" i="1"/>
  <c r="BP40" i="1"/>
  <c r="BQ40" i="1" l="1"/>
  <c r="BR39" i="1"/>
  <c r="BQ35" i="1"/>
  <c r="BR34" i="1"/>
  <c r="BS34" i="1" l="1"/>
  <c r="BR35" i="1"/>
  <c r="BR40" i="1"/>
  <c r="BS39" i="1"/>
  <c r="BT39" i="1" l="1"/>
  <c r="BS40" i="1"/>
  <c r="BS35" i="1"/>
  <c r="BT34" i="1"/>
  <c r="BU34" i="1" l="1"/>
  <c r="BT35" i="1"/>
  <c r="BU39" i="1"/>
  <c r="BT40" i="1"/>
  <c r="BU40" i="1" l="1"/>
  <c r="BV39" i="1"/>
  <c r="BU35" i="1"/>
  <c r="BV34" i="1"/>
  <c r="BW34" i="1" l="1"/>
  <c r="BV35" i="1"/>
  <c r="BV40" i="1"/>
  <c r="BW39" i="1"/>
  <c r="BX39" i="1" l="1"/>
  <c r="BW40" i="1"/>
  <c r="BW35" i="1"/>
  <c r="BX34" i="1"/>
  <c r="BY34" i="1" l="1"/>
  <c r="BX35" i="1"/>
  <c r="BY39" i="1"/>
  <c r="BX40" i="1"/>
  <c r="BY40" i="1" l="1"/>
  <c r="BZ39" i="1"/>
  <c r="BY35" i="1"/>
  <c r="BZ34" i="1"/>
  <c r="CA34" i="1" l="1"/>
  <c r="BZ35" i="1"/>
  <c r="BZ40" i="1"/>
  <c r="CA39" i="1"/>
  <c r="CB39" i="1" l="1"/>
  <c r="CA40" i="1"/>
  <c r="CA35" i="1"/>
  <c r="CB34" i="1"/>
  <c r="CC34" i="1" l="1"/>
  <c r="CB35" i="1"/>
  <c r="CC39" i="1"/>
  <c r="CB40" i="1"/>
  <c r="CC40" i="1" l="1"/>
  <c r="CD39" i="1"/>
  <c r="CC35" i="1"/>
  <c r="CD34" i="1"/>
  <c r="CD35" i="1" l="1"/>
  <c r="CE34" i="1"/>
  <c r="CD40" i="1"/>
  <c r="CE39" i="1"/>
  <c r="CF39" i="1" l="1"/>
  <c r="CE40" i="1"/>
  <c r="CE35" i="1"/>
  <c r="CF34" i="1"/>
  <c r="CG34" i="1" l="1"/>
  <c r="CF35" i="1"/>
  <c r="CG39" i="1"/>
  <c r="CF40" i="1"/>
  <c r="CG40" i="1" l="1"/>
  <c r="CH39" i="1"/>
  <c r="CH34" i="1"/>
  <c r="CG35" i="1"/>
  <c r="CH35" i="1" l="1"/>
  <c r="CI34" i="1"/>
  <c r="CI35" i="1" s="1"/>
  <c r="CH40" i="1"/>
  <c r="CI39" i="1"/>
  <c r="CI40" i="1" s="1"/>
</calcChain>
</file>

<file path=xl/sharedStrings.xml><?xml version="1.0" encoding="utf-8"?>
<sst xmlns="http://schemas.openxmlformats.org/spreadsheetml/2006/main" count="210" uniqueCount="34">
  <si>
    <t>kas sul on</t>
  </si>
  <si>
    <t>a</t>
  </si>
  <si>
    <t>b</t>
  </si>
  <si>
    <t>e</t>
  </si>
  <si>
    <t>h</t>
  </si>
  <si>
    <t>i</t>
  </si>
  <si>
    <t>k</t>
  </si>
  <si>
    <t>l</t>
  </si>
  <si>
    <t>m</t>
  </si>
  <si>
    <t>n</t>
  </si>
  <si>
    <t>o</t>
  </si>
  <si>
    <t>r</t>
  </si>
  <si>
    <t>s</t>
  </si>
  <si>
    <t>t</t>
  </si>
  <si>
    <t>u</t>
  </si>
  <si>
    <t>ü</t>
  </si>
  <si>
    <t>on ka külm</t>
  </si>
  <si>
    <t>kui rebin ennast lahti</t>
  </si>
  <si>
    <t>kas sul on ka külm</t>
  </si>
  <si>
    <t>kas sul on külm</t>
  </si>
  <si>
    <t>külm</t>
  </si>
  <si>
    <t>ilst</t>
  </si>
  <si>
    <t>külm külm külm</t>
  </si>
  <si>
    <t>alfa</t>
  </si>
  <si>
    <t>beta</t>
  </si>
  <si>
    <t>kü</t>
  </si>
  <si>
    <t>1/2^t</t>
  </si>
  <si>
    <t>2^t</t>
  </si>
  <si>
    <t>A</t>
  </si>
  <si>
    <t>B</t>
  </si>
  <si>
    <t>x</t>
  </si>
  <si>
    <t>kül</t>
  </si>
  <si>
    <t>il</t>
  </si>
  <si>
    <t>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</si>
</sst>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000"/>
    <numFmt numFmtId="166" formatCode="0.000"/>
    <numFmt numFmtId="167" formatCode="0.000000000"/>
    <numFmt numFmtId="168" formatCode="0.00000"/>
    <numFmt numFmtId="169" formatCode="0.0000000"/>
    <numFmt numFmtId="170" formatCode="0.00000000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" fontId="0" fillId="0" borderId="0" xfId="0" applyNumberFormat="1"/>
    <xf numFmtId="164" fontId="0" fillId="2" borderId="0" xfId="0" applyNumberFormat="1" applyFill="1"/>
    <xf numFmtId="0" fontId="0" fillId="0" borderId="0" xfId="0" applyAlignment="1">
      <alignment horizontal="center"/>
    </xf>
    <xf numFmtId="166" fontId="0" fillId="0" borderId="0" xfId="0" applyNumberFormat="1"/>
    <xf numFmtId="166" fontId="0" fillId="2" borderId="0" xfId="0" applyNumberForma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/>
    <xf numFmtId="167" fontId="0" fillId="0" borderId="0" xfId="0" applyNumberFormat="1"/>
    <xf numFmtId="165" fontId="0" fillId="2" borderId="0" xfId="0" applyNumberFormat="1" applyFill="1"/>
    <xf numFmtId="168" fontId="0" fillId="0" borderId="0" xfId="0" applyNumberFormat="1"/>
    <xf numFmtId="168" fontId="0" fillId="2" borderId="0" xfId="0" applyNumberFormat="1" applyFill="1"/>
    <xf numFmtId="1" fontId="0" fillId="3" borderId="0" xfId="0" applyNumberFormat="1" applyFill="1"/>
    <xf numFmtId="0" fontId="1" fillId="4" borderId="0" xfId="0" applyFont="1" applyFill="1"/>
    <xf numFmtId="164" fontId="0" fillId="4" borderId="0" xfId="0" applyNumberFormat="1" applyFill="1"/>
    <xf numFmtId="168" fontId="0" fillId="4" borderId="0" xfId="0" applyNumberFormat="1" applyFill="1"/>
    <xf numFmtId="0" fontId="0" fillId="4" borderId="0" xfId="0" applyFill="1"/>
    <xf numFmtId="165" fontId="0" fillId="4" borderId="0" xfId="0" applyNumberFormat="1" applyFill="1"/>
    <xf numFmtId="169" fontId="0" fillId="4" borderId="0" xfId="0" applyNumberFormat="1" applyFill="1"/>
    <xf numFmtId="170" fontId="0" fillId="0" borderId="0" xfId="0" applyNumberFormat="1"/>
    <xf numFmtId="17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2A5F-8698-4F88-90CD-B36A8F644771}">
  <dimension ref="A1:CI53"/>
  <sheetViews>
    <sheetView tabSelected="1" zoomScale="40" zoomScaleNormal="40" workbookViewId="0">
      <selection sqref="A1:CJ55"/>
    </sheetView>
  </sheetViews>
  <sheetFormatPr baseColWidth="10" defaultRowHeight="15" x14ac:dyDescent="0.25"/>
  <sheetData>
    <row r="1" spans="1:3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4" ht="15.75" x14ac:dyDescent="0.25">
      <c r="A2" s="1" t="s">
        <v>16</v>
      </c>
      <c r="B2" s="1">
        <v>7</v>
      </c>
      <c r="C2" s="1">
        <v>1</v>
      </c>
      <c r="D2" s="1">
        <v>2</v>
      </c>
      <c r="E2" s="1">
        <v>1</v>
      </c>
      <c r="F2" s="1">
        <v>3</v>
      </c>
      <c r="G2" s="1">
        <v>12</v>
      </c>
      <c r="H2" s="1">
        <v>10</v>
      </c>
      <c r="I2" s="1">
        <v>6</v>
      </c>
      <c r="J2" s="1">
        <v>7</v>
      </c>
      <c r="K2" s="1">
        <v>4</v>
      </c>
      <c r="L2" s="1">
        <v>1</v>
      </c>
      <c r="M2" s="1">
        <v>7</v>
      </c>
      <c r="N2" s="1">
        <v>2</v>
      </c>
      <c r="O2" s="1">
        <v>4</v>
      </c>
      <c r="P2" s="1">
        <v>6</v>
      </c>
      <c r="Q2">
        <f>SUM(B2:P2)</f>
        <v>73</v>
      </c>
      <c r="S2">
        <v>7</v>
      </c>
      <c r="T2">
        <v>1</v>
      </c>
      <c r="U2">
        <v>2</v>
      </c>
      <c r="V2">
        <v>1</v>
      </c>
      <c r="W2">
        <v>3</v>
      </c>
      <c r="X2">
        <v>12</v>
      </c>
      <c r="Y2">
        <v>10</v>
      </c>
      <c r="Z2">
        <v>6</v>
      </c>
      <c r="AA2">
        <v>7</v>
      </c>
      <c r="AB2">
        <v>4</v>
      </c>
      <c r="AC2">
        <v>1</v>
      </c>
      <c r="AD2">
        <v>7</v>
      </c>
      <c r="AE2">
        <v>2</v>
      </c>
      <c r="AF2">
        <v>4</v>
      </c>
      <c r="AG2">
        <v>6</v>
      </c>
      <c r="AH2">
        <v>73</v>
      </c>
    </row>
    <row r="3" spans="1:34" ht="15.75" x14ac:dyDescent="0.25">
      <c r="A3" s="1" t="s">
        <v>17</v>
      </c>
      <c r="B3" s="2">
        <f>B2/$Q2</f>
        <v>9.5890410958904104E-2</v>
      </c>
      <c r="C3" s="2">
        <f>C2/$Q2</f>
        <v>1.3698630136986301E-2</v>
      </c>
      <c r="D3" s="2">
        <f t="shared" ref="D3:P3" si="0">D2/$Q2</f>
        <v>2.7397260273972601E-2</v>
      </c>
      <c r="E3" s="2">
        <f t="shared" si="0"/>
        <v>1.3698630136986301E-2</v>
      </c>
      <c r="F3" s="2">
        <f t="shared" si="0"/>
        <v>4.1095890410958902E-2</v>
      </c>
      <c r="G3" s="2">
        <f t="shared" si="0"/>
        <v>0.16438356164383561</v>
      </c>
      <c r="H3" s="2">
        <f t="shared" si="0"/>
        <v>0.13698630136986301</v>
      </c>
      <c r="I3" s="2">
        <f t="shared" si="0"/>
        <v>8.2191780821917804E-2</v>
      </c>
      <c r="J3" s="2">
        <f t="shared" si="0"/>
        <v>9.5890410958904104E-2</v>
      </c>
      <c r="K3" s="2">
        <f t="shared" si="0"/>
        <v>5.4794520547945202E-2</v>
      </c>
      <c r="L3" s="2">
        <f t="shared" si="0"/>
        <v>1.3698630136986301E-2</v>
      </c>
      <c r="M3" s="2">
        <f t="shared" si="0"/>
        <v>9.5890410958904104E-2</v>
      </c>
      <c r="N3" s="2">
        <f t="shared" si="0"/>
        <v>2.7397260273972601E-2</v>
      </c>
      <c r="O3" s="2">
        <f t="shared" si="0"/>
        <v>5.4794520547945202E-2</v>
      </c>
      <c r="P3" s="2">
        <f t="shared" si="0"/>
        <v>8.2191780821917804E-2</v>
      </c>
      <c r="S3">
        <v>9.5890410958904104E-2</v>
      </c>
      <c r="T3">
        <v>1.3698630136986301E-2</v>
      </c>
      <c r="U3">
        <v>2.7397260273972601E-2</v>
      </c>
      <c r="V3">
        <v>1.3698630136986301E-2</v>
      </c>
      <c r="W3">
        <v>4.1095890410958902E-2</v>
      </c>
      <c r="X3">
        <v>0.16438356164383561</v>
      </c>
      <c r="Y3">
        <v>0.13698630136986301</v>
      </c>
      <c r="Z3">
        <v>8.2191780821917804E-2</v>
      </c>
      <c r="AA3">
        <v>9.5890410958904104E-2</v>
      </c>
      <c r="AB3">
        <v>5.4794520547945202E-2</v>
      </c>
      <c r="AC3">
        <v>1.3698630136986301E-2</v>
      </c>
      <c r="AD3">
        <v>9.5890410958904104E-2</v>
      </c>
      <c r="AE3">
        <v>2.7397260273972601E-2</v>
      </c>
      <c r="AF3">
        <v>5.4794520547945202E-2</v>
      </c>
      <c r="AG3">
        <v>8.2191780821917804E-2</v>
      </c>
    </row>
    <row r="4" spans="1:34" ht="15.75" x14ac:dyDescent="0.25">
      <c r="A4" s="1" t="s">
        <v>18</v>
      </c>
    </row>
    <row r="5" spans="1:34" ht="15.75" x14ac:dyDescent="0.25">
      <c r="A5" s="1" t="s">
        <v>19</v>
      </c>
      <c r="B5" t="s">
        <v>20</v>
      </c>
      <c r="Y5" t="s">
        <v>21</v>
      </c>
    </row>
    <row r="6" spans="1:34" ht="15.75" x14ac:dyDescent="0.25">
      <c r="A6" s="1" t="s">
        <v>22</v>
      </c>
      <c r="X6" s="1" t="s">
        <v>23</v>
      </c>
      <c r="Y6" s="3">
        <f>SUM(S3:V3)+W3*SUM(S3:X3)+W3*Y3*SUM(S3:AC3)+W3*Y3*AD3*SUM(S3:AD3)</f>
        <v>0.16993725069098467</v>
      </c>
    </row>
    <row r="7" spans="1:34" ht="15.75" x14ac:dyDescent="0.25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4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X7" s="1" t="s">
        <v>24</v>
      </c>
      <c r="Y7" s="3">
        <f>Y6+Y8</f>
        <v>0.16995204033939987</v>
      </c>
    </row>
    <row r="8" spans="1:34" ht="15.75" x14ac:dyDescent="0.25">
      <c r="A8" s="1" t="s">
        <v>23</v>
      </c>
      <c r="B8" s="5">
        <v>0</v>
      </c>
      <c r="C8" s="2">
        <f>B9</f>
        <v>9.5890410958904104E-2</v>
      </c>
      <c r="D8" s="2">
        <f>C9</f>
        <v>0.1095890410958904</v>
      </c>
      <c r="E8" s="2">
        <f t="shared" ref="E8:P8" si="1">D9</f>
        <v>0.13698630136986301</v>
      </c>
      <c r="F8" s="2">
        <f t="shared" si="1"/>
        <v>0.15068493150684931</v>
      </c>
      <c r="G8" s="6">
        <f t="shared" si="1"/>
        <v>0.19178082191780821</v>
      </c>
      <c r="H8" s="2">
        <f t="shared" si="1"/>
        <v>0.35616438356164382</v>
      </c>
      <c r="I8" s="2">
        <f t="shared" si="1"/>
        <v>0.49315068493150682</v>
      </c>
      <c r="J8" s="2">
        <f t="shared" si="1"/>
        <v>0.57534246575342463</v>
      </c>
      <c r="K8" s="2">
        <f t="shared" si="1"/>
        <v>0.67123287671232879</v>
      </c>
      <c r="L8" s="2">
        <f t="shared" si="1"/>
        <v>0.72602739726027399</v>
      </c>
      <c r="M8" s="2">
        <f t="shared" si="1"/>
        <v>0.73972602739726034</v>
      </c>
      <c r="N8" s="2">
        <f t="shared" si="1"/>
        <v>0.83561643835616439</v>
      </c>
      <c r="O8" s="2">
        <f t="shared" si="1"/>
        <v>0.86301369863013699</v>
      </c>
      <c r="P8" s="2">
        <f t="shared" si="1"/>
        <v>0.9178082191780822</v>
      </c>
      <c r="X8" s="1" t="s">
        <v>7</v>
      </c>
      <c r="Y8" s="3">
        <f>W3*Y3*AD3*AE3</f>
        <v>1.4789648415195853E-5</v>
      </c>
    </row>
    <row r="9" spans="1:34" ht="15.75" x14ac:dyDescent="0.25">
      <c r="A9" s="1" t="s">
        <v>24</v>
      </c>
      <c r="B9" s="2">
        <f>B8+B10</f>
        <v>9.5890410958904104E-2</v>
      </c>
      <c r="C9" s="2">
        <f>C8+C10</f>
        <v>0.1095890410958904</v>
      </c>
      <c r="D9" s="2">
        <f t="shared" ref="D9:P9" si="2">D8+D10</f>
        <v>0.13698630136986301</v>
      </c>
      <c r="E9" s="2">
        <f t="shared" si="2"/>
        <v>0.15068493150684931</v>
      </c>
      <c r="F9" s="2">
        <f t="shared" si="2"/>
        <v>0.19178082191780821</v>
      </c>
      <c r="G9" s="6">
        <f t="shared" si="2"/>
        <v>0.35616438356164382</v>
      </c>
      <c r="H9" s="2">
        <f t="shared" si="2"/>
        <v>0.49315068493150682</v>
      </c>
      <c r="I9" s="2">
        <f t="shared" si="2"/>
        <v>0.57534246575342463</v>
      </c>
      <c r="J9" s="2">
        <f t="shared" si="2"/>
        <v>0.67123287671232879</v>
      </c>
      <c r="K9" s="2">
        <f t="shared" si="2"/>
        <v>0.72602739726027399</v>
      </c>
      <c r="L9" s="2">
        <f t="shared" si="2"/>
        <v>0.73972602739726034</v>
      </c>
      <c r="M9" s="2">
        <f t="shared" si="2"/>
        <v>0.83561643835616439</v>
      </c>
      <c r="N9" s="2">
        <f t="shared" si="2"/>
        <v>0.86301369863013699</v>
      </c>
      <c r="O9" s="2">
        <f t="shared" si="2"/>
        <v>0.9178082191780822</v>
      </c>
      <c r="P9" s="2">
        <f t="shared" si="2"/>
        <v>1</v>
      </c>
    </row>
    <row r="10" spans="1:34" ht="15.75" x14ac:dyDescent="0.25">
      <c r="A10" s="1" t="s">
        <v>7</v>
      </c>
      <c r="B10" s="2">
        <v>9.5890410958904104E-2</v>
      </c>
      <c r="C10" s="2">
        <v>1.3698630136986301E-2</v>
      </c>
      <c r="D10" s="2">
        <v>2.7397260273972601E-2</v>
      </c>
      <c r="E10" s="2">
        <v>1.3698630136986301E-2</v>
      </c>
      <c r="F10" s="2">
        <v>4.1095890410958902E-2</v>
      </c>
      <c r="G10" s="6">
        <v>0.16438356164383561</v>
      </c>
      <c r="H10" s="2">
        <v>0.13698630136986301</v>
      </c>
      <c r="I10" s="2">
        <v>8.2191780821917804E-2</v>
      </c>
      <c r="J10" s="2">
        <v>9.5890410958904104E-2</v>
      </c>
      <c r="K10" s="2">
        <v>5.4794520547945202E-2</v>
      </c>
      <c r="L10" s="2">
        <v>1.3698630136986301E-2</v>
      </c>
      <c r="M10" s="2">
        <v>9.5890410958904104E-2</v>
      </c>
      <c r="N10" s="2">
        <v>2.7397260273972601E-2</v>
      </c>
      <c r="O10" s="2">
        <v>5.4794520547945202E-2</v>
      </c>
      <c r="P10" s="2">
        <v>8.2191780821917804E-2</v>
      </c>
    </row>
    <row r="11" spans="1:34" x14ac:dyDescent="0.25">
      <c r="Y11" t="s">
        <v>20</v>
      </c>
    </row>
    <row r="12" spans="1:34" ht="15.75" x14ac:dyDescent="0.25">
      <c r="B12" s="7" t="s">
        <v>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X12" s="1" t="s">
        <v>23</v>
      </c>
      <c r="Y12" s="3">
        <f>SUM(S3:W3)+X3*SUM(S3:AF3)+X3*AG3*SUM(S3:X3)+X3*AG3*Y3*SUM(S3:Y3)</f>
        <v>0.34837826751311812</v>
      </c>
    </row>
    <row r="13" spans="1:34" ht="15.75" x14ac:dyDescent="0.25"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4" t="s">
        <v>15</v>
      </c>
      <c r="X13" s="1" t="s">
        <v>24</v>
      </c>
      <c r="Y13" s="3">
        <f>Y12+Y14</f>
        <v>0.348530389611103</v>
      </c>
    </row>
    <row r="14" spans="1:34" ht="15.75" x14ac:dyDescent="0.25">
      <c r="A14" s="1" t="s">
        <v>23</v>
      </c>
      <c r="B14" s="2">
        <f>G8</f>
        <v>0.19178082191780821</v>
      </c>
      <c r="C14" s="2">
        <f>B15</f>
        <v>0.20754362919872396</v>
      </c>
      <c r="D14" s="2">
        <f t="shared" ref="D14:P14" si="3">C15</f>
        <v>0.20979545881028336</v>
      </c>
      <c r="E14" s="2">
        <f t="shared" si="3"/>
        <v>0.21429911803340215</v>
      </c>
      <c r="F14" s="2">
        <f t="shared" si="3"/>
        <v>0.21655094764496155</v>
      </c>
      <c r="G14" s="2">
        <f t="shared" si="3"/>
        <v>0.22330643647963971</v>
      </c>
      <c r="H14" s="2">
        <f t="shared" si="3"/>
        <v>0.25032839181835242</v>
      </c>
      <c r="I14" s="2">
        <f t="shared" si="3"/>
        <v>0.27284668793394634</v>
      </c>
      <c r="J14" s="2">
        <f t="shared" si="3"/>
        <v>0.28635766560330267</v>
      </c>
      <c r="K14" s="2">
        <f t="shared" si="3"/>
        <v>0.30212047288421839</v>
      </c>
      <c r="L14" s="2">
        <f t="shared" si="3"/>
        <v>0.31112779133045598</v>
      </c>
      <c r="M14" s="2">
        <f t="shared" si="3"/>
        <v>0.31337962094201538</v>
      </c>
      <c r="N14" s="2">
        <f t="shared" si="3"/>
        <v>0.3291424282229311</v>
      </c>
      <c r="O14" s="2">
        <f t="shared" si="3"/>
        <v>0.3336460874460499</v>
      </c>
      <c r="P14" s="6">
        <f t="shared" si="3"/>
        <v>0.34265340589228749</v>
      </c>
      <c r="X14" s="1" t="s">
        <v>7</v>
      </c>
      <c r="Y14">
        <f>X3*AG3*Y3*Z3</f>
        <v>1.5212209798487163E-4</v>
      </c>
    </row>
    <row r="15" spans="1:34" ht="15.75" x14ac:dyDescent="0.25">
      <c r="A15" s="1" t="s">
        <v>24</v>
      </c>
      <c r="B15" s="2">
        <f>B14+B16</f>
        <v>0.20754362919872396</v>
      </c>
      <c r="C15" s="2">
        <f t="shared" ref="C15:P15" si="4">C14+C16</f>
        <v>0.20979545881028336</v>
      </c>
      <c r="D15" s="2">
        <f t="shared" si="4"/>
        <v>0.21429911803340215</v>
      </c>
      <c r="E15" s="2">
        <f t="shared" si="4"/>
        <v>0.21655094764496155</v>
      </c>
      <c r="F15" s="2">
        <f t="shared" si="4"/>
        <v>0.22330643647963971</v>
      </c>
      <c r="G15" s="2">
        <f t="shared" si="4"/>
        <v>0.25032839181835242</v>
      </c>
      <c r="H15" s="2">
        <f t="shared" si="4"/>
        <v>0.27284668793394634</v>
      </c>
      <c r="I15" s="2">
        <f t="shared" si="4"/>
        <v>0.28635766560330267</v>
      </c>
      <c r="J15" s="2">
        <f t="shared" si="4"/>
        <v>0.30212047288421839</v>
      </c>
      <c r="K15" s="2">
        <f t="shared" si="4"/>
        <v>0.31112779133045598</v>
      </c>
      <c r="L15" s="2">
        <f t="shared" si="4"/>
        <v>0.31337962094201538</v>
      </c>
      <c r="M15" s="2">
        <f t="shared" si="4"/>
        <v>0.3291424282229311</v>
      </c>
      <c r="N15" s="2">
        <f t="shared" si="4"/>
        <v>0.3336460874460499</v>
      </c>
      <c r="O15" s="2">
        <f t="shared" si="4"/>
        <v>0.34265340589228749</v>
      </c>
      <c r="P15" s="6">
        <f t="shared" si="4"/>
        <v>0.35616438356164382</v>
      </c>
    </row>
    <row r="16" spans="1:34" ht="15.75" x14ac:dyDescent="0.25">
      <c r="A16" s="1" t="s">
        <v>7</v>
      </c>
      <c r="B16" s="8">
        <f>$G10*B10</f>
        <v>1.5762807280915742E-2</v>
      </c>
      <c r="C16" s="8">
        <f t="shared" ref="C16:P16" si="5">$G10*C10</f>
        <v>2.2518296115593916E-3</v>
      </c>
      <c r="D16" s="8">
        <f t="shared" si="5"/>
        <v>4.5036592231187831E-3</v>
      </c>
      <c r="E16" s="8">
        <f t="shared" si="5"/>
        <v>2.2518296115593916E-3</v>
      </c>
      <c r="F16" s="8">
        <f t="shared" si="5"/>
        <v>6.7554888346781751E-3</v>
      </c>
      <c r="G16" s="8">
        <f t="shared" si="5"/>
        <v>2.7021955338712701E-2</v>
      </c>
      <c r="H16" s="8">
        <f t="shared" si="5"/>
        <v>2.2518296115593917E-2</v>
      </c>
      <c r="I16" s="8">
        <f t="shared" si="5"/>
        <v>1.351097766935635E-2</v>
      </c>
      <c r="J16" s="8">
        <f t="shared" si="5"/>
        <v>1.5762807280915742E-2</v>
      </c>
      <c r="K16" s="8">
        <f t="shared" si="5"/>
        <v>9.0073184462375663E-3</v>
      </c>
      <c r="L16" s="8">
        <f t="shared" si="5"/>
        <v>2.2518296115593916E-3</v>
      </c>
      <c r="M16" s="8">
        <f t="shared" si="5"/>
        <v>1.5762807280915742E-2</v>
      </c>
      <c r="N16" s="8">
        <f t="shared" si="5"/>
        <v>4.5036592231187831E-3</v>
      </c>
      <c r="O16" s="8">
        <f t="shared" si="5"/>
        <v>9.0073184462375663E-3</v>
      </c>
      <c r="P16" s="9">
        <f t="shared" si="5"/>
        <v>1.351097766935635E-2</v>
      </c>
    </row>
    <row r="17" spans="1:49" x14ac:dyDescent="0.25">
      <c r="Y17" t="s">
        <v>21</v>
      </c>
    </row>
    <row r="18" spans="1:49" ht="15.75" x14ac:dyDescent="0.25">
      <c r="B18" s="7" t="s">
        <v>25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X18" s="1" t="s">
        <v>23</v>
      </c>
      <c r="Y18" s="3">
        <v>0.16993725069098467</v>
      </c>
    </row>
    <row r="19" spans="1:49" ht="15.75" x14ac:dyDescent="0.25"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4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  <c r="N19" s="1" t="s">
        <v>13</v>
      </c>
      <c r="O19" s="1" t="s">
        <v>14</v>
      </c>
      <c r="P19" s="1" t="s">
        <v>15</v>
      </c>
      <c r="X19" s="1" t="s">
        <v>24</v>
      </c>
      <c r="Y19" s="3">
        <v>0.16995204033939987</v>
      </c>
      <c r="AB19" t="s">
        <v>13</v>
      </c>
      <c r="AC19" t="s">
        <v>26</v>
      </c>
      <c r="AF19" s="10" t="s">
        <v>27</v>
      </c>
    </row>
    <row r="20" spans="1:49" ht="15.75" x14ac:dyDescent="0.25">
      <c r="A20" s="1" t="s">
        <v>23</v>
      </c>
      <c r="B20" s="2">
        <f>P14</f>
        <v>0.34265340589228749</v>
      </c>
      <c r="C20" s="2">
        <f>B21</f>
        <v>0.34394897909345862</v>
      </c>
      <c r="D20" s="2">
        <f t="shared" ref="D20:P20" si="6">C21</f>
        <v>0.34413406097934018</v>
      </c>
      <c r="E20" s="2">
        <f t="shared" si="6"/>
        <v>0.34450422475110337</v>
      </c>
      <c r="F20" s="2">
        <f t="shared" si="6"/>
        <v>0.34468930663698494</v>
      </c>
      <c r="G20" s="2">
        <f t="shared" si="6"/>
        <v>0.34524455229462969</v>
      </c>
      <c r="H20" s="6">
        <f t="shared" si="6"/>
        <v>0.34746553492520882</v>
      </c>
      <c r="I20" s="2">
        <f t="shared" si="6"/>
        <v>0.34931635378402476</v>
      </c>
      <c r="J20" s="2">
        <f t="shared" si="6"/>
        <v>0.35042684509931432</v>
      </c>
      <c r="K20" s="2">
        <f t="shared" si="6"/>
        <v>0.35172241830048545</v>
      </c>
      <c r="L20" s="2">
        <f t="shared" si="6"/>
        <v>0.35246274584401183</v>
      </c>
      <c r="M20" s="2">
        <f t="shared" si="6"/>
        <v>0.35264782772989339</v>
      </c>
      <c r="N20" s="2">
        <f t="shared" si="6"/>
        <v>0.35394340093106452</v>
      </c>
      <c r="O20" s="2">
        <f t="shared" si="6"/>
        <v>0.35431356470282771</v>
      </c>
      <c r="P20" s="2">
        <f t="shared" si="6"/>
        <v>0.35505389224635409</v>
      </c>
      <c r="X20" s="1" t="s">
        <v>7</v>
      </c>
      <c r="Y20" s="3">
        <v>1.4789648415195901E-5</v>
      </c>
      <c r="AB20">
        <v>1</v>
      </c>
      <c r="AC20">
        <f>1/2^AB20</f>
        <v>0.5</v>
      </c>
      <c r="AD20" t="str">
        <f>IF(AC20&lt;=Y$20,"si","no")</f>
        <v>no</v>
      </c>
      <c r="AE20" t="s">
        <v>28</v>
      </c>
      <c r="AF20" s="11">
        <f>2^Y23</f>
        <v>131072</v>
      </c>
      <c r="AG20" t="s">
        <v>29</v>
      </c>
    </row>
    <row r="21" spans="1:49" ht="15.75" x14ac:dyDescent="0.25">
      <c r="A21" s="1" t="s">
        <v>24</v>
      </c>
      <c r="B21" s="2">
        <f>B20+B22</f>
        <v>0.34394897909345862</v>
      </c>
      <c r="C21" s="2">
        <f t="shared" ref="C21:P21" si="7">C20+C22</f>
        <v>0.34413406097934018</v>
      </c>
      <c r="D21" s="2">
        <f t="shared" si="7"/>
        <v>0.34450422475110337</v>
      </c>
      <c r="E21" s="2">
        <f t="shared" si="7"/>
        <v>0.34468930663698494</v>
      </c>
      <c r="F21" s="2">
        <f t="shared" si="7"/>
        <v>0.34524455229462969</v>
      </c>
      <c r="G21" s="2">
        <f t="shared" si="7"/>
        <v>0.34746553492520882</v>
      </c>
      <c r="H21" s="6">
        <f t="shared" si="7"/>
        <v>0.34931635378402476</v>
      </c>
      <c r="I21" s="2">
        <f t="shared" si="7"/>
        <v>0.35042684509931432</v>
      </c>
      <c r="J21" s="2">
        <f t="shared" si="7"/>
        <v>0.35172241830048545</v>
      </c>
      <c r="K21" s="2">
        <f t="shared" si="7"/>
        <v>0.35246274584401183</v>
      </c>
      <c r="L21" s="2">
        <f t="shared" si="7"/>
        <v>0.35264782772989339</v>
      </c>
      <c r="M21" s="2">
        <f t="shared" si="7"/>
        <v>0.35394340093106452</v>
      </c>
      <c r="N21" s="2">
        <f t="shared" si="7"/>
        <v>0.35431356470282771</v>
      </c>
      <c r="O21" s="2">
        <f t="shared" si="7"/>
        <v>0.35505389224635409</v>
      </c>
      <c r="P21" s="2">
        <f t="shared" si="7"/>
        <v>0.35616438356164365</v>
      </c>
      <c r="AB21">
        <v>2</v>
      </c>
      <c r="AC21">
        <f t="shared" ref="AC21:AC37" si="8">1/2^AB21</f>
        <v>0.25</v>
      </c>
      <c r="AD21" t="str">
        <f t="shared" ref="AD21:AD37" si="9">IF(AC21&lt;=Y$20,"si","no")</f>
        <v>no</v>
      </c>
      <c r="AE21">
        <f>Y18*AF20</f>
        <v>22274.015322568743</v>
      </c>
      <c r="AF21" s="10" t="s">
        <v>30</v>
      </c>
      <c r="AG21">
        <f>Y19*AF20</f>
        <v>22275.953831365819</v>
      </c>
    </row>
    <row r="22" spans="1:49" ht="15.75" x14ac:dyDescent="0.25">
      <c r="A22" s="1" t="s">
        <v>7</v>
      </c>
      <c r="B22" s="8">
        <f>$P16*B3</f>
        <v>1.2955732011711567E-3</v>
      </c>
      <c r="C22" s="8">
        <f t="shared" ref="C22:P22" si="10">$P16*C3</f>
        <v>1.8508188588159383E-4</v>
      </c>
      <c r="D22" s="8">
        <f t="shared" si="10"/>
        <v>3.7016377176318766E-4</v>
      </c>
      <c r="E22" s="8">
        <f t="shared" si="10"/>
        <v>1.8508188588159383E-4</v>
      </c>
      <c r="F22" s="8">
        <f t="shared" si="10"/>
        <v>5.5524565764478151E-4</v>
      </c>
      <c r="G22" s="8">
        <f t="shared" si="10"/>
        <v>2.2209826305791261E-3</v>
      </c>
      <c r="H22" s="9">
        <f t="shared" si="10"/>
        <v>1.8508188588159382E-3</v>
      </c>
      <c r="I22" s="8">
        <f t="shared" si="10"/>
        <v>1.110491315289563E-3</v>
      </c>
      <c r="J22" s="8">
        <f t="shared" si="10"/>
        <v>1.2955732011711567E-3</v>
      </c>
      <c r="K22" s="8">
        <f t="shared" si="10"/>
        <v>7.4032754352637532E-4</v>
      </c>
      <c r="L22" s="8">
        <f t="shared" si="10"/>
        <v>1.8508188588159383E-4</v>
      </c>
      <c r="M22" s="8">
        <f t="shared" si="10"/>
        <v>1.2955732011711567E-3</v>
      </c>
      <c r="N22" s="8">
        <f t="shared" si="10"/>
        <v>3.7016377176318766E-4</v>
      </c>
      <c r="O22" s="8">
        <f t="shared" si="10"/>
        <v>7.4032754352637532E-4</v>
      </c>
      <c r="P22" s="8">
        <f t="shared" si="10"/>
        <v>1.110491315289563E-3</v>
      </c>
      <c r="AB22">
        <v>3</v>
      </c>
      <c r="AC22">
        <f t="shared" si="8"/>
        <v>0.125</v>
      </c>
      <c r="AD22" t="str">
        <f>IF(AC22&lt;=Y$20,"si","no")</f>
        <v>no</v>
      </c>
    </row>
    <row r="23" spans="1:49" ht="15.75" x14ac:dyDescent="0.25">
      <c r="D23" s="1"/>
      <c r="X23" s="1" t="s">
        <v>13</v>
      </c>
      <c r="Y23">
        <v>17</v>
      </c>
      <c r="AB23">
        <v>4</v>
      </c>
      <c r="AC23">
        <f t="shared" si="8"/>
        <v>6.25E-2</v>
      </c>
      <c r="AD23" t="str">
        <f t="shared" si="9"/>
        <v>no</v>
      </c>
      <c r="AE23" s="12">
        <v>22274</v>
      </c>
      <c r="AF23">
        <v>22276</v>
      </c>
    </row>
    <row r="24" spans="1:49" x14ac:dyDescent="0.25">
      <c r="B24" s="7" t="s">
        <v>31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X24" s="13">
        <f>2^-Y23</f>
        <v>7.62939453125E-6</v>
      </c>
      <c r="Z24" s="13">
        <f>2^(-Y23+1)</f>
        <v>1.52587890625E-5</v>
      </c>
      <c r="AB24">
        <v>5</v>
      </c>
      <c r="AC24">
        <f t="shared" si="8"/>
        <v>3.125E-2</v>
      </c>
      <c r="AD24" t="str">
        <f t="shared" si="9"/>
        <v>no</v>
      </c>
    </row>
    <row r="25" spans="1:49" ht="15.75" x14ac:dyDescent="0.25"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4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  <c r="AB25">
        <v>6</v>
      </c>
      <c r="AC25">
        <f t="shared" si="8"/>
        <v>1.5625E-2</v>
      </c>
      <c r="AD25" t="str">
        <f t="shared" si="9"/>
        <v>no</v>
      </c>
      <c r="AE25" t="s">
        <v>11</v>
      </c>
      <c r="AF25" s="2">
        <f>AE23/AF20</f>
        <v>0.1699371337890625</v>
      </c>
    </row>
    <row r="26" spans="1:49" ht="15.75" x14ac:dyDescent="0.25">
      <c r="A26" s="1" t="s">
        <v>23</v>
      </c>
      <c r="B26" s="2">
        <f>H20</f>
        <v>0.34746553492520882</v>
      </c>
      <c r="C26" s="2">
        <f>B27</f>
        <v>0.34764301070619119</v>
      </c>
      <c r="D26" s="2">
        <f t="shared" ref="D26:P26" si="11">C27</f>
        <v>0.34766836438918869</v>
      </c>
      <c r="E26" s="2">
        <f t="shared" si="11"/>
        <v>0.34771907175518363</v>
      </c>
      <c r="F26" s="2">
        <f t="shared" si="11"/>
        <v>0.34774442543818113</v>
      </c>
      <c r="G26" s="2">
        <f t="shared" si="11"/>
        <v>0.34782048648717356</v>
      </c>
      <c r="H26" s="2">
        <f t="shared" si="11"/>
        <v>0.34812473068314331</v>
      </c>
      <c r="I26" s="14">
        <f t="shared" si="11"/>
        <v>0.34837826751311812</v>
      </c>
      <c r="J26" s="2">
        <f t="shared" si="11"/>
        <v>0.348530389611103</v>
      </c>
      <c r="K26" s="2">
        <f t="shared" si="11"/>
        <v>0.34870786539208537</v>
      </c>
      <c r="L26" s="2">
        <f t="shared" si="11"/>
        <v>0.3488092801240753</v>
      </c>
      <c r="M26" s="2">
        <f t="shared" si="11"/>
        <v>0.3488346338070728</v>
      </c>
      <c r="N26" s="2">
        <f t="shared" si="11"/>
        <v>0.34901210958805517</v>
      </c>
      <c r="O26" s="2">
        <f t="shared" si="11"/>
        <v>0.34906281695405011</v>
      </c>
      <c r="P26" s="2">
        <f t="shared" si="11"/>
        <v>0.34916423168604005</v>
      </c>
      <c r="AB26">
        <v>7</v>
      </c>
      <c r="AC26">
        <f t="shared" si="8"/>
        <v>7.8125E-3</v>
      </c>
      <c r="AD26" t="str">
        <f t="shared" si="9"/>
        <v>no</v>
      </c>
    </row>
    <row r="27" spans="1:49" ht="15.75" x14ac:dyDescent="0.25">
      <c r="A27" s="1" t="s">
        <v>24</v>
      </c>
      <c r="B27" s="2">
        <f>B26+B28</f>
        <v>0.34764301070619119</v>
      </c>
      <c r="C27" s="2">
        <f t="shared" ref="C27:P27" si="12">C26+C28</f>
        <v>0.34766836438918869</v>
      </c>
      <c r="D27" s="2">
        <f t="shared" si="12"/>
        <v>0.34771907175518363</v>
      </c>
      <c r="E27" s="2">
        <f t="shared" si="12"/>
        <v>0.34774442543818113</v>
      </c>
      <c r="F27" s="2">
        <f t="shared" si="12"/>
        <v>0.34782048648717356</v>
      </c>
      <c r="G27" s="2">
        <f t="shared" si="12"/>
        <v>0.34812473068314331</v>
      </c>
      <c r="H27" s="2">
        <f t="shared" si="12"/>
        <v>0.34837826751311812</v>
      </c>
      <c r="I27" s="14">
        <f t="shared" si="12"/>
        <v>0.348530389611103</v>
      </c>
      <c r="J27" s="2">
        <f t="shared" si="12"/>
        <v>0.34870786539208537</v>
      </c>
      <c r="K27" s="2">
        <f t="shared" si="12"/>
        <v>0.3488092801240753</v>
      </c>
      <c r="L27" s="2">
        <f t="shared" si="12"/>
        <v>0.3488346338070728</v>
      </c>
      <c r="M27" s="2">
        <f t="shared" si="12"/>
        <v>0.34901210958805517</v>
      </c>
      <c r="N27" s="2">
        <f t="shared" si="12"/>
        <v>0.34906281695405011</v>
      </c>
      <c r="O27" s="2">
        <f t="shared" si="12"/>
        <v>0.34916423168604005</v>
      </c>
      <c r="P27" s="2">
        <f t="shared" si="12"/>
        <v>0.34931635378402492</v>
      </c>
      <c r="AB27">
        <v>8</v>
      </c>
      <c r="AC27">
        <f t="shared" si="8"/>
        <v>3.90625E-3</v>
      </c>
      <c r="AD27" t="str">
        <f t="shared" si="9"/>
        <v>no</v>
      </c>
      <c r="AF27" s="2">
        <f>AF25*2</f>
        <v>0.339874267578125</v>
      </c>
      <c r="AG27">
        <f>IF(AF27&gt;=1,(AF27-1)*2,AF27*2)</f>
        <v>0.67974853515625</v>
      </c>
      <c r="AH27">
        <f>IF(AG27&gt;=1,(AG27-1)*2,AG27*2)</f>
        <v>1.3594970703125</v>
      </c>
      <c r="AI27">
        <f t="shared" ref="AI27:AO27" si="13">IF(AH27&gt;=1,(AH27-1)*2,AH27*2)</f>
        <v>0.718994140625</v>
      </c>
      <c r="AJ27">
        <f t="shared" si="13"/>
        <v>1.43798828125</v>
      </c>
      <c r="AK27">
        <f t="shared" si="13"/>
        <v>0.8759765625</v>
      </c>
      <c r="AL27">
        <f t="shared" si="13"/>
        <v>1.751953125</v>
      </c>
      <c r="AM27">
        <f t="shared" si="13"/>
        <v>1.50390625</v>
      </c>
      <c r="AN27">
        <f t="shared" si="13"/>
        <v>1.0078125</v>
      </c>
      <c r="AO27">
        <f t="shared" si="13"/>
        <v>1.5625E-2</v>
      </c>
      <c r="AP27">
        <f>IF(AO27&gt;=1,(AO27-1)*2,AO27*2)</f>
        <v>3.125E-2</v>
      </c>
      <c r="AQ27">
        <f t="shared" ref="AQ27:AV27" si="14">IF(AP27&gt;=1,(AP27-1)*2,AP27*2)</f>
        <v>6.25E-2</v>
      </c>
      <c r="AR27">
        <f t="shared" si="14"/>
        <v>0.125</v>
      </c>
      <c r="AS27">
        <f t="shared" si="14"/>
        <v>0.25</v>
      </c>
      <c r="AT27">
        <f t="shared" si="14"/>
        <v>0.5</v>
      </c>
      <c r="AU27">
        <f t="shared" si="14"/>
        <v>1</v>
      </c>
      <c r="AV27">
        <f t="shared" si="14"/>
        <v>0</v>
      </c>
    </row>
    <row r="28" spans="1:49" ht="15.75" x14ac:dyDescent="0.25">
      <c r="A28" s="1" t="s">
        <v>7</v>
      </c>
      <c r="B28" s="15">
        <f>$H22*B3</f>
        <v>1.7747578098235023E-4</v>
      </c>
      <c r="C28" s="15">
        <f t="shared" ref="C28:P28" si="15">$H22*C3</f>
        <v>2.5353682997478604E-5</v>
      </c>
      <c r="D28" s="15">
        <f t="shared" si="15"/>
        <v>5.0707365994957208E-5</v>
      </c>
      <c r="E28" s="15">
        <f t="shared" si="15"/>
        <v>2.5353682997478604E-5</v>
      </c>
      <c r="F28" s="15">
        <f t="shared" si="15"/>
        <v>7.6061048992435816E-5</v>
      </c>
      <c r="G28" s="15">
        <f t="shared" si="15"/>
        <v>3.0424419596974326E-4</v>
      </c>
      <c r="H28" s="15">
        <f t="shared" si="15"/>
        <v>2.5353682997478606E-4</v>
      </c>
      <c r="I28" s="16">
        <f t="shared" si="15"/>
        <v>1.5212209798487163E-4</v>
      </c>
      <c r="J28" s="15">
        <f t="shared" si="15"/>
        <v>1.7747578098235023E-4</v>
      </c>
      <c r="K28" s="15">
        <f t="shared" si="15"/>
        <v>1.0141473198991442E-4</v>
      </c>
      <c r="L28" s="15">
        <f t="shared" si="15"/>
        <v>2.5353682997478604E-5</v>
      </c>
      <c r="M28" s="15">
        <f t="shared" si="15"/>
        <v>1.7747578098235023E-4</v>
      </c>
      <c r="N28" s="15">
        <f t="shared" si="15"/>
        <v>5.0707365994957208E-5</v>
      </c>
      <c r="O28" s="15">
        <f t="shared" si="15"/>
        <v>1.0141473198991442E-4</v>
      </c>
      <c r="P28" s="15">
        <f t="shared" si="15"/>
        <v>1.5212209798487163E-4</v>
      </c>
      <c r="AB28">
        <v>9</v>
      </c>
      <c r="AC28">
        <f t="shared" si="8"/>
        <v>1.953125E-3</v>
      </c>
      <c r="AD28" t="str">
        <f t="shared" si="9"/>
        <v>no</v>
      </c>
      <c r="AF28" s="17">
        <f>IF(AF27&gt;=1,1,0)</f>
        <v>0</v>
      </c>
      <c r="AG28" s="17">
        <f>IF(AG27&gt;=1,1,0)</f>
        <v>0</v>
      </c>
      <c r="AH28" s="17">
        <f>IF(AH27&gt;=1,1,0)</f>
        <v>1</v>
      </c>
      <c r="AI28" s="17">
        <f t="shared" ref="AI28:AO28" si="16">IF(AI27&gt;=1,1,0)</f>
        <v>0</v>
      </c>
      <c r="AJ28" s="17">
        <f t="shared" si="16"/>
        <v>1</v>
      </c>
      <c r="AK28" s="17">
        <f t="shared" si="16"/>
        <v>0</v>
      </c>
      <c r="AL28" s="17">
        <f t="shared" si="16"/>
        <v>1</v>
      </c>
      <c r="AM28" s="17">
        <f t="shared" si="16"/>
        <v>1</v>
      </c>
      <c r="AN28" s="17">
        <f t="shared" si="16"/>
        <v>1</v>
      </c>
      <c r="AO28" s="17">
        <f t="shared" si="16"/>
        <v>0</v>
      </c>
      <c r="AP28" s="17">
        <f>IF(AP27&gt;=1,1,0)</f>
        <v>0</v>
      </c>
      <c r="AQ28" s="17">
        <f t="shared" ref="AQ28:AV28" si="17">IF(AQ27&gt;=1,1,0)</f>
        <v>0</v>
      </c>
      <c r="AR28" s="17">
        <f t="shared" si="17"/>
        <v>0</v>
      </c>
      <c r="AS28" s="17">
        <f t="shared" si="17"/>
        <v>0</v>
      </c>
      <c r="AT28" s="17">
        <f t="shared" si="17"/>
        <v>0</v>
      </c>
      <c r="AU28" s="17">
        <f t="shared" si="17"/>
        <v>1</v>
      </c>
      <c r="AV28" s="17">
        <f t="shared" si="17"/>
        <v>0</v>
      </c>
      <c r="AW28" s="5"/>
    </row>
    <row r="29" spans="1:49" x14ac:dyDescent="0.25">
      <c r="AB29">
        <v>10</v>
      </c>
      <c r="AC29">
        <f t="shared" si="8"/>
        <v>9.765625E-4</v>
      </c>
      <c r="AD29" t="str">
        <f t="shared" si="9"/>
        <v>no</v>
      </c>
    </row>
    <row r="30" spans="1:49" x14ac:dyDescent="0.25">
      <c r="B30" t="s">
        <v>21</v>
      </c>
      <c r="AB30">
        <v>11</v>
      </c>
      <c r="AC30">
        <f t="shared" si="8"/>
        <v>4.8828125E-4</v>
      </c>
      <c r="AD30" t="str">
        <f t="shared" si="9"/>
        <v>no</v>
      </c>
    </row>
    <row r="31" spans="1:49" ht="15.7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AB31">
        <v>12</v>
      </c>
      <c r="AC31">
        <f t="shared" si="8"/>
        <v>2.44140625E-4</v>
      </c>
      <c r="AD31" t="str">
        <f t="shared" si="9"/>
        <v>no</v>
      </c>
    </row>
    <row r="32" spans="1:49" ht="15.75" x14ac:dyDescent="0.25">
      <c r="B32" s="1" t="s">
        <v>1</v>
      </c>
      <c r="C32" s="1" t="s">
        <v>2</v>
      </c>
      <c r="D32" s="1" t="s">
        <v>3</v>
      </c>
      <c r="E32" s="1" t="s">
        <v>4</v>
      </c>
      <c r="F32" s="18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 t="s">
        <v>14</v>
      </c>
      <c r="P32" s="1" t="s">
        <v>15</v>
      </c>
      <c r="AB32">
        <v>13</v>
      </c>
      <c r="AC32">
        <f t="shared" si="8"/>
        <v>1.220703125E-4</v>
      </c>
      <c r="AD32" t="str">
        <f t="shared" si="9"/>
        <v>no</v>
      </c>
      <c r="AE32" t="s">
        <v>23</v>
      </c>
      <c r="AF32" s="3">
        <v>0.16993725069098467</v>
      </c>
    </row>
    <row r="33" spans="1:87" ht="15.75" x14ac:dyDescent="0.25">
      <c r="A33" s="1" t="s">
        <v>23</v>
      </c>
      <c r="B33" s="5">
        <v>0</v>
      </c>
      <c r="C33" s="2">
        <f>B34</f>
        <v>9.5890410958904104E-2</v>
      </c>
      <c r="D33" s="2">
        <f t="shared" ref="D33:P33" si="18">C34</f>
        <v>0.1095890410958904</v>
      </c>
      <c r="E33" s="2">
        <f t="shared" si="18"/>
        <v>0.13698630136986301</v>
      </c>
      <c r="F33" s="19">
        <f t="shared" si="18"/>
        <v>0.15068493150684931</v>
      </c>
      <c r="G33" s="2">
        <f t="shared" si="18"/>
        <v>0.19178082191780821</v>
      </c>
      <c r="H33" s="2">
        <f t="shared" si="18"/>
        <v>0.35616438356164382</v>
      </c>
      <c r="I33" s="2">
        <f t="shared" si="18"/>
        <v>0.49315068493150682</v>
      </c>
      <c r="J33" s="2">
        <f t="shared" si="18"/>
        <v>0.57534246575342463</v>
      </c>
      <c r="K33" s="2">
        <f t="shared" si="18"/>
        <v>0.67123287671232879</v>
      </c>
      <c r="L33" s="2">
        <f t="shared" si="18"/>
        <v>0.72602739726027399</v>
      </c>
      <c r="M33" s="2">
        <f t="shared" si="18"/>
        <v>0.73972602739726034</v>
      </c>
      <c r="N33" s="2">
        <f t="shared" si="18"/>
        <v>0.83561643835616439</v>
      </c>
      <c r="O33" s="2">
        <f t="shared" si="18"/>
        <v>0.86301369863013699</v>
      </c>
      <c r="P33" s="2">
        <f t="shared" si="18"/>
        <v>0.9178082191780822</v>
      </c>
      <c r="AB33">
        <v>14</v>
      </c>
      <c r="AC33">
        <f t="shared" si="8"/>
        <v>6.103515625E-5</v>
      </c>
      <c r="AD33" t="str">
        <f t="shared" si="9"/>
        <v>no</v>
      </c>
    </row>
    <row r="34" spans="1:87" ht="15.75" x14ac:dyDescent="0.25">
      <c r="A34" s="1" t="s">
        <v>24</v>
      </c>
      <c r="B34" s="15">
        <f>B33+B35</f>
        <v>9.5890410958904104E-2</v>
      </c>
      <c r="C34" s="15">
        <f>C33+C35</f>
        <v>0.1095890410958904</v>
      </c>
      <c r="D34" s="15">
        <f t="shared" ref="D34:P34" si="19">D33+D35</f>
        <v>0.13698630136986301</v>
      </c>
      <c r="E34" s="15">
        <f t="shared" si="19"/>
        <v>0.15068493150684931</v>
      </c>
      <c r="F34" s="20">
        <f t="shared" si="19"/>
        <v>0.19178082191780821</v>
      </c>
      <c r="G34" s="15">
        <f t="shared" si="19"/>
        <v>0.35616438356164382</v>
      </c>
      <c r="H34" s="15">
        <f t="shared" si="19"/>
        <v>0.49315068493150682</v>
      </c>
      <c r="I34" s="15">
        <f t="shared" si="19"/>
        <v>0.57534246575342463</v>
      </c>
      <c r="J34" s="15">
        <f t="shared" si="19"/>
        <v>0.67123287671232879</v>
      </c>
      <c r="K34" s="15">
        <f t="shared" si="19"/>
        <v>0.72602739726027399</v>
      </c>
      <c r="L34" s="15">
        <f t="shared" si="19"/>
        <v>0.73972602739726034</v>
      </c>
      <c r="M34" s="15">
        <f t="shared" si="19"/>
        <v>0.83561643835616439</v>
      </c>
      <c r="N34" s="15">
        <f t="shared" si="19"/>
        <v>0.86301369863013699</v>
      </c>
      <c r="O34" s="15">
        <f t="shared" si="19"/>
        <v>0.9178082191780822</v>
      </c>
      <c r="P34" s="15">
        <f t="shared" si="19"/>
        <v>1</v>
      </c>
      <c r="AB34">
        <v>15</v>
      </c>
      <c r="AC34">
        <f t="shared" si="8"/>
        <v>3.0517578125E-5</v>
      </c>
      <c r="AD34" t="str">
        <f t="shared" si="9"/>
        <v>no</v>
      </c>
      <c r="AF34">
        <f>AF32*2</f>
        <v>0.33987450138196934</v>
      </c>
      <c r="AG34">
        <f>IF(AF34&gt;=1,(AF34-1)*2,AF34*2)</f>
        <v>0.67974900276393868</v>
      </c>
      <c r="AH34">
        <f t="shared" ref="AH34:CI34" si="20">IF(AG34&gt;=1,(AG34-1)*2,AG34*2)</f>
        <v>1.3594980055278774</v>
      </c>
      <c r="AI34">
        <f t="shared" si="20"/>
        <v>0.71899601105575472</v>
      </c>
      <c r="AJ34">
        <f t="shared" si="20"/>
        <v>1.4379920221115094</v>
      </c>
      <c r="AK34">
        <f t="shared" si="20"/>
        <v>0.8759840442230189</v>
      </c>
      <c r="AL34">
        <f t="shared" si="20"/>
        <v>1.7519680884460378</v>
      </c>
      <c r="AM34">
        <f t="shared" si="20"/>
        <v>1.5039361768920756</v>
      </c>
      <c r="AN34">
        <f t="shared" si="20"/>
        <v>1.0078723537841512</v>
      </c>
      <c r="AO34">
        <f t="shared" si="20"/>
        <v>1.5744707568302374E-2</v>
      </c>
      <c r="AP34">
        <f t="shared" si="20"/>
        <v>3.1489415136604748E-2</v>
      </c>
      <c r="AQ34">
        <f t="shared" si="20"/>
        <v>6.2978830273209496E-2</v>
      </c>
      <c r="AR34">
        <f t="shared" si="20"/>
        <v>0.12595766054641899</v>
      </c>
      <c r="AS34">
        <f t="shared" si="20"/>
        <v>0.25191532109283798</v>
      </c>
      <c r="AT34">
        <f t="shared" si="20"/>
        <v>0.50383064218567597</v>
      </c>
      <c r="AU34">
        <f t="shared" si="20"/>
        <v>1.0076612843713519</v>
      </c>
      <c r="AV34">
        <f t="shared" si="20"/>
        <v>1.5322568742703879E-2</v>
      </c>
      <c r="AW34">
        <f t="shared" si="20"/>
        <v>3.0645137485407759E-2</v>
      </c>
      <c r="AX34">
        <f t="shared" si="20"/>
        <v>6.1290274970815517E-2</v>
      </c>
      <c r="AY34">
        <f t="shared" si="20"/>
        <v>0.12258054994163103</v>
      </c>
      <c r="AZ34">
        <f t="shared" si="20"/>
        <v>0.24516109988326207</v>
      </c>
      <c r="BA34">
        <f t="shared" si="20"/>
        <v>0.49032219976652414</v>
      </c>
      <c r="BB34">
        <f t="shared" si="20"/>
        <v>0.98064439953304827</v>
      </c>
      <c r="BC34">
        <f t="shared" si="20"/>
        <v>1.9612887990660965</v>
      </c>
      <c r="BD34">
        <f t="shared" si="20"/>
        <v>1.9225775981321931</v>
      </c>
      <c r="BE34">
        <f t="shared" si="20"/>
        <v>1.8451551962643862</v>
      </c>
      <c r="BF34">
        <f t="shared" si="20"/>
        <v>1.6903103925287724</v>
      </c>
      <c r="BG34">
        <f t="shared" si="20"/>
        <v>1.3806207850575447</v>
      </c>
      <c r="BH34">
        <f t="shared" si="20"/>
        <v>0.76124157011508942</v>
      </c>
      <c r="BI34">
        <f t="shared" si="20"/>
        <v>1.5224831402301788</v>
      </c>
      <c r="BJ34">
        <f t="shared" si="20"/>
        <v>1.0449662804603577</v>
      </c>
      <c r="BK34">
        <f t="shared" si="20"/>
        <v>8.9932560920715332E-2</v>
      </c>
      <c r="BL34">
        <f t="shared" si="20"/>
        <v>0.17986512184143066</v>
      </c>
      <c r="BM34">
        <f t="shared" si="20"/>
        <v>0.35973024368286133</v>
      </c>
      <c r="BN34">
        <f t="shared" si="20"/>
        <v>0.71946048736572266</v>
      </c>
      <c r="BO34">
        <f t="shared" si="20"/>
        <v>1.4389209747314453</v>
      </c>
      <c r="BP34">
        <f t="shared" si="20"/>
        <v>0.87784194946289063</v>
      </c>
      <c r="BQ34">
        <f t="shared" si="20"/>
        <v>1.7556838989257813</v>
      </c>
      <c r="BR34">
        <f t="shared" si="20"/>
        <v>1.5113677978515625</v>
      </c>
      <c r="BS34">
        <f t="shared" si="20"/>
        <v>1.022735595703125</v>
      </c>
      <c r="BT34">
        <f t="shared" si="20"/>
        <v>4.547119140625E-2</v>
      </c>
      <c r="BU34">
        <f t="shared" si="20"/>
        <v>9.09423828125E-2</v>
      </c>
      <c r="BV34">
        <f t="shared" si="20"/>
        <v>0.181884765625</v>
      </c>
      <c r="BW34">
        <f t="shared" si="20"/>
        <v>0.36376953125</v>
      </c>
      <c r="BX34">
        <f t="shared" si="20"/>
        <v>0.7275390625</v>
      </c>
      <c r="BY34">
        <f t="shared" si="20"/>
        <v>1.455078125</v>
      </c>
      <c r="BZ34">
        <f t="shared" si="20"/>
        <v>0.91015625</v>
      </c>
      <c r="CA34">
        <f t="shared" si="20"/>
        <v>1.8203125</v>
      </c>
      <c r="CB34">
        <f t="shared" si="20"/>
        <v>1.640625</v>
      </c>
      <c r="CC34">
        <f t="shared" si="20"/>
        <v>1.28125</v>
      </c>
      <c r="CD34">
        <f t="shared" si="20"/>
        <v>0.5625</v>
      </c>
      <c r="CE34">
        <f t="shared" si="20"/>
        <v>1.125</v>
      </c>
      <c r="CF34">
        <f t="shared" si="20"/>
        <v>0.25</v>
      </c>
      <c r="CG34">
        <f t="shared" si="20"/>
        <v>0.5</v>
      </c>
      <c r="CH34">
        <f t="shared" si="20"/>
        <v>1</v>
      </c>
      <c r="CI34">
        <f t="shared" si="20"/>
        <v>0</v>
      </c>
    </row>
    <row r="35" spans="1:87" ht="15.75" x14ac:dyDescent="0.25">
      <c r="A35" s="1" t="s">
        <v>7</v>
      </c>
      <c r="B35" s="2">
        <v>9.5890410958904104E-2</v>
      </c>
      <c r="C35" s="2">
        <v>1.3698630136986301E-2</v>
      </c>
      <c r="D35" s="2">
        <v>2.7397260273972601E-2</v>
      </c>
      <c r="E35" s="2">
        <v>1.3698630136986301E-2</v>
      </c>
      <c r="F35" s="19">
        <v>4.1095890410958902E-2</v>
      </c>
      <c r="G35" s="2">
        <v>0.16438356164383561</v>
      </c>
      <c r="H35" s="2">
        <v>0.13698630136986301</v>
      </c>
      <c r="I35" s="2">
        <v>8.2191780821917804E-2</v>
      </c>
      <c r="J35" s="2">
        <v>9.5890410958904104E-2</v>
      </c>
      <c r="K35" s="2">
        <v>5.4794520547945202E-2</v>
      </c>
      <c r="L35" s="2">
        <v>1.3698630136986301E-2</v>
      </c>
      <c r="M35" s="2">
        <v>9.5890410958904104E-2</v>
      </c>
      <c r="N35" s="2">
        <v>2.7397260273972601E-2</v>
      </c>
      <c r="O35" s="2">
        <v>5.4794520547945202E-2</v>
      </c>
      <c r="P35" s="2">
        <v>8.2191780821917804E-2</v>
      </c>
      <c r="AB35">
        <v>16</v>
      </c>
      <c r="AC35">
        <f t="shared" si="8"/>
        <v>1.52587890625E-5</v>
      </c>
      <c r="AD35" t="str">
        <f t="shared" si="9"/>
        <v>no</v>
      </c>
      <c r="AF35" s="12">
        <f>IF(AF34&gt;=1,1,0)</f>
        <v>0</v>
      </c>
      <c r="AG35" s="12">
        <f>IF(AG34&gt;=1,1,0)</f>
        <v>0</v>
      </c>
      <c r="AH35" s="12">
        <f t="shared" ref="AH35:CI35" si="21">IF(AH34&gt;=1,1,0)</f>
        <v>1</v>
      </c>
      <c r="AI35" s="12">
        <f t="shared" si="21"/>
        <v>0</v>
      </c>
      <c r="AJ35" s="12">
        <f t="shared" si="21"/>
        <v>1</v>
      </c>
      <c r="AK35" s="12">
        <f t="shared" si="21"/>
        <v>0</v>
      </c>
      <c r="AL35" s="12">
        <f t="shared" si="21"/>
        <v>1</v>
      </c>
      <c r="AM35" s="12">
        <f t="shared" si="21"/>
        <v>1</v>
      </c>
      <c r="AN35" s="12">
        <f t="shared" si="21"/>
        <v>1</v>
      </c>
      <c r="AO35" s="12">
        <f t="shared" si="21"/>
        <v>0</v>
      </c>
      <c r="AP35" s="12">
        <f t="shared" si="21"/>
        <v>0</v>
      </c>
      <c r="AQ35" s="12">
        <f t="shared" si="21"/>
        <v>0</v>
      </c>
      <c r="AR35" s="12">
        <f t="shared" si="21"/>
        <v>0</v>
      </c>
      <c r="AS35" s="12">
        <f t="shared" si="21"/>
        <v>0</v>
      </c>
      <c r="AT35" s="12">
        <f t="shared" si="21"/>
        <v>0</v>
      </c>
      <c r="AU35" s="12">
        <f t="shared" si="21"/>
        <v>1</v>
      </c>
      <c r="AV35" s="12">
        <f t="shared" si="21"/>
        <v>0</v>
      </c>
      <c r="AW35" s="12">
        <f t="shared" si="21"/>
        <v>0</v>
      </c>
      <c r="AX35" s="12">
        <f t="shared" si="21"/>
        <v>0</v>
      </c>
      <c r="AY35" s="12">
        <f t="shared" si="21"/>
        <v>0</v>
      </c>
      <c r="AZ35" s="12">
        <f t="shared" si="21"/>
        <v>0</v>
      </c>
      <c r="BA35" s="12">
        <f t="shared" si="21"/>
        <v>0</v>
      </c>
      <c r="BB35" s="12">
        <f t="shared" si="21"/>
        <v>0</v>
      </c>
      <c r="BC35" s="12">
        <f t="shared" si="21"/>
        <v>1</v>
      </c>
      <c r="BD35" s="12">
        <f t="shared" si="21"/>
        <v>1</v>
      </c>
      <c r="BE35" s="12">
        <f t="shared" si="21"/>
        <v>1</v>
      </c>
      <c r="BF35" s="12">
        <f t="shared" si="21"/>
        <v>1</v>
      </c>
      <c r="BG35" s="12">
        <f t="shared" si="21"/>
        <v>1</v>
      </c>
      <c r="BH35" s="12">
        <f t="shared" si="21"/>
        <v>0</v>
      </c>
      <c r="BI35" s="12">
        <f t="shared" si="21"/>
        <v>1</v>
      </c>
      <c r="BJ35" s="12">
        <f t="shared" si="21"/>
        <v>1</v>
      </c>
      <c r="BK35" s="12">
        <f t="shared" si="21"/>
        <v>0</v>
      </c>
      <c r="BL35" s="12">
        <f t="shared" si="21"/>
        <v>0</v>
      </c>
      <c r="BM35" s="12">
        <f t="shared" si="21"/>
        <v>0</v>
      </c>
      <c r="BN35" s="12">
        <f t="shared" si="21"/>
        <v>0</v>
      </c>
      <c r="BO35" s="12">
        <f t="shared" si="21"/>
        <v>1</v>
      </c>
      <c r="BP35" s="12">
        <f t="shared" si="21"/>
        <v>0</v>
      </c>
      <c r="BQ35" s="12">
        <f t="shared" si="21"/>
        <v>1</v>
      </c>
      <c r="BR35" s="12">
        <f t="shared" si="21"/>
        <v>1</v>
      </c>
      <c r="BS35" s="12">
        <f t="shared" si="21"/>
        <v>1</v>
      </c>
      <c r="BT35" s="12">
        <f t="shared" si="21"/>
        <v>0</v>
      </c>
      <c r="BU35" s="12">
        <f t="shared" si="21"/>
        <v>0</v>
      </c>
      <c r="BV35" s="12">
        <f t="shared" si="21"/>
        <v>0</v>
      </c>
      <c r="BW35" s="12">
        <f t="shared" si="21"/>
        <v>0</v>
      </c>
      <c r="BX35" s="12">
        <f t="shared" si="21"/>
        <v>0</v>
      </c>
      <c r="BY35" s="12">
        <f t="shared" si="21"/>
        <v>1</v>
      </c>
      <c r="BZ35" s="12">
        <f t="shared" si="21"/>
        <v>0</v>
      </c>
      <c r="CA35" s="12">
        <f t="shared" si="21"/>
        <v>1</v>
      </c>
      <c r="CB35" s="12">
        <f t="shared" si="21"/>
        <v>1</v>
      </c>
      <c r="CC35" s="12">
        <f t="shared" si="21"/>
        <v>1</v>
      </c>
      <c r="CD35" s="12">
        <f t="shared" si="21"/>
        <v>0</v>
      </c>
      <c r="CE35" s="12">
        <f t="shared" si="21"/>
        <v>1</v>
      </c>
      <c r="CF35" s="12">
        <f t="shared" si="21"/>
        <v>0</v>
      </c>
      <c r="CG35" s="12">
        <f t="shared" si="21"/>
        <v>0</v>
      </c>
      <c r="CH35" s="12">
        <f t="shared" si="21"/>
        <v>1</v>
      </c>
      <c r="CI35" s="12">
        <f t="shared" si="21"/>
        <v>0</v>
      </c>
    </row>
    <row r="36" spans="1:87" x14ac:dyDescent="0.25">
      <c r="F36" s="21"/>
      <c r="AB36">
        <v>17</v>
      </c>
      <c r="AC36">
        <f t="shared" si="8"/>
        <v>7.62939453125E-6</v>
      </c>
      <c r="AD36" t="str">
        <f t="shared" si="9"/>
        <v>si</v>
      </c>
    </row>
    <row r="37" spans="1:87" x14ac:dyDescent="0.25">
      <c r="B37" s="7" t="s">
        <v>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AB37">
        <v>18</v>
      </c>
      <c r="AC37">
        <f t="shared" si="8"/>
        <v>3.814697265625E-6</v>
      </c>
      <c r="AD37" t="str">
        <f t="shared" si="9"/>
        <v>si</v>
      </c>
      <c r="AE37" t="s">
        <v>24</v>
      </c>
      <c r="AF37" s="3">
        <v>0.16995204033939987</v>
      </c>
    </row>
    <row r="38" spans="1:87" x14ac:dyDescent="0.25">
      <c r="B38" s="2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1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</row>
    <row r="39" spans="1:87" ht="15.75" x14ac:dyDescent="0.25">
      <c r="A39" s="1" t="s">
        <v>23</v>
      </c>
      <c r="B39" s="2">
        <f>F33</f>
        <v>0.15068493150684931</v>
      </c>
      <c r="C39" s="2">
        <f>B40</f>
        <v>0.15462563332707824</v>
      </c>
      <c r="D39" s="2">
        <f t="shared" ref="D39:P39" si="22">C40</f>
        <v>0.15518859072996807</v>
      </c>
      <c r="E39" s="2">
        <f t="shared" si="22"/>
        <v>0.15631450553574777</v>
      </c>
      <c r="F39" s="2">
        <f t="shared" si="22"/>
        <v>0.15687746293863761</v>
      </c>
      <c r="G39" s="2">
        <f t="shared" si="22"/>
        <v>0.15856633514730714</v>
      </c>
      <c r="H39" s="19">
        <f t="shared" si="22"/>
        <v>0.16532182398198531</v>
      </c>
      <c r="I39" s="2">
        <f t="shared" si="22"/>
        <v>0.17095139801088377</v>
      </c>
      <c r="J39" s="2">
        <f t="shared" si="22"/>
        <v>0.17432914242822287</v>
      </c>
      <c r="K39" s="2">
        <f t="shared" si="22"/>
        <v>0.1782698442484518</v>
      </c>
      <c r="L39" s="2">
        <f t="shared" si="22"/>
        <v>0.18052167386001119</v>
      </c>
      <c r="M39" s="2">
        <f t="shared" si="22"/>
        <v>0.18108463126290103</v>
      </c>
      <c r="N39" s="2">
        <f t="shared" si="22"/>
        <v>0.18502533308312996</v>
      </c>
      <c r="O39" s="2">
        <f t="shared" si="22"/>
        <v>0.18615124788890966</v>
      </c>
      <c r="P39" s="2">
        <f t="shared" si="22"/>
        <v>0.18840307750046906</v>
      </c>
      <c r="AF39">
        <f>AF37*2</f>
        <v>0.33990408067879974</v>
      </c>
      <c r="AG39">
        <f>IF(AF39&gt;=1,(AF39-1)*2,AF39*2)</f>
        <v>0.67980816135759947</v>
      </c>
      <c r="AH39">
        <f t="shared" ref="AH39:CI39" si="23">IF(AG39&gt;=1,(AG39-1)*2,AG39*2)</f>
        <v>1.3596163227151989</v>
      </c>
      <c r="AI39">
        <f t="shared" si="23"/>
        <v>0.71923264543039789</v>
      </c>
      <c r="AJ39">
        <f t="shared" si="23"/>
        <v>1.4384652908607958</v>
      </c>
      <c r="AK39">
        <f t="shared" si="23"/>
        <v>0.87693058172159155</v>
      </c>
      <c r="AL39">
        <f t="shared" si="23"/>
        <v>1.7538611634431831</v>
      </c>
      <c r="AM39">
        <f t="shared" si="23"/>
        <v>1.5077223268863662</v>
      </c>
      <c r="AN39">
        <f t="shared" si="23"/>
        <v>1.0154446537727324</v>
      </c>
      <c r="AO39">
        <f t="shared" si="23"/>
        <v>3.0889307545464817E-2</v>
      </c>
      <c r="AP39">
        <f t="shared" si="23"/>
        <v>6.1778615090929634E-2</v>
      </c>
      <c r="AQ39">
        <f t="shared" si="23"/>
        <v>0.12355723018185927</v>
      </c>
      <c r="AR39">
        <f t="shared" si="23"/>
        <v>0.24711446036371854</v>
      </c>
      <c r="AS39">
        <f t="shared" si="23"/>
        <v>0.49422892072743707</v>
      </c>
      <c r="AT39">
        <f t="shared" si="23"/>
        <v>0.98845784145487414</v>
      </c>
      <c r="AU39">
        <f t="shared" si="23"/>
        <v>1.9769156829097483</v>
      </c>
      <c r="AV39">
        <f t="shared" si="23"/>
        <v>1.9538313658194966</v>
      </c>
      <c r="AW39">
        <f t="shared" si="23"/>
        <v>1.9076627316389931</v>
      </c>
      <c r="AX39">
        <f t="shared" si="23"/>
        <v>1.8153254632779863</v>
      </c>
      <c r="AY39">
        <f t="shared" si="23"/>
        <v>1.6306509265559725</v>
      </c>
      <c r="AZ39">
        <f t="shared" si="23"/>
        <v>1.2613018531119451</v>
      </c>
      <c r="BA39">
        <f t="shared" si="23"/>
        <v>0.52260370622389019</v>
      </c>
      <c r="BB39">
        <f t="shared" si="23"/>
        <v>1.0452074124477804</v>
      </c>
      <c r="BC39">
        <f t="shared" si="23"/>
        <v>9.0414824895560741E-2</v>
      </c>
      <c r="BD39">
        <f t="shared" si="23"/>
        <v>0.18082964979112148</v>
      </c>
      <c r="BE39">
        <f t="shared" si="23"/>
        <v>0.36165929958224297</v>
      </c>
      <c r="BF39">
        <f t="shared" si="23"/>
        <v>0.72331859916448593</v>
      </c>
      <c r="BG39">
        <f t="shared" si="23"/>
        <v>1.4466371983289719</v>
      </c>
      <c r="BH39">
        <f t="shared" si="23"/>
        <v>0.89327439665794373</v>
      </c>
      <c r="BI39">
        <f t="shared" si="23"/>
        <v>1.7865487933158875</v>
      </c>
      <c r="BJ39">
        <f t="shared" si="23"/>
        <v>1.5730975866317749</v>
      </c>
      <c r="BK39">
        <f t="shared" si="23"/>
        <v>1.1461951732635498</v>
      </c>
      <c r="BL39">
        <f t="shared" si="23"/>
        <v>0.29239034652709961</v>
      </c>
      <c r="BM39">
        <f t="shared" si="23"/>
        <v>0.58478069305419922</v>
      </c>
      <c r="BN39">
        <f t="shared" si="23"/>
        <v>1.1695613861083984</v>
      </c>
      <c r="BO39">
        <f t="shared" si="23"/>
        <v>0.33912277221679688</v>
      </c>
      <c r="BP39">
        <f t="shared" si="23"/>
        <v>0.67824554443359375</v>
      </c>
      <c r="BQ39">
        <f t="shared" si="23"/>
        <v>1.3564910888671875</v>
      </c>
      <c r="BR39">
        <f t="shared" si="23"/>
        <v>0.712982177734375</v>
      </c>
      <c r="BS39">
        <f t="shared" si="23"/>
        <v>1.42596435546875</v>
      </c>
      <c r="BT39">
        <f t="shared" si="23"/>
        <v>0.8519287109375</v>
      </c>
      <c r="BU39">
        <f t="shared" si="23"/>
        <v>1.703857421875</v>
      </c>
      <c r="BV39">
        <f t="shared" si="23"/>
        <v>1.40771484375</v>
      </c>
      <c r="BW39">
        <f t="shared" si="23"/>
        <v>0.8154296875</v>
      </c>
      <c r="BX39">
        <f t="shared" si="23"/>
        <v>1.630859375</v>
      </c>
      <c r="BY39">
        <f t="shared" si="23"/>
        <v>1.26171875</v>
      </c>
      <c r="BZ39">
        <f t="shared" si="23"/>
        <v>0.5234375</v>
      </c>
      <c r="CA39">
        <f t="shared" si="23"/>
        <v>1.046875</v>
      </c>
      <c r="CB39">
        <f t="shared" si="23"/>
        <v>9.375E-2</v>
      </c>
      <c r="CC39">
        <f t="shared" si="23"/>
        <v>0.1875</v>
      </c>
      <c r="CD39">
        <f t="shared" si="23"/>
        <v>0.375</v>
      </c>
      <c r="CE39">
        <f t="shared" si="23"/>
        <v>0.75</v>
      </c>
      <c r="CF39">
        <f t="shared" si="23"/>
        <v>1.5</v>
      </c>
      <c r="CG39">
        <f t="shared" si="23"/>
        <v>1</v>
      </c>
      <c r="CH39">
        <f t="shared" si="23"/>
        <v>0</v>
      </c>
      <c r="CI39">
        <f t="shared" si="23"/>
        <v>0</v>
      </c>
    </row>
    <row r="40" spans="1:87" ht="15.75" x14ac:dyDescent="0.25">
      <c r="A40" s="1" t="s">
        <v>24</v>
      </c>
      <c r="B40" s="2">
        <f>B39+B41</f>
        <v>0.15462563332707824</v>
      </c>
      <c r="C40" s="2">
        <f>C39+C41</f>
        <v>0.15518859072996807</v>
      </c>
      <c r="D40" s="2">
        <f t="shared" ref="D40:P40" si="24">D39+D41</f>
        <v>0.15631450553574777</v>
      </c>
      <c r="E40" s="2">
        <f t="shared" si="24"/>
        <v>0.15687746293863761</v>
      </c>
      <c r="F40" s="2">
        <f t="shared" si="24"/>
        <v>0.15856633514730714</v>
      </c>
      <c r="G40" s="2">
        <f t="shared" si="24"/>
        <v>0.16532182398198531</v>
      </c>
      <c r="H40" s="19">
        <f t="shared" si="24"/>
        <v>0.17095139801088377</v>
      </c>
      <c r="I40" s="2">
        <f t="shared" si="24"/>
        <v>0.17432914242822287</v>
      </c>
      <c r="J40" s="2">
        <f t="shared" si="24"/>
        <v>0.1782698442484518</v>
      </c>
      <c r="K40" s="2">
        <f t="shared" si="24"/>
        <v>0.18052167386001119</v>
      </c>
      <c r="L40" s="2">
        <f t="shared" si="24"/>
        <v>0.18108463126290103</v>
      </c>
      <c r="M40" s="2">
        <f t="shared" si="24"/>
        <v>0.18502533308312996</v>
      </c>
      <c r="N40" s="2">
        <f t="shared" si="24"/>
        <v>0.18615124788890966</v>
      </c>
      <c r="O40" s="2">
        <f t="shared" si="24"/>
        <v>0.18840307750046906</v>
      </c>
      <c r="P40" s="2">
        <f t="shared" si="24"/>
        <v>0.19178082191780815</v>
      </c>
      <c r="AF40" s="12">
        <f>IF(AF39&gt;=1,1,0)</f>
        <v>0</v>
      </c>
      <c r="AG40" s="12">
        <f>IF(AG39&gt;=1,1,0)</f>
        <v>0</v>
      </c>
      <c r="AH40" s="12">
        <f t="shared" ref="AH40:CI40" si="25">IF(AH39&gt;=1,1,0)</f>
        <v>1</v>
      </c>
      <c r="AI40" s="12">
        <f t="shared" si="25"/>
        <v>0</v>
      </c>
      <c r="AJ40" s="12">
        <f t="shared" si="25"/>
        <v>1</v>
      </c>
      <c r="AK40" s="12">
        <f t="shared" si="25"/>
        <v>0</v>
      </c>
      <c r="AL40" s="12">
        <f t="shared" si="25"/>
        <v>1</v>
      </c>
      <c r="AM40" s="12">
        <f t="shared" si="25"/>
        <v>1</v>
      </c>
      <c r="AN40" s="12">
        <f t="shared" si="25"/>
        <v>1</v>
      </c>
      <c r="AO40" s="12">
        <f t="shared" si="25"/>
        <v>0</v>
      </c>
      <c r="AP40" s="12">
        <f t="shared" si="25"/>
        <v>0</v>
      </c>
      <c r="AQ40" s="12">
        <f t="shared" si="25"/>
        <v>0</v>
      </c>
      <c r="AR40" s="12">
        <f t="shared" si="25"/>
        <v>0</v>
      </c>
      <c r="AS40" s="12">
        <f t="shared" si="25"/>
        <v>0</v>
      </c>
      <c r="AT40" s="12">
        <f t="shared" si="25"/>
        <v>0</v>
      </c>
      <c r="AU40" s="12">
        <f t="shared" si="25"/>
        <v>1</v>
      </c>
      <c r="AV40" s="12">
        <f t="shared" si="25"/>
        <v>1</v>
      </c>
      <c r="AW40" s="12">
        <f t="shared" si="25"/>
        <v>1</v>
      </c>
      <c r="AX40" s="12">
        <f t="shared" si="25"/>
        <v>1</v>
      </c>
      <c r="AY40" s="12">
        <f t="shared" si="25"/>
        <v>1</v>
      </c>
      <c r="AZ40" s="12">
        <f t="shared" si="25"/>
        <v>1</v>
      </c>
      <c r="BA40" s="12">
        <f t="shared" si="25"/>
        <v>0</v>
      </c>
      <c r="BB40" s="12">
        <f t="shared" si="25"/>
        <v>1</v>
      </c>
      <c r="BC40" s="12">
        <f t="shared" si="25"/>
        <v>0</v>
      </c>
      <c r="BD40" s="12">
        <f t="shared" si="25"/>
        <v>0</v>
      </c>
      <c r="BE40" s="12">
        <f t="shared" si="25"/>
        <v>0</v>
      </c>
      <c r="BF40" s="12">
        <f t="shared" si="25"/>
        <v>0</v>
      </c>
      <c r="BG40" s="12">
        <f t="shared" si="25"/>
        <v>1</v>
      </c>
      <c r="BH40" s="12">
        <f t="shared" si="25"/>
        <v>0</v>
      </c>
      <c r="BI40" s="12">
        <f t="shared" si="25"/>
        <v>1</v>
      </c>
      <c r="BJ40" s="12">
        <f t="shared" si="25"/>
        <v>1</v>
      </c>
      <c r="BK40" s="12">
        <f t="shared" si="25"/>
        <v>1</v>
      </c>
      <c r="BL40" s="12">
        <f t="shared" si="25"/>
        <v>0</v>
      </c>
      <c r="BM40" s="12">
        <f t="shared" si="25"/>
        <v>0</v>
      </c>
      <c r="BN40" s="12">
        <f t="shared" si="25"/>
        <v>1</v>
      </c>
      <c r="BO40" s="12">
        <f t="shared" si="25"/>
        <v>0</v>
      </c>
      <c r="BP40" s="12">
        <f t="shared" si="25"/>
        <v>0</v>
      </c>
      <c r="BQ40" s="12">
        <f t="shared" si="25"/>
        <v>1</v>
      </c>
      <c r="BR40" s="12">
        <f t="shared" si="25"/>
        <v>0</v>
      </c>
      <c r="BS40" s="12">
        <f t="shared" si="25"/>
        <v>1</v>
      </c>
      <c r="BT40" s="12">
        <f t="shared" si="25"/>
        <v>0</v>
      </c>
      <c r="BU40" s="12">
        <f t="shared" si="25"/>
        <v>1</v>
      </c>
      <c r="BV40" s="12">
        <f t="shared" si="25"/>
        <v>1</v>
      </c>
      <c r="BW40" s="12">
        <f t="shared" si="25"/>
        <v>0</v>
      </c>
      <c r="BX40" s="12">
        <f t="shared" si="25"/>
        <v>1</v>
      </c>
      <c r="BY40" s="12">
        <f t="shared" si="25"/>
        <v>1</v>
      </c>
      <c r="BZ40" s="12">
        <f t="shared" si="25"/>
        <v>0</v>
      </c>
      <c r="CA40" s="12">
        <f t="shared" si="25"/>
        <v>1</v>
      </c>
      <c r="CB40" s="12">
        <f t="shared" si="25"/>
        <v>0</v>
      </c>
      <c r="CC40" s="12">
        <f t="shared" si="25"/>
        <v>0</v>
      </c>
      <c r="CD40" s="12">
        <f t="shared" si="25"/>
        <v>0</v>
      </c>
      <c r="CE40" s="12">
        <f t="shared" si="25"/>
        <v>0</v>
      </c>
      <c r="CF40" s="12">
        <f t="shared" si="25"/>
        <v>1</v>
      </c>
      <c r="CG40" s="12">
        <f t="shared" si="25"/>
        <v>1</v>
      </c>
      <c r="CH40" s="12">
        <f t="shared" si="25"/>
        <v>0</v>
      </c>
      <c r="CI40" s="12">
        <f t="shared" si="25"/>
        <v>0</v>
      </c>
    </row>
    <row r="41" spans="1:87" ht="15.75" x14ac:dyDescent="0.25">
      <c r="A41" s="1" t="s">
        <v>7</v>
      </c>
      <c r="B41">
        <f>$F35*B3</f>
        <v>3.9407018202289356E-3</v>
      </c>
      <c r="C41">
        <f t="shared" ref="C41:P41" si="26">$F35*C3</f>
        <v>5.6295740288984789E-4</v>
      </c>
      <c r="D41">
        <f t="shared" si="26"/>
        <v>1.1259148057796958E-3</v>
      </c>
      <c r="E41">
        <f t="shared" si="26"/>
        <v>5.6295740288984789E-4</v>
      </c>
      <c r="F41">
        <f t="shared" si="26"/>
        <v>1.6888722086695438E-3</v>
      </c>
      <c r="G41">
        <f t="shared" si="26"/>
        <v>6.7554888346781751E-3</v>
      </c>
      <c r="H41" s="21">
        <f t="shared" si="26"/>
        <v>5.6295740288984791E-3</v>
      </c>
      <c r="I41">
        <f t="shared" si="26"/>
        <v>3.3777444173390876E-3</v>
      </c>
      <c r="J41">
        <f t="shared" si="26"/>
        <v>3.9407018202289356E-3</v>
      </c>
      <c r="K41">
        <f t="shared" si="26"/>
        <v>2.2518296115593916E-3</v>
      </c>
      <c r="L41">
        <f t="shared" si="26"/>
        <v>5.6295740288984789E-4</v>
      </c>
      <c r="M41">
        <f t="shared" si="26"/>
        <v>3.9407018202289356E-3</v>
      </c>
      <c r="N41">
        <f t="shared" si="26"/>
        <v>1.1259148057796958E-3</v>
      </c>
      <c r="O41">
        <f t="shared" si="26"/>
        <v>2.2518296115593916E-3</v>
      </c>
      <c r="P41">
        <f t="shared" si="26"/>
        <v>3.3777444173390876E-3</v>
      </c>
    </row>
    <row r="43" spans="1:87" x14ac:dyDescent="0.25">
      <c r="B43" s="7" t="s">
        <v>32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87" ht="15.75" x14ac:dyDescent="0.25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8" t="s">
        <v>12</v>
      </c>
      <c r="N44" s="1" t="s">
        <v>13</v>
      </c>
      <c r="O44" s="1" t="s">
        <v>14</v>
      </c>
      <c r="P44" s="1" t="s">
        <v>15</v>
      </c>
    </row>
    <row r="45" spans="1:87" ht="15.75" x14ac:dyDescent="0.25">
      <c r="A45" s="1" t="s">
        <v>23</v>
      </c>
      <c r="B45" s="2">
        <f>H39</f>
        <v>0.16532182398198531</v>
      </c>
      <c r="C45" s="2">
        <f>B46</f>
        <v>0.16586164614913995</v>
      </c>
      <c r="D45" s="2">
        <f t="shared" ref="D45:P45" si="27">C46</f>
        <v>0.16593876360159063</v>
      </c>
      <c r="E45" s="2">
        <f t="shared" si="27"/>
        <v>0.16609299850649195</v>
      </c>
      <c r="F45" s="2">
        <f t="shared" si="27"/>
        <v>0.16617011595894263</v>
      </c>
      <c r="G45" s="2">
        <f t="shared" si="27"/>
        <v>0.16640146831629463</v>
      </c>
      <c r="H45" s="2">
        <f t="shared" si="27"/>
        <v>0.1673268777457026</v>
      </c>
      <c r="I45" s="2">
        <f t="shared" si="27"/>
        <v>0.16809805227020924</v>
      </c>
      <c r="J45" s="2">
        <f t="shared" si="27"/>
        <v>0.16856075698491321</v>
      </c>
      <c r="K45" s="2">
        <f t="shared" si="27"/>
        <v>0.16910057915206786</v>
      </c>
      <c r="L45" s="2">
        <f t="shared" si="27"/>
        <v>0.16940904896187051</v>
      </c>
      <c r="M45" s="19">
        <f t="shared" si="27"/>
        <v>0.16948616641432118</v>
      </c>
      <c r="N45" s="2">
        <f t="shared" si="27"/>
        <v>0.17002598858147583</v>
      </c>
      <c r="O45" s="2">
        <f t="shared" si="27"/>
        <v>0.17018022348637715</v>
      </c>
      <c r="P45" s="2">
        <f t="shared" si="27"/>
        <v>0.1704886932961798</v>
      </c>
    </row>
    <row r="46" spans="1:87" ht="15.75" x14ac:dyDescent="0.25">
      <c r="A46" s="1" t="s">
        <v>24</v>
      </c>
      <c r="B46" s="2">
        <f>B45+B47</f>
        <v>0.16586164614913995</v>
      </c>
      <c r="C46" s="2">
        <f>C45+C47</f>
        <v>0.16593876360159063</v>
      </c>
      <c r="D46" s="2">
        <f t="shared" ref="D46:P46" si="28">D45+D47</f>
        <v>0.16609299850649195</v>
      </c>
      <c r="E46" s="2">
        <f t="shared" si="28"/>
        <v>0.16617011595894263</v>
      </c>
      <c r="F46" s="2">
        <f t="shared" si="28"/>
        <v>0.16640146831629463</v>
      </c>
      <c r="G46" s="2">
        <f t="shared" si="28"/>
        <v>0.1673268777457026</v>
      </c>
      <c r="H46" s="2">
        <f t="shared" si="28"/>
        <v>0.16809805227020924</v>
      </c>
      <c r="I46" s="2">
        <f t="shared" si="28"/>
        <v>0.16856075698491321</v>
      </c>
      <c r="J46" s="2">
        <f t="shared" si="28"/>
        <v>0.16910057915206786</v>
      </c>
      <c r="K46" s="2">
        <f t="shared" si="28"/>
        <v>0.16940904896187051</v>
      </c>
      <c r="L46" s="2">
        <f t="shared" si="28"/>
        <v>0.16948616641432118</v>
      </c>
      <c r="M46" s="19">
        <f t="shared" si="28"/>
        <v>0.17002598858147583</v>
      </c>
      <c r="N46" s="2">
        <f t="shared" si="28"/>
        <v>0.17018022348637715</v>
      </c>
      <c r="O46" s="2">
        <f t="shared" si="28"/>
        <v>0.1704886932961798</v>
      </c>
      <c r="P46" s="2">
        <f t="shared" si="28"/>
        <v>0.17095139801088377</v>
      </c>
    </row>
    <row r="47" spans="1:87" ht="15.75" x14ac:dyDescent="0.25">
      <c r="A47" s="1" t="s">
        <v>7</v>
      </c>
      <c r="B47" s="3">
        <f>$H41*B3</f>
        <v>5.3982216715464865E-4</v>
      </c>
      <c r="C47" s="3">
        <f t="shared" ref="C47:P47" si="29">$H41*C3</f>
        <v>7.7117452450664093E-5</v>
      </c>
      <c r="D47" s="3">
        <f t="shared" si="29"/>
        <v>1.5423490490132819E-4</v>
      </c>
      <c r="E47" s="3">
        <f t="shared" si="29"/>
        <v>7.7117452450664093E-5</v>
      </c>
      <c r="F47" s="3">
        <f t="shared" si="29"/>
        <v>2.3135235735199228E-4</v>
      </c>
      <c r="G47" s="3">
        <f t="shared" si="29"/>
        <v>9.2540942940796912E-4</v>
      </c>
      <c r="H47" s="3">
        <f t="shared" si="29"/>
        <v>7.7117452450664093E-4</v>
      </c>
      <c r="I47" s="3">
        <f t="shared" si="29"/>
        <v>4.6270471470398456E-4</v>
      </c>
      <c r="J47" s="3">
        <f t="shared" si="29"/>
        <v>5.3982216715464865E-4</v>
      </c>
      <c r="K47" s="3">
        <f t="shared" si="29"/>
        <v>3.0846980980265637E-4</v>
      </c>
      <c r="L47" s="3">
        <f t="shared" si="29"/>
        <v>7.7117452450664093E-5</v>
      </c>
      <c r="M47" s="22">
        <f t="shared" si="29"/>
        <v>5.3982216715464865E-4</v>
      </c>
      <c r="N47" s="3">
        <f t="shared" si="29"/>
        <v>1.5423490490132819E-4</v>
      </c>
      <c r="O47" s="3">
        <f t="shared" si="29"/>
        <v>3.0846980980265637E-4</v>
      </c>
      <c r="P47" s="3">
        <f t="shared" si="29"/>
        <v>4.6270471470398456E-4</v>
      </c>
    </row>
    <row r="49" spans="1:16" x14ac:dyDescent="0.25">
      <c r="B49" s="7" t="s">
        <v>33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s="21" t="s">
        <v>13</v>
      </c>
      <c r="O50" t="s">
        <v>14</v>
      </c>
      <c r="P50" t="s">
        <v>15</v>
      </c>
    </row>
    <row r="51" spans="1:16" ht="15.75" x14ac:dyDescent="0.25">
      <c r="A51" s="1" t="s">
        <v>23</v>
      </c>
      <c r="B51" s="2">
        <f>M45</f>
        <v>0.16948616641432118</v>
      </c>
      <c r="C51" s="2">
        <f>B52</f>
        <v>0.16953793018377436</v>
      </c>
      <c r="D51" s="2">
        <f t="shared" ref="D51:P51" si="30">C52</f>
        <v>0.16954532500798195</v>
      </c>
      <c r="E51" s="2">
        <f t="shared" si="30"/>
        <v>0.16956011465639714</v>
      </c>
      <c r="F51" s="2">
        <f t="shared" si="30"/>
        <v>0.16956750948060473</v>
      </c>
      <c r="G51" s="2">
        <f t="shared" si="30"/>
        <v>0.16958969395322751</v>
      </c>
      <c r="H51" s="2">
        <f t="shared" si="30"/>
        <v>0.1696784318437187</v>
      </c>
      <c r="I51" s="2">
        <f t="shared" si="30"/>
        <v>0.16975238008579469</v>
      </c>
      <c r="J51" s="2">
        <f t="shared" si="30"/>
        <v>0.16979674903104028</v>
      </c>
      <c r="K51" s="2">
        <f t="shared" si="30"/>
        <v>0.16984851280049346</v>
      </c>
      <c r="L51" s="2">
        <f t="shared" si="30"/>
        <v>0.16987809209732385</v>
      </c>
      <c r="M51" s="2">
        <f t="shared" si="30"/>
        <v>0.16988548692153144</v>
      </c>
      <c r="N51" s="23">
        <f t="shared" si="30"/>
        <v>0.16993725069098461</v>
      </c>
      <c r="O51" s="2">
        <f t="shared" si="30"/>
        <v>0.16995204033939981</v>
      </c>
      <c r="P51" s="2">
        <f t="shared" si="30"/>
        <v>0.16998161963623021</v>
      </c>
    </row>
    <row r="52" spans="1:16" ht="15.75" x14ac:dyDescent="0.25">
      <c r="A52" s="1" t="s">
        <v>24</v>
      </c>
      <c r="B52" s="2">
        <f>B51+B53</f>
        <v>0.16953793018377436</v>
      </c>
      <c r="C52" s="2">
        <f>C51+C53</f>
        <v>0.16954532500798195</v>
      </c>
      <c r="D52" s="2">
        <f t="shared" ref="D52:P52" si="31">D51+D53</f>
        <v>0.16956011465639714</v>
      </c>
      <c r="E52" s="2">
        <f t="shared" si="31"/>
        <v>0.16956750948060473</v>
      </c>
      <c r="F52" s="2">
        <f t="shared" si="31"/>
        <v>0.16958969395322751</v>
      </c>
      <c r="G52" s="2">
        <f t="shared" si="31"/>
        <v>0.1696784318437187</v>
      </c>
      <c r="H52" s="2">
        <f t="shared" si="31"/>
        <v>0.16975238008579469</v>
      </c>
      <c r="I52" s="2">
        <f t="shared" si="31"/>
        <v>0.16979674903104028</v>
      </c>
      <c r="J52" s="2">
        <f t="shared" si="31"/>
        <v>0.16984851280049346</v>
      </c>
      <c r="K52" s="2">
        <f t="shared" si="31"/>
        <v>0.16987809209732385</v>
      </c>
      <c r="L52" s="2">
        <f t="shared" si="31"/>
        <v>0.16988548692153144</v>
      </c>
      <c r="M52" s="2">
        <f t="shared" si="31"/>
        <v>0.16993725069098461</v>
      </c>
      <c r="N52" s="23">
        <f t="shared" si="31"/>
        <v>0.16995204033939981</v>
      </c>
      <c r="O52" s="2">
        <f t="shared" si="31"/>
        <v>0.16998161963623021</v>
      </c>
      <c r="P52" s="2">
        <f t="shared" si="31"/>
        <v>0.1700259885814758</v>
      </c>
    </row>
    <row r="53" spans="1:16" ht="15.75" x14ac:dyDescent="0.25">
      <c r="A53" s="1" t="s">
        <v>7</v>
      </c>
      <c r="B53" s="24">
        <f>$M47*B3</f>
        <v>5.1763769453185486E-5</v>
      </c>
      <c r="C53" s="24">
        <f t="shared" ref="C53:P53" si="32">$M47*C3</f>
        <v>7.3948242075979266E-6</v>
      </c>
      <c r="D53" s="24">
        <f t="shared" si="32"/>
        <v>1.4789648415195853E-5</v>
      </c>
      <c r="E53" s="24">
        <f t="shared" si="32"/>
        <v>7.3948242075979266E-6</v>
      </c>
      <c r="F53" s="24">
        <f t="shared" si="32"/>
        <v>2.2184472622793779E-5</v>
      </c>
      <c r="G53" s="24">
        <f t="shared" si="32"/>
        <v>8.8737890491175116E-5</v>
      </c>
      <c r="H53" s="24">
        <f t="shared" si="32"/>
        <v>7.3948242075979261E-5</v>
      </c>
      <c r="I53" s="24">
        <f t="shared" si="32"/>
        <v>4.4368945245587558E-5</v>
      </c>
      <c r="J53" s="24">
        <f t="shared" si="32"/>
        <v>5.1763769453185486E-5</v>
      </c>
      <c r="K53" s="24">
        <f t="shared" si="32"/>
        <v>2.9579296830391707E-5</v>
      </c>
      <c r="L53" s="24">
        <f t="shared" si="32"/>
        <v>7.3948242075979266E-6</v>
      </c>
      <c r="M53" s="24">
        <f t="shared" si="32"/>
        <v>5.1763769453185486E-5</v>
      </c>
      <c r="N53" s="25">
        <f t="shared" si="32"/>
        <v>1.4789648415195853E-5</v>
      </c>
      <c r="O53" s="24">
        <f t="shared" si="32"/>
        <v>2.9579296830391707E-5</v>
      </c>
      <c r="P53" s="24">
        <f t="shared" si="32"/>
        <v>4.4368945245587558E-5</v>
      </c>
    </row>
  </sheetData>
  <mergeCells count="6">
    <mergeCell ref="B12:P12"/>
    <mergeCell ref="B18:P18"/>
    <mergeCell ref="B24:P24"/>
    <mergeCell ref="B37:P37"/>
    <mergeCell ref="B43:P43"/>
    <mergeCell ref="B49:P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ERICK AXEL SANCHEZ ARANDA</cp:lastModifiedBy>
  <dcterms:created xsi:type="dcterms:W3CDTF">2025-11-26T04:28:42Z</dcterms:created>
  <dcterms:modified xsi:type="dcterms:W3CDTF">2025-11-26T04:32:30Z</dcterms:modified>
</cp:coreProperties>
</file>
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vi\Documents\8vo Semestre\Teoria de la Informacion y Metodos de Codificacion\AF3\"/>
    </mc:Choice>
  </mc:AlternateContent>
  <xr:revisionPtr revIDLastSave="0" documentId="13_ncr:1_{7B673A41-9D0B-4D3C-8561-0BD0E7C4A2B2}" xr6:coauthVersionLast="47" xr6:coauthVersionMax="47" xr10:uidLastSave="{00000000-0000-0000-0000-000000000000}"/>
  <bookViews>
    <workbookView xWindow="-108" yWindow="-108" windowWidth="23256" windowHeight="12456" activeTab="1" xr2:uid="{F1E2524B-D85E-41DA-B294-2B114B6D7F7B}"/>
  </bookViews>
  <sheets>
    <sheet name="Codigo Aritmetico" sheetId="1" r:id="rId1"/>
    <sheet name="Metodo 1" sheetId="2" r:id="rId2"/>
    <sheet name="Hoj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6" i="1" l="1"/>
  <c r="Z27" i="1" s="1"/>
  <c r="AA26" i="1" s="1"/>
  <c r="AA27" i="1" s="1"/>
  <c r="AB26" i="1" s="1"/>
  <c r="AB27" i="1" s="1"/>
  <c r="AC26" i="1" s="1"/>
  <c r="AC27" i="1" s="1"/>
  <c r="AD26" i="1" s="1"/>
  <c r="AD27" i="1" s="1"/>
  <c r="AE26" i="1" s="1"/>
  <c r="AE27" i="1" s="1"/>
  <c r="AF26" i="1" s="1"/>
  <c r="AF27" i="1" s="1"/>
  <c r="AG26" i="1" s="1"/>
  <c r="AG27" i="1" s="1"/>
  <c r="AH26" i="1" s="1"/>
  <c r="AH27" i="1" s="1"/>
  <c r="AI26" i="1" s="1"/>
  <c r="AI27" i="1" s="1"/>
  <c r="AJ26" i="1" s="1"/>
  <c r="AJ27" i="1" s="1"/>
  <c r="AK26" i="1" s="1"/>
  <c r="AK27" i="1" s="1"/>
  <c r="AL26" i="1" s="1"/>
  <c r="AL27" i="1" s="1"/>
  <c r="AM26" i="1" s="1"/>
  <c r="AM27" i="1" s="1"/>
  <c r="AN26" i="1" s="1"/>
  <c r="AN27" i="1" s="1"/>
  <c r="AO26" i="1" s="1"/>
  <c r="AO27" i="1" s="1"/>
  <c r="AP26" i="1" s="1"/>
  <c r="AP27" i="1" s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Z25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Z19" i="1"/>
  <c r="Z21" i="1" s="1"/>
  <c r="AA20" i="1" s="1"/>
  <c r="Z20" i="1"/>
  <c r="L15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Z13" i="1"/>
  <c r="Z15" i="1" s="1"/>
  <c r="AA14" i="1" s="1"/>
  <c r="AA15" i="1" s="1"/>
  <c r="AB14" i="1" s="1"/>
  <c r="AB15" i="1" s="1"/>
  <c r="AC14" i="1" s="1"/>
  <c r="AC15" i="1" s="1"/>
  <c r="AD14" i="1" s="1"/>
  <c r="AD15" i="1" s="1"/>
  <c r="AE14" i="1" s="1"/>
  <c r="AE15" i="1" s="1"/>
  <c r="AF14" i="1" s="1"/>
  <c r="AF15" i="1" s="1"/>
  <c r="AG14" i="1" s="1"/>
  <c r="AG15" i="1" s="1"/>
  <c r="AH14" i="1" s="1"/>
  <c r="AH15" i="1" s="1"/>
  <c r="AI14" i="1" s="1"/>
  <c r="AI15" i="1" s="1"/>
  <c r="AJ14" i="1" s="1"/>
  <c r="AJ15" i="1" s="1"/>
  <c r="AK14" i="1" s="1"/>
  <c r="AK15" i="1" s="1"/>
  <c r="AL14" i="1" s="1"/>
  <c r="AL15" i="1" s="1"/>
  <c r="AM14" i="1" s="1"/>
  <c r="AM15" i="1" s="1"/>
  <c r="AN14" i="1" s="1"/>
  <c r="AN15" i="1" s="1"/>
  <c r="AO14" i="1" s="1"/>
  <c r="AO15" i="1" s="1"/>
  <c r="AP14" i="1" s="1"/>
  <c r="AP15" i="1" s="1"/>
  <c r="Z14" i="1"/>
  <c r="Z9" i="1"/>
  <c r="AA8" i="1" s="1"/>
  <c r="AA9" i="1" s="1"/>
  <c r="AB8" i="1" s="1"/>
  <c r="AB9" i="1" s="1"/>
  <c r="AC8" i="1" s="1"/>
  <c r="AC9" i="1" s="1"/>
  <c r="AD8" i="1" s="1"/>
  <c r="AD9" i="1" s="1"/>
  <c r="AE8" i="1" s="1"/>
  <c r="AE9" i="1" s="1"/>
  <c r="AF8" i="1" s="1"/>
  <c r="AF9" i="1" s="1"/>
  <c r="AG8" i="1" s="1"/>
  <c r="AG9" i="1" s="1"/>
  <c r="AH8" i="1" s="1"/>
  <c r="AH9" i="1" s="1"/>
  <c r="AI8" i="1" s="1"/>
  <c r="AI9" i="1" s="1"/>
  <c r="AJ8" i="1" s="1"/>
  <c r="AJ9" i="1" s="1"/>
  <c r="AK8" i="1" s="1"/>
  <c r="AK9" i="1" s="1"/>
  <c r="AL8" i="1" s="1"/>
  <c r="AL9" i="1" s="1"/>
  <c r="AM8" i="1" s="1"/>
  <c r="AM9" i="1" s="1"/>
  <c r="AN8" i="1" s="1"/>
  <c r="AN9" i="1" s="1"/>
  <c r="AO8" i="1" s="1"/>
  <c r="AO9" i="1" s="1"/>
  <c r="AP8" i="1" s="1"/>
  <c r="AP9" i="1" s="1"/>
  <c r="Z8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L16" i="1"/>
  <c r="I30" i="1"/>
  <c r="I29" i="1"/>
  <c r="J29" i="1"/>
  <c r="J30" i="1" s="1"/>
  <c r="K29" i="1" s="1"/>
  <c r="K30" i="1" s="1"/>
  <c r="L29" i="1" s="1"/>
  <c r="L30" i="1" s="1"/>
  <c r="M29" i="1" s="1"/>
  <c r="M30" i="1" s="1"/>
  <c r="N29" i="1" s="1"/>
  <c r="N30" i="1" s="1"/>
  <c r="O29" i="1" s="1"/>
  <c r="O30" i="1" s="1"/>
  <c r="P29" i="1" s="1"/>
  <c r="P30" i="1" s="1"/>
  <c r="Q29" i="1" s="1"/>
  <c r="Q30" i="1" s="1"/>
  <c r="R29" i="1" s="1"/>
  <c r="R30" i="1" s="1"/>
  <c r="S29" i="1" s="1"/>
  <c r="S30" i="1" s="1"/>
  <c r="T29" i="1" s="1"/>
  <c r="T30" i="1" s="1"/>
  <c r="U29" i="1" s="1"/>
  <c r="U30" i="1" s="1"/>
  <c r="V29" i="1" s="1"/>
  <c r="V30" i="1" s="1"/>
  <c r="W29" i="1" s="1"/>
  <c r="W30" i="1" s="1"/>
  <c r="H30" i="1"/>
  <c r="H29" i="1"/>
  <c r="G29" i="1"/>
  <c r="G30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G28" i="1"/>
  <c r="G8" i="1"/>
  <c r="G9" i="1" s="1"/>
  <c r="H8" i="1" s="1"/>
  <c r="U7" i="1"/>
  <c r="T7" i="1"/>
  <c r="S7" i="1"/>
  <c r="R7" i="1"/>
  <c r="Q7" i="1"/>
  <c r="P7" i="1"/>
  <c r="O7" i="1"/>
  <c r="N7" i="1"/>
  <c r="M7" i="1"/>
  <c r="V7" i="1"/>
  <c r="G7" i="1"/>
  <c r="W7" i="1"/>
  <c r="D8" i="1"/>
  <c r="D9" i="1"/>
  <c r="D10" i="1"/>
  <c r="D11" i="1"/>
  <c r="D12" i="1"/>
  <c r="D13" i="1"/>
  <c r="D14" i="1"/>
  <c r="D15" i="1"/>
  <c r="D16" i="1"/>
  <c r="D17" i="1"/>
  <c r="D18" i="1"/>
  <c r="D19" i="1"/>
  <c r="C24" i="1"/>
  <c r="D7" i="1" s="1"/>
  <c r="AA21" i="1" l="1"/>
  <c r="AB20" i="1" s="1"/>
  <c r="AB21" i="1" s="1"/>
  <c r="AC20" i="1" s="1"/>
  <c r="AC21" i="1" s="1"/>
  <c r="AD20" i="1" s="1"/>
  <c r="AD21" i="1" s="1"/>
  <c r="AE20" i="1" s="1"/>
  <c r="AE21" i="1" s="1"/>
  <c r="AF20" i="1" s="1"/>
  <c r="AF21" i="1" s="1"/>
  <c r="AG20" i="1" s="1"/>
  <c r="AG21" i="1" s="1"/>
  <c r="AH20" i="1" s="1"/>
  <c r="AH21" i="1" s="1"/>
  <c r="AI20" i="1" s="1"/>
  <c r="AI21" i="1" s="1"/>
  <c r="AJ20" i="1" s="1"/>
  <c r="AJ21" i="1" s="1"/>
  <c r="AK20" i="1" s="1"/>
  <c r="AK21" i="1" s="1"/>
  <c r="AL20" i="1" s="1"/>
  <c r="AL21" i="1" s="1"/>
  <c r="AM20" i="1" s="1"/>
  <c r="AM21" i="1" s="1"/>
  <c r="AN20" i="1" s="1"/>
  <c r="AN21" i="1" s="1"/>
  <c r="AO20" i="1" s="1"/>
  <c r="AO21" i="1" s="1"/>
  <c r="AP20" i="1" s="1"/>
  <c r="AP21" i="1" s="1"/>
  <c r="H7" i="1"/>
  <c r="H9" i="1" s="1"/>
  <c r="I8" i="1" s="1"/>
  <c r="I9" i="1" s="1"/>
  <c r="J8" i="1" s="1"/>
  <c r="J9" i="1" s="1"/>
  <c r="K8" i="1" s="1"/>
  <c r="D23" i="1"/>
  <c r="I7" i="1"/>
  <c r="D22" i="1"/>
  <c r="J7" i="1"/>
  <c r="D21" i="1"/>
  <c r="K7" i="1"/>
  <c r="D20" i="1"/>
  <c r="L7" i="1"/>
  <c r="K9" i="1" l="1"/>
  <c r="L8" i="1" s="1"/>
  <c r="L9" i="1" s="1"/>
  <c r="M8" i="1" s="1"/>
  <c r="M9" i="1" s="1"/>
  <c r="N8" i="1" s="1"/>
  <c r="N9" i="1" s="1"/>
  <c r="O8" i="1" s="1"/>
  <c r="G15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O9" i="1" l="1"/>
  <c r="P8" i="1" s="1"/>
  <c r="P9" i="1" s="1"/>
  <c r="Q8" i="1" s="1"/>
  <c r="Q9" i="1" s="1"/>
  <c r="R8" i="1" s="1"/>
  <c r="R9" i="1" s="1"/>
  <c r="S8" i="1" s="1"/>
  <c r="S9" i="1" s="1"/>
  <c r="T8" i="1" s="1"/>
  <c r="T9" i="1" s="1"/>
  <c r="U8" i="1" s="1"/>
  <c r="U9" i="1" s="1"/>
  <c r="V8" i="1" s="1"/>
  <c r="V9" i="1" s="1"/>
  <c r="W8" i="1" s="1"/>
  <c r="W9" i="1" s="1"/>
  <c r="G16" i="1"/>
  <c r="H15" i="1" s="1"/>
  <c r="H16" i="1" s="1"/>
  <c r="I15" i="1" s="1"/>
  <c r="I16" i="1" s="1"/>
  <c r="J15" i="1" s="1"/>
  <c r="J16" i="1" s="1"/>
  <c r="K15" i="1" s="1"/>
  <c r="K16" i="1" s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H21" i="1"/>
  <c r="G21" i="1"/>
  <c r="M15" i="1" l="1"/>
  <c r="M16" i="1" s="1"/>
  <c r="N15" i="1" s="1"/>
  <c r="N16" i="1" s="1"/>
  <c r="O15" i="1" s="1"/>
  <c r="O16" i="1" s="1"/>
  <c r="P15" i="1" s="1"/>
  <c r="P16" i="1" s="1"/>
  <c r="Q15" i="1" s="1"/>
  <c r="Q16" i="1" s="1"/>
  <c r="R15" i="1" s="1"/>
  <c r="R16" i="1" s="1"/>
  <c r="S15" i="1" s="1"/>
  <c r="S16" i="1" s="1"/>
  <c r="T15" i="1" s="1"/>
  <c r="T16" i="1" s="1"/>
  <c r="U15" i="1" s="1"/>
  <c r="U16" i="1" s="1"/>
  <c r="V15" i="1" s="1"/>
  <c r="V16" i="1" s="1"/>
  <c r="W15" i="1" s="1"/>
  <c r="W16" i="1" s="1"/>
  <c r="G22" i="1"/>
  <c r="G23" i="1" s="1"/>
  <c r="H22" i="1" s="1"/>
  <c r="H23" i="1" s="1"/>
  <c r="I22" i="1" s="1"/>
  <c r="I23" i="1" s="1"/>
  <c r="J22" i="1" s="1"/>
  <c r="J23" i="1" s="1"/>
  <c r="K22" i="1" s="1"/>
  <c r="K23" i="1" s="1"/>
  <c r="L22" i="1" s="1"/>
  <c r="L23" i="1" s="1"/>
  <c r="M22" i="1" s="1"/>
  <c r="M23" i="1" s="1"/>
  <c r="N22" i="1" s="1"/>
  <c r="N23" i="1" s="1"/>
  <c r="O22" i="1" s="1"/>
  <c r="O23" i="1" s="1"/>
  <c r="P22" i="1" s="1"/>
  <c r="P23" i="1" s="1"/>
  <c r="Q22" i="1" s="1"/>
  <c r="Q23" i="1" s="1"/>
  <c r="R22" i="1" s="1"/>
  <c r="R23" i="1" s="1"/>
  <c r="S22" i="1" s="1"/>
  <c r="S23" i="1" s="1"/>
  <c r="T22" i="1" s="1"/>
  <c r="T23" i="1" s="1"/>
  <c r="U22" i="1" s="1"/>
  <c r="U23" i="1" s="1"/>
  <c r="V22" i="1" s="1"/>
  <c r="V23" i="1" s="1"/>
  <c r="W22" i="1" s="1"/>
  <c r="W23" i="1" s="1"/>
</calcChain>
</file>

<file path=xl/sharedStrings.xml><?xml version="1.0" encoding="utf-8"?>
<sst xmlns="http://schemas.openxmlformats.org/spreadsheetml/2006/main" count="183" uniqueCount="24">
  <si>
    <t>Una corona di spine Sara il dress-code per la mia festa</t>
  </si>
  <si>
    <t>a</t>
  </si>
  <si>
    <t>á</t>
  </si>
  <si>
    <t>c</t>
  </si>
  <si>
    <t>d</t>
  </si>
  <si>
    <t>e</t>
  </si>
  <si>
    <t>f</t>
  </si>
  <si>
    <t>i</t>
  </si>
  <si>
    <t>l</t>
  </si>
  <si>
    <t>m</t>
  </si>
  <si>
    <t>n</t>
  </si>
  <si>
    <t>o</t>
  </si>
  <si>
    <t>p</t>
  </si>
  <si>
    <t>r</t>
  </si>
  <si>
    <t>s</t>
  </si>
  <si>
    <t>t</t>
  </si>
  <si>
    <t>u</t>
  </si>
  <si>
    <t xml:space="preserve"> -</t>
  </si>
  <si>
    <t>Alfa</t>
  </si>
  <si>
    <t>Beta</t>
  </si>
  <si>
    <t>fime</t>
  </si>
  <si>
    <t>1949877 → dref</t>
  </si>
  <si>
    <t>La codificacion se tiene que aase la codificacion binaria por todos los niveles y todos los intervallos por la palabra de mayor longitud</t>
  </si>
  <si>
    <t>Hacer programa para que el hecho de no hacerlo a mano en examne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</si>
</sst>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"/>
    <numFmt numFmtId="166" formatCode="0.00000000"/>
    <numFmt numFmtId="170" formatCode="0.0E+00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5" fontId="0" fillId="4" borderId="0" xfId="0" applyNumberFormat="1" applyFill="1"/>
    <xf numFmtId="165" fontId="0" fillId="0" borderId="0" xfId="0" applyNumberFormat="1"/>
    <xf numFmtId="0" fontId="0" fillId="5" borderId="0" xfId="0" applyFill="1"/>
    <xf numFmtId="166" fontId="0" fillId="3" borderId="0" xfId="0" applyNumberFormat="1" applyFill="1"/>
    <xf numFmtId="165" fontId="0" fillId="5" borderId="0" xfId="0" applyNumberFormat="1" applyFill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6816-4E95-4B49-BD49-3AC4DCF132E4}">
  <dimension ref="B3:AP30"/>
  <sheetViews>
    <sheetView topLeftCell="A16" zoomScale="91" workbookViewId="0">
      <selection activeCell="J28" sqref="J28:J30"/>
    </sheetView>
  </sheetViews>
  <sheetFormatPr baseColWidth="10" defaultRowHeight="14.4" x14ac:dyDescent="0.3"/>
  <cols>
    <col min="6" max="6" width="4.6640625" bestFit="1" customWidth="1"/>
    <col min="7" max="7" width="12" bestFit="1" customWidth="1"/>
    <col min="8" max="9" width="8.21875" bestFit="1" customWidth="1"/>
    <col min="10" max="10" width="11.44140625" bestFit="1" customWidth="1"/>
    <col min="11" max="11" width="8.21875" bestFit="1" customWidth="1"/>
    <col min="12" max="12" width="13.21875" bestFit="1" customWidth="1"/>
    <col min="13" max="13" width="8.21875" bestFit="1" customWidth="1"/>
    <col min="14" max="14" width="13.21875" bestFit="1" customWidth="1"/>
    <col min="15" max="22" width="8.21875" bestFit="1" customWidth="1"/>
    <col min="23" max="23" width="13.21875" bestFit="1" customWidth="1"/>
    <col min="26" max="26" width="13.21875" bestFit="1" customWidth="1"/>
  </cols>
  <sheetData>
    <row r="3" spans="2:42" x14ac:dyDescent="0.3">
      <c r="B3" t="s">
        <v>0</v>
      </c>
    </row>
    <row r="4" spans="2:42" x14ac:dyDescent="0.3">
      <c r="F4" t="s">
        <v>20</v>
      </c>
      <c r="Y4" t="s">
        <v>21</v>
      </c>
    </row>
    <row r="6" spans="2:42" x14ac:dyDescent="0.3">
      <c r="G6" t="s">
        <v>1</v>
      </c>
      <c r="H6" t="s">
        <v>3</v>
      </c>
      <c r="I6" t="s">
        <v>4</v>
      </c>
      <c r="J6" t="s">
        <v>5</v>
      </c>
      <c r="K6" t="s">
        <v>6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13</v>
      </c>
      <c r="S6" t="s">
        <v>14</v>
      </c>
      <c r="T6" t="s">
        <v>15</v>
      </c>
      <c r="U6" t="s">
        <v>16</v>
      </c>
      <c r="V6" t="s">
        <v>2</v>
      </c>
      <c r="W6" t="s">
        <v>17</v>
      </c>
      <c r="Z6" t="s">
        <v>1</v>
      </c>
      <c r="AA6" t="s">
        <v>3</v>
      </c>
      <c r="AB6" t="s">
        <v>4</v>
      </c>
      <c r="AC6" t="s">
        <v>5</v>
      </c>
      <c r="AD6" t="s">
        <v>6</v>
      </c>
      <c r="AE6" t="s">
        <v>7</v>
      </c>
      <c r="AF6" t="s">
        <v>8</v>
      </c>
      <c r="AG6" t="s">
        <v>9</v>
      </c>
      <c r="AH6" t="s">
        <v>10</v>
      </c>
      <c r="AI6" t="s">
        <v>11</v>
      </c>
      <c r="AJ6" t="s">
        <v>12</v>
      </c>
      <c r="AK6" t="s">
        <v>13</v>
      </c>
      <c r="AL6" t="s">
        <v>14</v>
      </c>
      <c r="AM6" t="s">
        <v>15</v>
      </c>
      <c r="AN6" t="s">
        <v>16</v>
      </c>
      <c r="AO6" t="s">
        <v>2</v>
      </c>
      <c r="AP6" t="s">
        <v>17</v>
      </c>
    </row>
    <row r="7" spans="2:42" x14ac:dyDescent="0.3">
      <c r="B7" t="s">
        <v>17</v>
      </c>
      <c r="C7">
        <v>1</v>
      </c>
      <c r="D7">
        <f>$C7/$C$24</f>
        <v>2.2222222222222223E-2</v>
      </c>
      <c r="F7" t="s">
        <v>8</v>
      </c>
      <c r="G7">
        <f>$C8/$C$24</f>
        <v>0.13333333333333333</v>
      </c>
      <c r="H7">
        <f>$C10/$C$24</f>
        <v>4.4444444444444446E-2</v>
      </c>
      <c r="I7">
        <f>$C11/$C$24</f>
        <v>6.6666666666666666E-2</v>
      </c>
      <c r="J7">
        <f>$C12/$C$24</f>
        <v>0.1111111111111111</v>
      </c>
      <c r="K7">
        <f>$C13/$C$24</f>
        <v>2.2222222222222223E-2</v>
      </c>
      <c r="L7">
        <f>$C14/$C$24</f>
        <v>8.8888888888888892E-2</v>
      </c>
      <c r="M7">
        <f>$C15/$C$24</f>
        <v>4.4444444444444446E-2</v>
      </c>
      <c r="N7">
        <f>$C16/$C$24</f>
        <v>2.2222222222222223E-2</v>
      </c>
      <c r="O7">
        <f>$C17/$C$24</f>
        <v>6.6666666666666666E-2</v>
      </c>
      <c r="P7">
        <f>$C18/$C$24</f>
        <v>6.6666666666666666E-2</v>
      </c>
      <c r="Q7">
        <f>$C19/$C$24</f>
        <v>4.4444444444444446E-2</v>
      </c>
      <c r="R7">
        <f>$C20/$C$24</f>
        <v>8.8888888888888892E-2</v>
      </c>
      <c r="S7">
        <f>$C21/$C$24</f>
        <v>0.1111111111111111</v>
      </c>
      <c r="T7">
        <f>$C22/$C$24</f>
        <v>2.2222222222222223E-2</v>
      </c>
      <c r="U7">
        <f>$C23/$C$24</f>
        <v>2.2222222222222223E-2</v>
      </c>
      <c r="V7">
        <f>$C9/$C$24</f>
        <v>2.2222222222222223E-2</v>
      </c>
      <c r="W7">
        <f>$C7/$C$24</f>
        <v>2.2222222222222223E-2</v>
      </c>
      <c r="Y7" t="s">
        <v>8</v>
      </c>
      <c r="Z7">
        <f>$C8/$C$24</f>
        <v>0.13333333333333333</v>
      </c>
      <c r="AA7">
        <f>$C10/$C$24</f>
        <v>4.4444444444444446E-2</v>
      </c>
      <c r="AB7">
        <f>$C11/$C$24</f>
        <v>6.6666666666666666E-2</v>
      </c>
      <c r="AC7">
        <f>$C12/$C$24</f>
        <v>0.1111111111111111</v>
      </c>
      <c r="AD7">
        <f>$C13/$C$24</f>
        <v>2.2222222222222223E-2</v>
      </c>
      <c r="AE7">
        <f>$C14/$C$24</f>
        <v>8.8888888888888892E-2</v>
      </c>
      <c r="AF7">
        <f>$C15/$C$24</f>
        <v>4.4444444444444446E-2</v>
      </c>
      <c r="AG7">
        <f>$C16/$C$24</f>
        <v>2.2222222222222223E-2</v>
      </c>
      <c r="AH7">
        <f>$C17/$C$24</f>
        <v>6.6666666666666666E-2</v>
      </c>
      <c r="AI7">
        <f>$C18/$C$24</f>
        <v>6.6666666666666666E-2</v>
      </c>
      <c r="AJ7">
        <f>$C19/$C$24</f>
        <v>4.4444444444444446E-2</v>
      </c>
      <c r="AK7">
        <f>$C20/$C$24</f>
        <v>8.8888888888888892E-2</v>
      </c>
      <c r="AL7">
        <f>$C21/$C$24</f>
        <v>0.1111111111111111</v>
      </c>
      <c r="AM7">
        <f>$C22/$C$24</f>
        <v>2.2222222222222223E-2</v>
      </c>
      <c r="AN7">
        <f>$C23/$C$24</f>
        <v>2.2222222222222223E-2</v>
      </c>
      <c r="AO7">
        <f>$C9/$C$24</f>
        <v>2.2222222222222223E-2</v>
      </c>
      <c r="AP7">
        <f>$C7/$C$24</f>
        <v>2.2222222222222223E-2</v>
      </c>
    </row>
    <row r="8" spans="2:42" x14ac:dyDescent="0.3">
      <c r="B8" t="s">
        <v>1</v>
      </c>
      <c r="C8">
        <v>6</v>
      </c>
      <c r="D8">
        <f t="shared" ref="D8:D23" si="0">$C8/$C$24</f>
        <v>0.13333333333333333</v>
      </c>
      <c r="F8" t="s">
        <v>18</v>
      </c>
      <c r="G8">
        <f>0</f>
        <v>0</v>
      </c>
      <c r="H8">
        <f>G9</f>
        <v>0.13333333333333333</v>
      </c>
      <c r="I8">
        <f t="shared" ref="I8:W8" si="1">H9</f>
        <v>0.17777777777777778</v>
      </c>
      <c r="J8">
        <f t="shared" si="1"/>
        <v>0.24444444444444446</v>
      </c>
      <c r="K8" s="2">
        <f t="shared" si="1"/>
        <v>0.35555555555555557</v>
      </c>
      <c r="L8">
        <f t="shared" si="1"/>
        <v>0.37777777777777777</v>
      </c>
      <c r="M8">
        <f t="shared" si="1"/>
        <v>0.46666666666666667</v>
      </c>
      <c r="N8">
        <f t="shared" si="1"/>
        <v>0.51111111111111107</v>
      </c>
      <c r="O8">
        <f t="shared" si="1"/>
        <v>0.53333333333333333</v>
      </c>
      <c r="P8">
        <f t="shared" si="1"/>
        <v>0.6</v>
      </c>
      <c r="Q8">
        <f t="shared" si="1"/>
        <v>0.66666666666666663</v>
      </c>
      <c r="R8">
        <f t="shared" si="1"/>
        <v>0.71111111111111103</v>
      </c>
      <c r="S8">
        <f t="shared" si="1"/>
        <v>0.79999999999999993</v>
      </c>
      <c r="T8">
        <f t="shared" si="1"/>
        <v>0.91111111111111098</v>
      </c>
      <c r="U8">
        <f t="shared" si="1"/>
        <v>0.93333333333333324</v>
      </c>
      <c r="V8">
        <f t="shared" si="1"/>
        <v>0.95555555555555549</v>
      </c>
      <c r="W8">
        <f t="shared" si="1"/>
        <v>0.97777777777777775</v>
      </c>
      <c r="Y8" t="s">
        <v>18</v>
      </c>
      <c r="Z8">
        <f>0</f>
        <v>0</v>
      </c>
      <c r="AA8">
        <f>Z9</f>
        <v>0.13333333333333333</v>
      </c>
      <c r="AB8" s="2">
        <f t="shared" ref="AB8:AP8" si="2">AA9</f>
        <v>0.17777777777777778</v>
      </c>
      <c r="AC8">
        <f t="shared" si="2"/>
        <v>0.24444444444444446</v>
      </c>
      <c r="AD8">
        <f t="shared" si="2"/>
        <v>0.35555555555555557</v>
      </c>
      <c r="AE8">
        <f t="shared" si="2"/>
        <v>0.37777777777777777</v>
      </c>
      <c r="AF8">
        <f t="shared" si="2"/>
        <v>0.46666666666666667</v>
      </c>
      <c r="AG8">
        <f t="shared" si="2"/>
        <v>0.51111111111111107</v>
      </c>
      <c r="AH8">
        <f t="shared" si="2"/>
        <v>0.53333333333333333</v>
      </c>
      <c r="AI8">
        <f t="shared" si="2"/>
        <v>0.6</v>
      </c>
      <c r="AJ8">
        <f t="shared" si="2"/>
        <v>0.66666666666666663</v>
      </c>
      <c r="AK8">
        <f t="shared" si="2"/>
        <v>0.71111111111111103</v>
      </c>
      <c r="AL8">
        <f t="shared" si="2"/>
        <v>0.79999999999999993</v>
      </c>
      <c r="AM8">
        <f t="shared" si="2"/>
        <v>0.91111111111111098</v>
      </c>
      <c r="AN8">
        <f t="shared" si="2"/>
        <v>0.93333333333333324</v>
      </c>
      <c r="AO8">
        <f t="shared" si="2"/>
        <v>0.95555555555555549</v>
      </c>
      <c r="AP8">
        <f t="shared" si="2"/>
        <v>0.97777777777777775</v>
      </c>
    </row>
    <row r="9" spans="2:42" x14ac:dyDescent="0.3">
      <c r="B9" t="s">
        <v>2</v>
      </c>
      <c r="C9">
        <v>1</v>
      </c>
      <c r="D9">
        <f t="shared" si="0"/>
        <v>2.2222222222222223E-2</v>
      </c>
      <c r="F9" t="s">
        <v>19</v>
      </c>
      <c r="G9">
        <f>G8+G7</f>
        <v>0.13333333333333333</v>
      </c>
      <c r="H9">
        <f>H8+H7</f>
        <v>0.17777777777777778</v>
      </c>
      <c r="I9">
        <f t="shared" ref="I9:W9" si="3">I8+I7</f>
        <v>0.24444444444444446</v>
      </c>
      <c r="J9">
        <f t="shared" si="3"/>
        <v>0.35555555555555557</v>
      </c>
      <c r="K9" s="2">
        <f t="shared" si="3"/>
        <v>0.37777777777777777</v>
      </c>
      <c r="L9">
        <f t="shared" si="3"/>
        <v>0.46666666666666667</v>
      </c>
      <c r="M9">
        <f t="shared" si="3"/>
        <v>0.51111111111111107</v>
      </c>
      <c r="N9">
        <f t="shared" si="3"/>
        <v>0.53333333333333333</v>
      </c>
      <c r="O9" s="1">
        <f>O8+O7</f>
        <v>0.6</v>
      </c>
      <c r="P9">
        <f t="shared" si="3"/>
        <v>0.66666666666666663</v>
      </c>
      <c r="Q9">
        <f t="shared" si="3"/>
        <v>0.71111111111111103</v>
      </c>
      <c r="R9">
        <f t="shared" si="3"/>
        <v>0.79999999999999993</v>
      </c>
      <c r="S9">
        <f t="shared" si="3"/>
        <v>0.91111111111111098</v>
      </c>
      <c r="T9">
        <f t="shared" si="3"/>
        <v>0.93333333333333324</v>
      </c>
      <c r="U9">
        <f t="shared" si="3"/>
        <v>0.95555555555555549</v>
      </c>
      <c r="V9">
        <f t="shared" si="3"/>
        <v>0.97777777777777775</v>
      </c>
      <c r="W9">
        <f t="shared" si="3"/>
        <v>1</v>
      </c>
      <c r="Y9" t="s">
        <v>19</v>
      </c>
      <c r="Z9">
        <f>Z8+Z7</f>
        <v>0.13333333333333333</v>
      </c>
      <c r="AA9">
        <f>AA8+AA7</f>
        <v>0.17777777777777778</v>
      </c>
      <c r="AB9" s="2">
        <f t="shared" ref="AB9" si="4">AB8+AB7</f>
        <v>0.24444444444444446</v>
      </c>
      <c r="AC9">
        <f t="shared" ref="AC9" si="5">AC8+AC7</f>
        <v>0.35555555555555557</v>
      </c>
      <c r="AD9">
        <f t="shared" ref="AD9" si="6">AD8+AD7</f>
        <v>0.37777777777777777</v>
      </c>
      <c r="AE9">
        <f t="shared" ref="AE9" si="7">AE8+AE7</f>
        <v>0.46666666666666667</v>
      </c>
      <c r="AF9">
        <f t="shared" ref="AF9" si="8">AF8+AF7</f>
        <v>0.51111111111111107</v>
      </c>
      <c r="AG9">
        <f t="shared" ref="AG9" si="9">AG8+AG7</f>
        <v>0.53333333333333333</v>
      </c>
      <c r="AH9" s="1">
        <f>AH8+AH7</f>
        <v>0.6</v>
      </c>
      <c r="AI9">
        <f t="shared" ref="AI9" si="10">AI8+AI7</f>
        <v>0.66666666666666663</v>
      </c>
      <c r="AJ9">
        <f t="shared" ref="AJ9" si="11">AJ8+AJ7</f>
        <v>0.71111111111111103</v>
      </c>
      <c r="AK9">
        <f t="shared" ref="AK9" si="12">AK8+AK7</f>
        <v>0.79999999999999993</v>
      </c>
      <c r="AL9">
        <f t="shared" ref="AL9" si="13">AL8+AL7</f>
        <v>0.91111111111111098</v>
      </c>
      <c r="AM9">
        <f t="shared" ref="AM9" si="14">AM8+AM7</f>
        <v>0.93333333333333324</v>
      </c>
      <c r="AN9">
        <f t="shared" ref="AN9" si="15">AN8+AN7</f>
        <v>0.95555555555555549</v>
      </c>
      <c r="AO9">
        <f t="shared" ref="AO9" si="16">AO8+AO7</f>
        <v>0.97777777777777775</v>
      </c>
      <c r="AP9">
        <f t="shared" ref="AP9" si="17">AP8+AP7</f>
        <v>1</v>
      </c>
    </row>
    <row r="10" spans="2:42" x14ac:dyDescent="0.3">
      <c r="B10" t="s">
        <v>3</v>
      </c>
      <c r="C10">
        <v>2</v>
      </c>
      <c r="D10">
        <f t="shared" si="0"/>
        <v>4.4444444444444446E-2</v>
      </c>
    </row>
    <row r="11" spans="2:42" x14ac:dyDescent="0.3">
      <c r="B11" t="s">
        <v>4</v>
      </c>
      <c r="C11">
        <v>3</v>
      </c>
      <c r="D11">
        <f t="shared" si="0"/>
        <v>6.6666666666666666E-2</v>
      </c>
    </row>
    <row r="12" spans="2:42" x14ac:dyDescent="0.3">
      <c r="B12" t="s">
        <v>5</v>
      </c>
      <c r="C12">
        <v>5</v>
      </c>
      <c r="D12">
        <f t="shared" si="0"/>
        <v>0.1111111111111111</v>
      </c>
      <c r="Z12" t="s">
        <v>1</v>
      </c>
      <c r="AA12" t="s">
        <v>3</v>
      </c>
      <c r="AB12" t="s">
        <v>4</v>
      </c>
      <c r="AC12" t="s">
        <v>5</v>
      </c>
      <c r="AD12" t="s">
        <v>6</v>
      </c>
      <c r="AE12" t="s">
        <v>7</v>
      </c>
      <c r="AF12" t="s">
        <v>8</v>
      </c>
      <c r="AG12" t="s">
        <v>9</v>
      </c>
      <c r="AH12" t="s">
        <v>10</v>
      </c>
      <c r="AI12" t="s">
        <v>11</v>
      </c>
      <c r="AJ12" t="s">
        <v>12</v>
      </c>
      <c r="AK12" t="s">
        <v>13</v>
      </c>
      <c r="AL12" t="s">
        <v>14</v>
      </c>
      <c r="AM12" t="s">
        <v>15</v>
      </c>
      <c r="AN12" t="s">
        <v>16</v>
      </c>
      <c r="AO12" t="s">
        <v>2</v>
      </c>
      <c r="AP12" t="s">
        <v>17</v>
      </c>
    </row>
    <row r="13" spans="2:42" x14ac:dyDescent="0.3">
      <c r="B13" t="s">
        <v>6</v>
      </c>
      <c r="C13">
        <v>1</v>
      </c>
      <c r="D13">
        <f t="shared" si="0"/>
        <v>2.2222222222222223E-2</v>
      </c>
      <c r="G13" t="s">
        <v>1</v>
      </c>
      <c r="H13" t="s">
        <v>3</v>
      </c>
      <c r="I13" t="s">
        <v>4</v>
      </c>
      <c r="J13" t="s">
        <v>5</v>
      </c>
      <c r="K13" t="s">
        <v>6</v>
      </c>
      <c r="L13" t="s">
        <v>7</v>
      </c>
      <c r="M13" t="s">
        <v>8</v>
      </c>
      <c r="N13" t="s">
        <v>9</v>
      </c>
      <c r="O13" t="s">
        <v>10</v>
      </c>
      <c r="P13" t="s">
        <v>11</v>
      </c>
      <c r="Q13" t="s">
        <v>12</v>
      </c>
      <c r="R13" t="s">
        <v>13</v>
      </c>
      <c r="S13" t="s">
        <v>14</v>
      </c>
      <c r="T13" t="s">
        <v>15</v>
      </c>
      <c r="U13" t="s">
        <v>16</v>
      </c>
      <c r="V13" t="s">
        <v>2</v>
      </c>
      <c r="W13" t="s">
        <v>17</v>
      </c>
      <c r="Y13" t="s">
        <v>8</v>
      </c>
      <c r="Z13">
        <f>$AB$7*Z7</f>
        <v>8.8888888888888889E-3</v>
      </c>
      <c r="AA13">
        <f t="shared" ref="AA13:AP13" si="18">$AB$7*AA7</f>
        <v>2.9629629629629632E-3</v>
      </c>
      <c r="AB13">
        <f t="shared" si="18"/>
        <v>4.4444444444444444E-3</v>
      </c>
      <c r="AC13">
        <f t="shared" si="18"/>
        <v>7.4074074074074068E-3</v>
      </c>
      <c r="AD13">
        <f t="shared" si="18"/>
        <v>1.4814814814814816E-3</v>
      </c>
      <c r="AE13">
        <f t="shared" si="18"/>
        <v>5.9259259259259265E-3</v>
      </c>
      <c r="AF13">
        <f t="shared" si="18"/>
        <v>2.9629629629629632E-3</v>
      </c>
      <c r="AG13">
        <f t="shared" si="18"/>
        <v>1.4814814814814816E-3</v>
      </c>
      <c r="AH13">
        <f t="shared" si="18"/>
        <v>4.4444444444444444E-3</v>
      </c>
      <c r="AI13">
        <f t="shared" si="18"/>
        <v>4.4444444444444444E-3</v>
      </c>
      <c r="AJ13">
        <f t="shared" si="18"/>
        <v>2.9629629629629632E-3</v>
      </c>
      <c r="AK13">
        <f t="shared" si="18"/>
        <v>5.9259259259259265E-3</v>
      </c>
      <c r="AL13">
        <f t="shared" si="18"/>
        <v>7.4074074074074068E-3</v>
      </c>
      <c r="AM13">
        <f t="shared" si="18"/>
        <v>1.4814814814814816E-3</v>
      </c>
      <c r="AN13">
        <f t="shared" si="18"/>
        <v>1.4814814814814816E-3</v>
      </c>
      <c r="AO13">
        <f t="shared" si="18"/>
        <v>1.4814814814814816E-3</v>
      </c>
      <c r="AP13">
        <f t="shared" si="18"/>
        <v>1.4814814814814816E-3</v>
      </c>
    </row>
    <row r="14" spans="2:42" x14ac:dyDescent="0.3">
      <c r="B14" t="s">
        <v>7</v>
      </c>
      <c r="C14">
        <v>4</v>
      </c>
      <c r="D14">
        <f t="shared" si="0"/>
        <v>8.8888888888888892E-2</v>
      </c>
      <c r="F14" t="s">
        <v>8</v>
      </c>
      <c r="G14">
        <f>$K$7*G7</f>
        <v>2.9629629629629632E-3</v>
      </c>
      <c r="H14">
        <f t="shared" ref="H14:W14" si="19">$K$7*H7</f>
        <v>9.8765432098765434E-4</v>
      </c>
      <c r="I14">
        <f t="shared" si="19"/>
        <v>1.4814814814814816E-3</v>
      </c>
      <c r="J14">
        <f t="shared" si="19"/>
        <v>2.4691358024691358E-3</v>
      </c>
      <c r="K14">
        <f t="shared" si="19"/>
        <v>4.9382716049382717E-4</v>
      </c>
      <c r="L14">
        <f t="shared" si="19"/>
        <v>1.9753086419753087E-3</v>
      </c>
      <c r="M14">
        <f t="shared" si="19"/>
        <v>9.8765432098765434E-4</v>
      </c>
      <c r="N14">
        <f t="shared" si="19"/>
        <v>4.9382716049382717E-4</v>
      </c>
      <c r="O14">
        <f t="shared" si="19"/>
        <v>1.4814814814814816E-3</v>
      </c>
      <c r="P14">
        <f t="shared" si="19"/>
        <v>1.4814814814814816E-3</v>
      </c>
      <c r="Q14">
        <f t="shared" si="19"/>
        <v>9.8765432098765434E-4</v>
      </c>
      <c r="R14">
        <f t="shared" si="19"/>
        <v>1.9753086419753087E-3</v>
      </c>
      <c r="S14">
        <f t="shared" si="19"/>
        <v>2.4691358024691358E-3</v>
      </c>
      <c r="T14">
        <f t="shared" si="19"/>
        <v>4.9382716049382717E-4</v>
      </c>
      <c r="U14">
        <f t="shared" si="19"/>
        <v>4.9382716049382717E-4</v>
      </c>
      <c r="V14">
        <f t="shared" si="19"/>
        <v>4.9382716049382717E-4</v>
      </c>
      <c r="W14">
        <f t="shared" si="19"/>
        <v>4.9382716049382717E-4</v>
      </c>
      <c r="Y14" t="s">
        <v>18</v>
      </c>
      <c r="Z14">
        <f>AB8</f>
        <v>0.17777777777777778</v>
      </c>
      <c r="AA14">
        <f>Z15</f>
        <v>0.18666666666666668</v>
      </c>
      <c r="AB14">
        <f t="shared" ref="AB14:AP14" si="20">AA15</f>
        <v>0.18962962962962965</v>
      </c>
      <c r="AC14">
        <f t="shared" si="20"/>
        <v>0.19407407407407409</v>
      </c>
      <c r="AD14">
        <f t="shared" si="20"/>
        <v>0.20148148148148151</v>
      </c>
      <c r="AE14">
        <f t="shared" si="20"/>
        <v>0.20296296296296298</v>
      </c>
      <c r="AF14">
        <f t="shared" si="20"/>
        <v>0.2088888888888889</v>
      </c>
      <c r="AG14">
        <f t="shared" si="20"/>
        <v>0.21185185185185187</v>
      </c>
      <c r="AH14">
        <f t="shared" si="20"/>
        <v>0.21333333333333335</v>
      </c>
      <c r="AI14">
        <f t="shared" si="20"/>
        <v>0.21777777777777779</v>
      </c>
      <c r="AJ14">
        <f t="shared" si="20"/>
        <v>0.22222222222222224</v>
      </c>
      <c r="AK14" s="4">
        <f t="shared" si="20"/>
        <v>0.22518518518518521</v>
      </c>
      <c r="AL14">
        <f t="shared" si="20"/>
        <v>0.23111111111111113</v>
      </c>
      <c r="AM14">
        <f t="shared" si="20"/>
        <v>0.23851851851851855</v>
      </c>
      <c r="AN14">
        <f t="shared" si="20"/>
        <v>0.24000000000000002</v>
      </c>
      <c r="AO14">
        <f t="shared" si="20"/>
        <v>0.24148148148148149</v>
      </c>
      <c r="AP14">
        <f t="shared" si="20"/>
        <v>0.24296296296296296</v>
      </c>
    </row>
    <row r="15" spans="2:42" x14ac:dyDescent="0.3">
      <c r="B15" t="s">
        <v>8</v>
      </c>
      <c r="C15">
        <v>2</v>
      </c>
      <c r="D15">
        <f t="shared" si="0"/>
        <v>4.4444444444444446E-2</v>
      </c>
      <c r="F15" t="s">
        <v>18</v>
      </c>
      <c r="G15">
        <f>K8</f>
        <v>0.35555555555555557</v>
      </c>
      <c r="H15">
        <f>G16</f>
        <v>0.35851851851851851</v>
      </c>
      <c r="I15">
        <f t="shared" ref="I15:W15" si="21">H16</f>
        <v>0.35950617283950614</v>
      </c>
      <c r="J15">
        <f t="shared" si="21"/>
        <v>0.36098765432098762</v>
      </c>
      <c r="K15">
        <f t="shared" si="21"/>
        <v>0.36345679012345677</v>
      </c>
      <c r="L15" s="8">
        <f>K16</f>
        <v>0.36395061728395062</v>
      </c>
      <c r="M15">
        <f t="shared" si="21"/>
        <v>0.36592592592592593</v>
      </c>
      <c r="N15">
        <f t="shared" si="21"/>
        <v>0.36691358024691356</v>
      </c>
      <c r="O15">
        <f t="shared" si="21"/>
        <v>0.3674074074074074</v>
      </c>
      <c r="P15">
        <f t="shared" si="21"/>
        <v>0.36888888888888888</v>
      </c>
      <c r="Q15">
        <f t="shared" si="21"/>
        <v>0.37037037037037035</v>
      </c>
      <c r="R15">
        <f t="shared" si="21"/>
        <v>0.37135802469135798</v>
      </c>
      <c r="S15">
        <f t="shared" si="21"/>
        <v>0.37333333333333329</v>
      </c>
      <c r="T15">
        <f t="shared" si="21"/>
        <v>0.37580246913580245</v>
      </c>
      <c r="U15">
        <f t="shared" si="21"/>
        <v>0.3762962962962963</v>
      </c>
      <c r="V15">
        <f t="shared" si="21"/>
        <v>0.37679012345679014</v>
      </c>
      <c r="W15">
        <f t="shared" si="21"/>
        <v>0.37728395061728398</v>
      </c>
      <c r="Y15" t="s">
        <v>19</v>
      </c>
      <c r="Z15">
        <f>Z14+Z13</f>
        <v>0.18666666666666668</v>
      </c>
      <c r="AA15">
        <f>AA14+AA13</f>
        <v>0.18962962962962965</v>
      </c>
      <c r="AB15">
        <f t="shared" ref="AB15" si="22">AB14+AB13</f>
        <v>0.19407407407407409</v>
      </c>
      <c r="AC15">
        <f t="shared" ref="AC15" si="23">AC14+AC13</f>
        <v>0.20148148148148151</v>
      </c>
      <c r="AD15">
        <f t="shared" ref="AD15" si="24">AD14+AD13</f>
        <v>0.20296296296296298</v>
      </c>
      <c r="AE15">
        <f t="shared" ref="AE15" si="25">AE14+AE13</f>
        <v>0.2088888888888889</v>
      </c>
      <c r="AF15">
        <f t="shared" ref="AF15" si="26">AF14+AF13</f>
        <v>0.21185185185185187</v>
      </c>
      <c r="AG15">
        <f t="shared" ref="AG15" si="27">AG14+AG13</f>
        <v>0.21333333333333335</v>
      </c>
      <c r="AH15" s="1">
        <f>AH14+AH13</f>
        <v>0.21777777777777779</v>
      </c>
      <c r="AI15">
        <f t="shared" ref="AI15" si="28">AI14+AI13</f>
        <v>0.22222222222222224</v>
      </c>
      <c r="AJ15">
        <f t="shared" ref="AJ15" si="29">AJ14+AJ13</f>
        <v>0.22518518518518521</v>
      </c>
      <c r="AK15" s="4">
        <f t="shared" ref="AK15" si="30">AK14+AK13</f>
        <v>0.23111111111111113</v>
      </c>
      <c r="AL15">
        <f t="shared" ref="AL15" si="31">AL14+AL13</f>
        <v>0.23851851851851855</v>
      </c>
      <c r="AM15">
        <f t="shared" ref="AM15" si="32">AM14+AM13</f>
        <v>0.24000000000000002</v>
      </c>
      <c r="AN15">
        <f t="shared" ref="AN15" si="33">AN14+AN13</f>
        <v>0.24148148148148149</v>
      </c>
      <c r="AO15">
        <f t="shared" ref="AO15" si="34">AO14+AO13</f>
        <v>0.24296296296296296</v>
      </c>
      <c r="AP15">
        <f t="shared" ref="AP15" si="35">AP14+AP13</f>
        <v>0.24444444444444444</v>
      </c>
    </row>
    <row r="16" spans="2:42" x14ac:dyDescent="0.3">
      <c r="B16" t="s">
        <v>9</v>
      </c>
      <c r="C16">
        <v>1</v>
      </c>
      <c r="D16">
        <f t="shared" si="0"/>
        <v>2.2222222222222223E-2</v>
      </c>
      <c r="F16" t="s">
        <v>19</v>
      </c>
      <c r="G16">
        <f>G15+G14</f>
        <v>0.35851851851851851</v>
      </c>
      <c r="H16">
        <f>H15+H14</f>
        <v>0.35950617283950614</v>
      </c>
      <c r="I16">
        <f t="shared" ref="I16:W16" si="36">I15+I14</f>
        <v>0.36098765432098762</v>
      </c>
      <c r="J16">
        <f t="shared" si="36"/>
        <v>0.36345679012345677</v>
      </c>
      <c r="K16">
        <f t="shared" si="36"/>
        <v>0.36395061728395062</v>
      </c>
      <c r="L16" s="8">
        <f>L15+L14</f>
        <v>0.36592592592592593</v>
      </c>
      <c r="M16">
        <f t="shared" si="36"/>
        <v>0.36691358024691356</v>
      </c>
      <c r="N16">
        <f t="shared" si="36"/>
        <v>0.3674074074074074</v>
      </c>
      <c r="O16">
        <f t="shared" si="36"/>
        <v>0.36888888888888888</v>
      </c>
      <c r="P16">
        <f t="shared" si="36"/>
        <v>0.37037037037037035</v>
      </c>
      <c r="Q16">
        <f t="shared" si="36"/>
        <v>0.37135802469135798</v>
      </c>
      <c r="R16">
        <f t="shared" si="36"/>
        <v>0.37333333333333329</v>
      </c>
      <c r="S16">
        <f t="shared" si="36"/>
        <v>0.37580246913580245</v>
      </c>
      <c r="T16">
        <f t="shared" si="36"/>
        <v>0.3762962962962963</v>
      </c>
      <c r="U16">
        <f t="shared" si="36"/>
        <v>0.37679012345679014</v>
      </c>
      <c r="V16">
        <f t="shared" si="36"/>
        <v>0.37728395061728398</v>
      </c>
      <c r="W16">
        <f t="shared" si="36"/>
        <v>0.37777777777777782</v>
      </c>
    </row>
    <row r="17" spans="2:42" x14ac:dyDescent="0.3">
      <c r="B17" t="s">
        <v>10</v>
      </c>
      <c r="C17">
        <v>3</v>
      </c>
      <c r="D17">
        <f t="shared" si="0"/>
        <v>6.6666666666666666E-2</v>
      </c>
    </row>
    <row r="18" spans="2:42" x14ac:dyDescent="0.3">
      <c r="B18" t="s">
        <v>11</v>
      </c>
      <c r="C18">
        <v>3</v>
      </c>
      <c r="D18">
        <f t="shared" si="0"/>
        <v>6.6666666666666666E-2</v>
      </c>
      <c r="Z18" t="s">
        <v>1</v>
      </c>
      <c r="AA18" t="s">
        <v>3</v>
      </c>
      <c r="AB18" t="s">
        <v>4</v>
      </c>
      <c r="AC18" t="s">
        <v>5</v>
      </c>
      <c r="AD18" t="s">
        <v>6</v>
      </c>
      <c r="AE18" t="s">
        <v>7</v>
      </c>
      <c r="AF18" t="s">
        <v>8</v>
      </c>
      <c r="AG18" t="s">
        <v>9</v>
      </c>
      <c r="AH18" t="s">
        <v>10</v>
      </c>
      <c r="AI18" t="s">
        <v>11</v>
      </c>
      <c r="AJ18" t="s">
        <v>12</v>
      </c>
      <c r="AK18" t="s">
        <v>13</v>
      </c>
      <c r="AL18" t="s">
        <v>14</v>
      </c>
      <c r="AM18" t="s">
        <v>15</v>
      </c>
      <c r="AN18" t="s">
        <v>16</v>
      </c>
      <c r="AO18" t="s">
        <v>2</v>
      </c>
      <c r="AP18" t="s">
        <v>17</v>
      </c>
    </row>
    <row r="19" spans="2:42" x14ac:dyDescent="0.3">
      <c r="B19" t="s">
        <v>12</v>
      </c>
      <c r="C19">
        <v>2</v>
      </c>
      <c r="D19">
        <f t="shared" si="0"/>
        <v>4.4444444444444446E-2</v>
      </c>
      <c r="Y19" t="s">
        <v>8</v>
      </c>
      <c r="Z19">
        <f>$AK$13*Z7</f>
        <v>7.9012345679012352E-4</v>
      </c>
      <c r="AA19">
        <f t="shared" ref="AA19:AP19" si="37">$AK$13*AA7</f>
        <v>2.6337448559670784E-4</v>
      </c>
      <c r="AB19">
        <f t="shared" si="37"/>
        <v>3.9506172839506176E-4</v>
      </c>
      <c r="AC19">
        <f t="shared" si="37"/>
        <v>6.584362139917696E-4</v>
      </c>
      <c r="AD19">
        <f t="shared" si="37"/>
        <v>1.3168724279835392E-4</v>
      </c>
      <c r="AE19">
        <f t="shared" si="37"/>
        <v>5.2674897119341568E-4</v>
      </c>
      <c r="AF19">
        <f t="shared" si="37"/>
        <v>2.6337448559670784E-4</v>
      </c>
      <c r="AG19">
        <f t="shared" si="37"/>
        <v>1.3168724279835392E-4</v>
      </c>
      <c r="AH19">
        <f t="shared" si="37"/>
        <v>3.9506172839506176E-4</v>
      </c>
      <c r="AI19">
        <f t="shared" si="37"/>
        <v>3.9506172839506176E-4</v>
      </c>
      <c r="AJ19">
        <f t="shared" si="37"/>
        <v>2.6337448559670784E-4</v>
      </c>
      <c r="AK19">
        <f t="shared" si="37"/>
        <v>5.2674897119341568E-4</v>
      </c>
      <c r="AL19">
        <f t="shared" si="37"/>
        <v>6.584362139917696E-4</v>
      </c>
      <c r="AM19">
        <f t="shared" si="37"/>
        <v>1.3168724279835392E-4</v>
      </c>
      <c r="AN19">
        <f t="shared" si="37"/>
        <v>1.3168724279835392E-4</v>
      </c>
      <c r="AO19">
        <f t="shared" si="37"/>
        <v>1.3168724279835392E-4</v>
      </c>
      <c r="AP19">
        <f t="shared" si="37"/>
        <v>1.3168724279835392E-4</v>
      </c>
    </row>
    <row r="20" spans="2:42" x14ac:dyDescent="0.3">
      <c r="B20" t="s">
        <v>13</v>
      </c>
      <c r="C20">
        <v>4</v>
      </c>
      <c r="D20">
        <f t="shared" si="0"/>
        <v>8.8888888888888892E-2</v>
      </c>
      <c r="G20" t="s">
        <v>1</v>
      </c>
      <c r="H20" t="s">
        <v>3</v>
      </c>
      <c r="I20" t="s">
        <v>4</v>
      </c>
      <c r="J20" t="s">
        <v>5</v>
      </c>
      <c r="K20" t="s">
        <v>6</v>
      </c>
      <c r="L20" t="s">
        <v>7</v>
      </c>
      <c r="M20" t="s">
        <v>8</v>
      </c>
      <c r="N20" t="s">
        <v>9</v>
      </c>
      <c r="O20" t="s">
        <v>10</v>
      </c>
      <c r="P20" t="s">
        <v>11</v>
      </c>
      <c r="Q20" t="s">
        <v>12</v>
      </c>
      <c r="R20" t="s">
        <v>13</v>
      </c>
      <c r="S20" t="s">
        <v>14</v>
      </c>
      <c r="T20" t="s">
        <v>15</v>
      </c>
      <c r="U20" t="s">
        <v>16</v>
      </c>
      <c r="V20" t="s">
        <v>2</v>
      </c>
      <c r="W20" t="s">
        <v>17</v>
      </c>
      <c r="Y20" t="s">
        <v>18</v>
      </c>
      <c r="Z20">
        <f>AK14</f>
        <v>0.22518518518518521</v>
      </c>
      <c r="AA20">
        <f>Z21</f>
        <v>0.22597530864197535</v>
      </c>
      <c r="AB20">
        <f t="shared" ref="AB20:AP20" si="38">AA21</f>
        <v>0.22623868312757206</v>
      </c>
      <c r="AC20" s="3">
        <f t="shared" si="38"/>
        <v>0.22663374485596713</v>
      </c>
      <c r="AD20">
        <f t="shared" si="38"/>
        <v>0.22729218106995891</v>
      </c>
      <c r="AE20">
        <f t="shared" si="38"/>
        <v>0.22742386831275727</v>
      </c>
      <c r="AF20">
        <f t="shared" si="38"/>
        <v>0.22795061728395069</v>
      </c>
      <c r="AG20">
        <f t="shared" si="38"/>
        <v>0.2282139917695474</v>
      </c>
      <c r="AH20">
        <f t="shared" si="38"/>
        <v>0.22834567901234576</v>
      </c>
      <c r="AI20">
        <f t="shared" si="38"/>
        <v>0.22874074074074083</v>
      </c>
      <c r="AJ20">
        <f t="shared" si="38"/>
        <v>0.2291358024691359</v>
      </c>
      <c r="AK20">
        <f t="shared" si="38"/>
        <v>0.22939917695473261</v>
      </c>
      <c r="AL20">
        <f t="shared" si="38"/>
        <v>0.22992592592592603</v>
      </c>
      <c r="AM20">
        <f t="shared" si="38"/>
        <v>0.23058436213991781</v>
      </c>
      <c r="AN20">
        <f t="shared" si="38"/>
        <v>0.23071604938271617</v>
      </c>
      <c r="AO20">
        <f t="shared" si="38"/>
        <v>0.23084773662551453</v>
      </c>
      <c r="AP20">
        <f t="shared" si="38"/>
        <v>0.23097942386831288</v>
      </c>
    </row>
    <row r="21" spans="2:42" x14ac:dyDescent="0.3">
      <c r="B21" t="s">
        <v>14</v>
      </c>
      <c r="C21">
        <v>5</v>
      </c>
      <c r="D21">
        <f t="shared" si="0"/>
        <v>0.1111111111111111</v>
      </c>
      <c r="F21" t="s">
        <v>8</v>
      </c>
      <c r="G21">
        <f>$L$14*G7</f>
        <v>2.6337448559670784E-4</v>
      </c>
      <c r="H21">
        <f>$L$14*H7</f>
        <v>8.7791495198902609E-5</v>
      </c>
      <c r="I21">
        <f t="shared" ref="I21:W21" si="39">$L$14*I7</f>
        <v>1.3168724279835392E-4</v>
      </c>
      <c r="J21">
        <f t="shared" si="39"/>
        <v>2.1947873799725651E-4</v>
      </c>
      <c r="K21">
        <f t="shared" si="39"/>
        <v>4.3895747599451304E-5</v>
      </c>
      <c r="L21">
        <f t="shared" si="39"/>
        <v>1.7558299039780522E-4</v>
      </c>
      <c r="M21">
        <f t="shared" si="39"/>
        <v>8.7791495198902609E-5</v>
      </c>
      <c r="N21">
        <f t="shared" si="39"/>
        <v>4.3895747599451304E-5</v>
      </c>
      <c r="O21">
        <f t="shared" si="39"/>
        <v>1.3168724279835392E-4</v>
      </c>
      <c r="P21">
        <f t="shared" si="39"/>
        <v>1.3168724279835392E-4</v>
      </c>
      <c r="Q21">
        <f t="shared" si="39"/>
        <v>8.7791495198902609E-5</v>
      </c>
      <c r="R21">
        <f t="shared" si="39"/>
        <v>1.7558299039780522E-4</v>
      </c>
      <c r="S21">
        <f t="shared" si="39"/>
        <v>2.1947873799725651E-4</v>
      </c>
      <c r="T21">
        <f t="shared" si="39"/>
        <v>4.3895747599451304E-5</v>
      </c>
      <c r="U21">
        <f t="shared" si="39"/>
        <v>4.3895747599451304E-5</v>
      </c>
      <c r="V21">
        <f t="shared" si="39"/>
        <v>4.3895747599451304E-5</v>
      </c>
      <c r="W21">
        <f t="shared" si="39"/>
        <v>4.3895747599451304E-5</v>
      </c>
      <c r="Y21" t="s">
        <v>19</v>
      </c>
      <c r="Z21">
        <f>Z20+Z19</f>
        <v>0.22597530864197535</v>
      </c>
      <c r="AA21">
        <f>AA20+AA19</f>
        <v>0.22623868312757206</v>
      </c>
      <c r="AB21">
        <f t="shared" ref="AB21" si="40">AB20+AB19</f>
        <v>0.22663374485596713</v>
      </c>
      <c r="AC21" s="3">
        <f t="shared" ref="AC21" si="41">AC20+AC19</f>
        <v>0.22729218106995891</v>
      </c>
      <c r="AD21">
        <f t="shared" ref="AD21" si="42">AD20+AD19</f>
        <v>0.22742386831275727</v>
      </c>
      <c r="AE21">
        <f t="shared" ref="AE21" si="43">AE20+AE19</f>
        <v>0.22795061728395069</v>
      </c>
      <c r="AF21">
        <f t="shared" ref="AF21" si="44">AF20+AF19</f>
        <v>0.2282139917695474</v>
      </c>
      <c r="AG21">
        <f t="shared" ref="AG21" si="45">AG20+AG19</f>
        <v>0.22834567901234576</v>
      </c>
      <c r="AH21" s="1">
        <f>AH20+AH19</f>
        <v>0.22874074074074083</v>
      </c>
      <c r="AI21">
        <f t="shared" ref="AI21" si="46">AI20+AI19</f>
        <v>0.2291358024691359</v>
      </c>
      <c r="AJ21">
        <f t="shared" ref="AJ21" si="47">AJ20+AJ19</f>
        <v>0.22939917695473261</v>
      </c>
      <c r="AK21">
        <f t="shared" ref="AK21" si="48">AK20+AK19</f>
        <v>0.22992592592592603</v>
      </c>
      <c r="AL21">
        <f t="shared" ref="AL21" si="49">AL20+AL19</f>
        <v>0.23058436213991781</v>
      </c>
      <c r="AM21">
        <f t="shared" ref="AM21" si="50">AM20+AM19</f>
        <v>0.23071604938271617</v>
      </c>
      <c r="AN21">
        <f t="shared" ref="AN21" si="51">AN20+AN19</f>
        <v>0.23084773662551453</v>
      </c>
      <c r="AO21">
        <f t="shared" ref="AO21" si="52">AO20+AO19</f>
        <v>0.23097942386831288</v>
      </c>
      <c r="AP21">
        <f t="shared" ref="AP21" si="53">AP20+AP19</f>
        <v>0.23111111111111124</v>
      </c>
    </row>
    <row r="22" spans="2:42" x14ac:dyDescent="0.3">
      <c r="B22" t="s">
        <v>15</v>
      </c>
      <c r="C22">
        <v>1</v>
      </c>
      <c r="D22">
        <f t="shared" si="0"/>
        <v>2.2222222222222223E-2</v>
      </c>
      <c r="F22" t="s">
        <v>18</v>
      </c>
      <c r="G22">
        <f>L15</f>
        <v>0.36395061728395062</v>
      </c>
      <c r="H22">
        <f>G23</f>
        <v>0.36421399176954733</v>
      </c>
      <c r="I22">
        <f t="shared" ref="I22:W22" si="54">H23</f>
        <v>0.36430178326474622</v>
      </c>
      <c r="J22">
        <f t="shared" si="54"/>
        <v>0.36443347050754454</v>
      </c>
      <c r="K22">
        <f t="shared" si="54"/>
        <v>0.36465294924554181</v>
      </c>
      <c r="L22">
        <f t="shared" si="54"/>
        <v>0.36469684499314126</v>
      </c>
      <c r="M22">
        <f t="shared" si="54"/>
        <v>0.36487242798353908</v>
      </c>
      <c r="N22" s="4">
        <f t="shared" si="54"/>
        <v>0.36496021947873797</v>
      </c>
      <c r="O22">
        <f t="shared" si="54"/>
        <v>0.36500411522633741</v>
      </c>
      <c r="P22">
        <f t="shared" si="54"/>
        <v>0.36513580246913574</v>
      </c>
      <c r="Q22">
        <f t="shared" si="54"/>
        <v>0.36526748971193407</v>
      </c>
      <c r="R22">
        <f t="shared" si="54"/>
        <v>0.36535528120713295</v>
      </c>
      <c r="S22">
        <f t="shared" si="54"/>
        <v>0.36553086419753078</v>
      </c>
      <c r="T22">
        <f t="shared" si="54"/>
        <v>0.36575034293552805</v>
      </c>
      <c r="U22">
        <f t="shared" si="54"/>
        <v>0.36579423868312749</v>
      </c>
      <c r="V22">
        <f t="shared" si="54"/>
        <v>0.36583813443072694</v>
      </c>
      <c r="W22">
        <f t="shared" si="54"/>
        <v>0.36588203017832638</v>
      </c>
    </row>
    <row r="23" spans="2:42" x14ac:dyDescent="0.3">
      <c r="B23" t="s">
        <v>16</v>
      </c>
      <c r="C23">
        <v>1</v>
      </c>
      <c r="D23">
        <f t="shared" si="0"/>
        <v>2.2222222222222223E-2</v>
      </c>
      <c r="F23" t="s">
        <v>19</v>
      </c>
      <c r="G23">
        <f>G22+G21</f>
        <v>0.36421399176954733</v>
      </c>
      <c r="H23">
        <f>H22+H21</f>
        <v>0.36430178326474622</v>
      </c>
      <c r="I23">
        <f t="shared" ref="I23" si="55">I22+I21</f>
        <v>0.36443347050754454</v>
      </c>
      <c r="J23">
        <f t="shared" ref="J23" si="56">J22+J21</f>
        <v>0.36465294924554181</v>
      </c>
      <c r="K23">
        <f t="shared" ref="K23" si="57">K22+K21</f>
        <v>0.36469684499314126</v>
      </c>
      <c r="L23">
        <f t="shared" ref="L23" si="58">L22+L21</f>
        <v>0.36487242798353908</v>
      </c>
      <c r="M23">
        <f t="shared" ref="M23" si="59">M22+M21</f>
        <v>0.36496021947873797</v>
      </c>
      <c r="N23" s="5">
        <f t="shared" ref="N23" si="60">N22+N21</f>
        <v>0.36500411522633741</v>
      </c>
      <c r="O23">
        <f t="shared" ref="O23" si="61">O22+O21</f>
        <v>0.36513580246913574</v>
      </c>
      <c r="P23">
        <f t="shared" ref="P23" si="62">P22+P21</f>
        <v>0.36526748971193407</v>
      </c>
      <c r="Q23">
        <f t="shared" ref="Q23" si="63">Q22+Q21</f>
        <v>0.36535528120713295</v>
      </c>
      <c r="R23">
        <f t="shared" ref="R23" si="64">R22+R21</f>
        <v>0.36553086419753078</v>
      </c>
      <c r="S23">
        <f t="shared" ref="S23" si="65">S22+S21</f>
        <v>0.36575034293552805</v>
      </c>
      <c r="T23">
        <f t="shared" ref="T23" si="66">T22+T21</f>
        <v>0.36579423868312749</v>
      </c>
      <c r="U23">
        <f t="shared" ref="U23" si="67">U22+U21</f>
        <v>0.36583813443072694</v>
      </c>
      <c r="V23">
        <f t="shared" ref="V23" si="68">V22+V21</f>
        <v>0.36588203017832638</v>
      </c>
      <c r="W23">
        <f t="shared" ref="W23" si="69">W22+W21</f>
        <v>0.36592592592592582</v>
      </c>
    </row>
    <row r="24" spans="2:42" x14ac:dyDescent="0.3">
      <c r="C24">
        <f>SUM(C7:C23)</f>
        <v>45</v>
      </c>
      <c r="Z24" t="s">
        <v>1</v>
      </c>
      <c r="AA24" t="s">
        <v>3</v>
      </c>
      <c r="AB24" t="s">
        <v>4</v>
      </c>
      <c r="AC24" t="s">
        <v>5</v>
      </c>
      <c r="AD24" t="s">
        <v>6</v>
      </c>
      <c r="AE24" t="s">
        <v>7</v>
      </c>
      <c r="AF24" t="s">
        <v>8</v>
      </c>
      <c r="AG24" t="s">
        <v>9</v>
      </c>
      <c r="AH24" t="s">
        <v>10</v>
      </c>
      <c r="AI24" t="s">
        <v>11</v>
      </c>
      <c r="AJ24" t="s">
        <v>12</v>
      </c>
      <c r="AK24" t="s">
        <v>13</v>
      </c>
      <c r="AL24" t="s">
        <v>14</v>
      </c>
      <c r="AM24" t="s">
        <v>15</v>
      </c>
      <c r="AN24" t="s">
        <v>16</v>
      </c>
      <c r="AO24" t="s">
        <v>2</v>
      </c>
      <c r="AP24" t="s">
        <v>17</v>
      </c>
    </row>
    <row r="25" spans="2:42" x14ac:dyDescent="0.3">
      <c r="Y25" t="s">
        <v>8</v>
      </c>
      <c r="Z25">
        <f>$AC$19*Z7</f>
        <v>8.7791495198902609E-5</v>
      </c>
      <c r="AA25">
        <f t="shared" ref="AA25:AP25" si="70">$AC$19*AA7</f>
        <v>2.9263831732967537E-5</v>
      </c>
      <c r="AB25">
        <f t="shared" si="70"/>
        <v>4.3895747599451304E-5</v>
      </c>
      <c r="AC25">
        <f t="shared" si="70"/>
        <v>7.3159579332418838E-5</v>
      </c>
      <c r="AD25">
        <f t="shared" si="70"/>
        <v>1.4631915866483769E-5</v>
      </c>
      <c r="AE25">
        <f t="shared" si="70"/>
        <v>5.8527663465935075E-5</v>
      </c>
      <c r="AF25">
        <f t="shared" si="70"/>
        <v>2.9263831732967537E-5</v>
      </c>
      <c r="AG25">
        <f t="shared" si="70"/>
        <v>1.4631915866483769E-5</v>
      </c>
      <c r="AH25">
        <f t="shared" si="70"/>
        <v>4.3895747599451304E-5</v>
      </c>
      <c r="AI25">
        <f t="shared" si="70"/>
        <v>4.3895747599451304E-5</v>
      </c>
      <c r="AJ25">
        <f t="shared" si="70"/>
        <v>2.9263831732967537E-5</v>
      </c>
      <c r="AK25">
        <f t="shared" si="70"/>
        <v>5.8527663465935075E-5</v>
      </c>
      <c r="AL25">
        <f t="shared" si="70"/>
        <v>7.3159579332418838E-5</v>
      </c>
      <c r="AM25">
        <f t="shared" si="70"/>
        <v>1.4631915866483769E-5</v>
      </c>
      <c r="AN25">
        <f t="shared" si="70"/>
        <v>1.4631915866483769E-5</v>
      </c>
      <c r="AO25">
        <f t="shared" si="70"/>
        <v>1.4631915866483769E-5</v>
      </c>
      <c r="AP25">
        <f t="shared" si="70"/>
        <v>1.4631915866483769E-5</v>
      </c>
    </row>
    <row r="26" spans="2:42" x14ac:dyDescent="0.3">
      <c r="Y26" t="s">
        <v>18</v>
      </c>
      <c r="Z26">
        <f>AC20</f>
        <v>0.22663374485596713</v>
      </c>
      <c r="AA26">
        <f>Z27</f>
        <v>0.22672153635116604</v>
      </c>
      <c r="AB26">
        <f t="shared" ref="AB26:AP26" si="71">AA27</f>
        <v>0.226750800182899</v>
      </c>
      <c r="AC26">
        <f t="shared" si="71"/>
        <v>0.22679469593049845</v>
      </c>
      <c r="AD26" s="7">
        <f t="shared" si="71"/>
        <v>0.22686785550983088</v>
      </c>
      <c r="AE26">
        <f t="shared" si="71"/>
        <v>0.22688248742569736</v>
      </c>
      <c r="AF26">
        <f t="shared" si="71"/>
        <v>0.22694101508916328</v>
      </c>
      <c r="AG26">
        <f t="shared" si="71"/>
        <v>0.22697027892089625</v>
      </c>
      <c r="AH26">
        <f t="shared" si="71"/>
        <v>0.22698491083676273</v>
      </c>
      <c r="AI26">
        <f t="shared" si="71"/>
        <v>0.22702880658436217</v>
      </c>
      <c r="AJ26">
        <f t="shared" si="71"/>
        <v>0.22707270233196161</v>
      </c>
      <c r="AK26">
        <f t="shared" si="71"/>
        <v>0.22710196616369457</v>
      </c>
      <c r="AL26">
        <f t="shared" si="71"/>
        <v>0.2271604938271605</v>
      </c>
      <c r="AM26">
        <f t="shared" si="71"/>
        <v>0.22723365340649293</v>
      </c>
      <c r="AN26">
        <f t="shared" si="71"/>
        <v>0.22724828532235941</v>
      </c>
      <c r="AO26">
        <f t="shared" si="71"/>
        <v>0.22726291723822589</v>
      </c>
      <c r="AP26">
        <f t="shared" si="71"/>
        <v>0.22727754915409237</v>
      </c>
    </row>
    <row r="27" spans="2:42" x14ac:dyDescent="0.3">
      <c r="G27" t="s">
        <v>1</v>
      </c>
      <c r="H27" t="s">
        <v>3</v>
      </c>
      <c r="I27" t="s">
        <v>4</v>
      </c>
      <c r="J27" t="s">
        <v>5</v>
      </c>
      <c r="K27" t="s">
        <v>6</v>
      </c>
      <c r="L27" t="s">
        <v>7</v>
      </c>
      <c r="M27" t="s">
        <v>8</v>
      </c>
      <c r="N27" t="s">
        <v>9</v>
      </c>
      <c r="O27" t="s">
        <v>10</v>
      </c>
      <c r="P27" t="s">
        <v>11</v>
      </c>
      <c r="Q27" t="s">
        <v>12</v>
      </c>
      <c r="R27" t="s">
        <v>13</v>
      </c>
      <c r="S27" t="s">
        <v>14</v>
      </c>
      <c r="T27" t="s">
        <v>15</v>
      </c>
      <c r="U27" t="s">
        <v>16</v>
      </c>
      <c r="V27" t="s">
        <v>2</v>
      </c>
      <c r="W27" t="s">
        <v>17</v>
      </c>
      <c r="Y27" t="s">
        <v>19</v>
      </c>
      <c r="Z27">
        <f>Z26+Z25</f>
        <v>0.22672153635116604</v>
      </c>
      <c r="AA27">
        <f>AA26+AA25</f>
        <v>0.226750800182899</v>
      </c>
      <c r="AB27">
        <f t="shared" ref="AB27" si="72">AB26+AB25</f>
        <v>0.22679469593049845</v>
      </c>
      <c r="AC27">
        <f t="shared" ref="AC27" si="73">AC26+AC25</f>
        <v>0.22686785550983088</v>
      </c>
      <c r="AD27" s="7">
        <f t="shared" ref="AD27" si="74">AD26+AD25</f>
        <v>0.22688248742569736</v>
      </c>
      <c r="AE27">
        <f t="shared" ref="AE27" si="75">AE26+AE25</f>
        <v>0.22694101508916328</v>
      </c>
      <c r="AF27">
        <f t="shared" ref="AF27" si="76">AF26+AF25</f>
        <v>0.22697027892089625</v>
      </c>
      <c r="AG27">
        <f t="shared" ref="AG27" si="77">AG26+AG25</f>
        <v>0.22698491083676273</v>
      </c>
      <c r="AH27" s="1">
        <f>AH26+AH25</f>
        <v>0.22702880658436217</v>
      </c>
      <c r="AI27">
        <f t="shared" ref="AI27" si="78">AI26+AI25</f>
        <v>0.22707270233196161</v>
      </c>
      <c r="AJ27">
        <f t="shared" ref="AJ27" si="79">AJ26+AJ25</f>
        <v>0.22710196616369457</v>
      </c>
      <c r="AK27">
        <f t="shared" ref="AK27" si="80">AK26+AK25</f>
        <v>0.2271604938271605</v>
      </c>
      <c r="AL27">
        <f t="shared" ref="AL27" si="81">AL26+AL25</f>
        <v>0.22723365340649293</v>
      </c>
      <c r="AM27">
        <f t="shared" ref="AM27" si="82">AM26+AM25</f>
        <v>0.22724828532235941</v>
      </c>
      <c r="AN27">
        <f t="shared" ref="AN27" si="83">AN26+AN25</f>
        <v>0.22726291723822589</v>
      </c>
      <c r="AO27">
        <f t="shared" ref="AO27" si="84">AO26+AO25</f>
        <v>0.22727754915409237</v>
      </c>
      <c r="AP27">
        <f t="shared" ref="AP27" si="85">AP26+AP25</f>
        <v>0.22729218106995885</v>
      </c>
    </row>
    <row r="28" spans="2:42" x14ac:dyDescent="0.3">
      <c r="F28" t="s">
        <v>8</v>
      </c>
      <c r="G28">
        <f>$N$21*G7</f>
        <v>5.8527663465935073E-6</v>
      </c>
      <c r="H28">
        <f t="shared" ref="H28:W28" si="86">$N$21*H7</f>
        <v>1.950922115531169E-6</v>
      </c>
      <c r="I28">
        <f t="shared" si="86"/>
        <v>2.9263831732967537E-6</v>
      </c>
      <c r="J28" s="10">
        <f t="shared" si="86"/>
        <v>4.8773052888279226E-6</v>
      </c>
      <c r="K28">
        <f t="shared" si="86"/>
        <v>9.7546105776558448E-7</v>
      </c>
      <c r="L28">
        <f t="shared" si="86"/>
        <v>3.9018442310623379E-6</v>
      </c>
      <c r="M28">
        <f t="shared" si="86"/>
        <v>1.950922115531169E-6</v>
      </c>
      <c r="N28">
        <f t="shared" si="86"/>
        <v>9.7546105776558448E-7</v>
      </c>
      <c r="O28">
        <f t="shared" si="86"/>
        <v>2.9263831732967537E-6</v>
      </c>
      <c r="P28">
        <f t="shared" si="86"/>
        <v>2.9263831732967537E-6</v>
      </c>
      <c r="Q28">
        <f t="shared" si="86"/>
        <v>1.950922115531169E-6</v>
      </c>
      <c r="R28">
        <f t="shared" si="86"/>
        <v>3.9018442310623379E-6</v>
      </c>
      <c r="S28">
        <f t="shared" si="86"/>
        <v>4.8773052888279226E-6</v>
      </c>
      <c r="T28">
        <f t="shared" si="86"/>
        <v>9.7546105776558448E-7</v>
      </c>
      <c r="U28">
        <f t="shared" si="86"/>
        <v>9.7546105776558448E-7</v>
      </c>
      <c r="V28">
        <f t="shared" si="86"/>
        <v>9.7546105776558448E-7</v>
      </c>
      <c r="W28">
        <f t="shared" si="86"/>
        <v>9.7546105776558448E-7</v>
      </c>
    </row>
    <row r="29" spans="2:42" x14ac:dyDescent="0.3">
      <c r="F29" t="s">
        <v>18</v>
      </c>
      <c r="G29">
        <f>N22</f>
        <v>0.36496021947873797</v>
      </c>
      <c r="H29">
        <f>G30</f>
        <v>0.36496607224508454</v>
      </c>
      <c r="I29">
        <f t="shared" ref="I29:W29" si="87">H30</f>
        <v>0.36496802316720006</v>
      </c>
      <c r="J29" s="9">
        <f t="shared" si="87"/>
        <v>0.36497094955037335</v>
      </c>
      <c r="K29">
        <f t="shared" si="87"/>
        <v>0.36497582685566216</v>
      </c>
      <c r="L29">
        <f t="shared" si="87"/>
        <v>0.36497680231671992</v>
      </c>
      <c r="M29">
        <f t="shared" si="87"/>
        <v>0.36498070416095096</v>
      </c>
      <c r="N29">
        <f t="shared" si="87"/>
        <v>0.36498265508306649</v>
      </c>
      <c r="O29">
        <f t="shared" si="87"/>
        <v>0.36498363054412425</v>
      </c>
      <c r="P29">
        <f t="shared" si="87"/>
        <v>0.36498655692729753</v>
      </c>
      <c r="Q29">
        <f t="shared" si="87"/>
        <v>0.36498948331047082</v>
      </c>
      <c r="R29">
        <f t="shared" si="87"/>
        <v>0.36499143423258634</v>
      </c>
      <c r="S29">
        <f t="shared" si="87"/>
        <v>0.36499533607681739</v>
      </c>
      <c r="T29">
        <f t="shared" si="87"/>
        <v>0.3650002133821062</v>
      </c>
      <c r="U29">
        <f t="shared" si="87"/>
        <v>0.36500118884316396</v>
      </c>
      <c r="V29">
        <f t="shared" si="87"/>
        <v>0.36500216430422172</v>
      </c>
      <c r="W29">
        <f t="shared" si="87"/>
        <v>0.36500313976527948</v>
      </c>
    </row>
    <row r="30" spans="2:42" x14ac:dyDescent="0.3">
      <c r="F30" t="s">
        <v>19</v>
      </c>
      <c r="G30">
        <f>G29+G28</f>
        <v>0.36496607224508454</v>
      </c>
      <c r="H30">
        <f>H29+H28</f>
        <v>0.36496802316720006</v>
      </c>
      <c r="I30">
        <f t="shared" ref="I30:W30" si="88">I29+I28</f>
        <v>0.36497094955037335</v>
      </c>
      <c r="J30" s="9">
        <f t="shared" si="88"/>
        <v>0.36497582685566216</v>
      </c>
      <c r="K30">
        <f t="shared" si="88"/>
        <v>0.36497680231671992</v>
      </c>
      <c r="L30">
        <f t="shared" si="88"/>
        <v>0.36498070416095096</v>
      </c>
      <c r="M30">
        <f t="shared" si="88"/>
        <v>0.36498265508306649</v>
      </c>
      <c r="N30">
        <f t="shared" si="88"/>
        <v>0.36498363054412425</v>
      </c>
      <c r="O30">
        <f t="shared" si="88"/>
        <v>0.36498655692729753</v>
      </c>
      <c r="P30">
        <f t="shared" si="88"/>
        <v>0.36498948331047082</v>
      </c>
      <c r="Q30">
        <f t="shared" si="88"/>
        <v>0.36499143423258634</v>
      </c>
      <c r="R30">
        <f t="shared" si="88"/>
        <v>0.36499533607681739</v>
      </c>
      <c r="S30">
        <f t="shared" si="88"/>
        <v>0.3650002133821062</v>
      </c>
      <c r="T30">
        <f t="shared" si="88"/>
        <v>0.36500118884316396</v>
      </c>
      <c r="U30">
        <f t="shared" si="88"/>
        <v>0.36500216430422172</v>
      </c>
      <c r="V30">
        <f t="shared" si="88"/>
        <v>0.36500313976527948</v>
      </c>
      <c r="W30" s="6">
        <f t="shared" si="88"/>
        <v>0.36500411522633724</v>
      </c>
    </row>
  </sheetData>
  <sortState xmlns:xlrd2="http://schemas.microsoft.com/office/spreadsheetml/2017/richdata2" ref="B7:D24">
    <sortCondition ref="B7:B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6881-2DF5-4FD5-9AD7-0A7861DF426E}">
  <dimension ref="C5:E10"/>
  <sheetViews>
    <sheetView tabSelected="1" workbookViewId="0">
      <selection activeCell="C7" sqref="C7"/>
    </sheetView>
  </sheetViews>
  <sheetFormatPr baseColWidth="10" defaultRowHeight="14.4" x14ac:dyDescent="0.3"/>
  <sheetData>
    <row r="5" spans="3:5" x14ac:dyDescent="0.3">
      <c r="C5" t="s">
        <v>22</v>
      </c>
    </row>
    <row r="6" spans="3:5" x14ac:dyDescent="0.3">
      <c r="C6" t="s">
        <v>23</v>
      </c>
    </row>
    <row r="7" spans="3:5" x14ac:dyDescent="0.3">
      <c r="E7" t="s">
        <v>15</v>
      </c>
    </row>
    <row r="8" spans="3:5" x14ac:dyDescent="0.3">
      <c r="C8">
        <v>4.8773052888279226E-6</v>
      </c>
    </row>
    <row r="9" spans="3:5" x14ac:dyDescent="0.3">
      <c r="C9">
        <v>0.36497094955037335</v>
      </c>
    </row>
    <row r="10" spans="3:5" x14ac:dyDescent="0.3">
      <c r="C10">
        <v>0.36497582685566216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F55E-81C9-4565-86CE-6B1CC9283D6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Codigo Aritmetico</vt:lpstr>
      <vt:lpstr>Metodo 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BLAVIR EMANUEL LOZANO MONTOYA</dc:creator>
  <cp:lastModifiedBy>BLAVIR EMANUEL LOZANO MONTOYA</cp:lastModifiedBy>
  <dcterms:created xsi:type="dcterms:W3CDTF">2026-03-26T23:24:12Z</dcterms:created>
  <dcterms:modified xsi:type="dcterms:W3CDTF">2026-03-27T01:02:28Z</dcterms:modified>
</cp:coreProperties>
</file>
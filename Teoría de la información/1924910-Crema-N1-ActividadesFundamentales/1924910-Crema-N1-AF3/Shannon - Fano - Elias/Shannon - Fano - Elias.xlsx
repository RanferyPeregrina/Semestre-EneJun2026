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vi\Downloads\"/>
    </mc:Choice>
  </mc:AlternateContent>
  <xr:revisionPtr revIDLastSave="0" documentId="8_{F5AE0C2C-F18F-48F6-808C-BD73D7955937}" xr6:coauthVersionLast="47" xr6:coauthVersionMax="47" xr10:uidLastSave="{00000000-0000-0000-0000-000000000000}"/>
  <bookViews>
    <workbookView xWindow="-108" yWindow="-108" windowWidth="23256" windowHeight="12456" xr2:uid="{68A2A342-0B5D-4607-BFBD-1354886C79F1}"/>
  </bookViews>
  <sheets>
    <sheet name="Shannon - Fano - Eli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9" i="1" l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J6" i="1"/>
  <c r="J7" i="1" s="1"/>
  <c r="G6" i="1"/>
  <c r="F6" i="1"/>
  <c r="G5" i="1"/>
  <c r="F5" i="1"/>
  <c r="J4" i="1"/>
  <c r="G4" i="1"/>
  <c r="F4" i="1"/>
  <c r="G3" i="1"/>
  <c r="F3" i="1"/>
  <c r="K6" i="1" l="1"/>
  <c r="K7" i="1" l="1"/>
  <c r="L6" i="1"/>
  <c r="L7" i="1" l="1"/>
  <c r="M6" i="1"/>
  <c r="M7" i="1" l="1"/>
  <c r="N6" i="1"/>
  <c r="N7" i="1" l="1"/>
  <c r="O6" i="1"/>
  <c r="O7" i="1" s="1"/>
</calcChain>
</file>

<file path=xl/sharedStrings.xml><?xml version="1.0" encoding="utf-8"?>
<sst xmlns="http://schemas.openxmlformats.org/spreadsheetml/2006/main" count="38" uniqueCount="38">
  <si>
    <t>fi</t>
  </si>
  <si>
    <t>FI</t>
  </si>
  <si>
    <t>lx</t>
  </si>
  <si>
    <t>a</t>
  </si>
  <si>
    <t>000</t>
  </si>
  <si>
    <t>e</t>
  </si>
  <si>
    <t>0011</t>
  </si>
  <si>
    <t>s</t>
  </si>
  <si>
    <t>0100</t>
  </si>
  <si>
    <t>i</t>
  </si>
  <si>
    <t>0110</t>
  </si>
  <si>
    <t>r</t>
  </si>
  <si>
    <t>0111</t>
  </si>
  <si>
    <t>d</t>
  </si>
  <si>
    <t>1001</t>
  </si>
  <si>
    <t>n</t>
  </si>
  <si>
    <t>1010</t>
  </si>
  <si>
    <t>o</t>
  </si>
  <si>
    <t>1011</t>
  </si>
  <si>
    <t>c</t>
  </si>
  <si>
    <t>11000</t>
  </si>
  <si>
    <t>l</t>
  </si>
  <si>
    <t>11001</t>
  </si>
  <si>
    <t>p</t>
  </si>
  <si>
    <t>11011</t>
  </si>
  <si>
    <t>_</t>
  </si>
  <si>
    <t>111000</t>
  </si>
  <si>
    <t>á</t>
  </si>
  <si>
    <t>111001</t>
  </si>
  <si>
    <t>f</t>
  </si>
  <si>
    <t>111011</t>
  </si>
  <si>
    <t>m</t>
  </si>
  <si>
    <t>111100</t>
  </si>
  <si>
    <t>t</t>
  </si>
  <si>
    <t>111101</t>
  </si>
  <si>
    <t>u</t>
  </si>
  <si>
    <t>111111</t>
  </si>
  <si>
    <t>Una corona di spine sarà il dress-code per la mia festa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</si>
</sst>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E704-A0EE-4F0E-8D80-762DAEFEF64B}">
  <dimension ref="C1:O19"/>
  <sheetViews>
    <sheetView tabSelected="1" workbookViewId="0">
      <selection activeCell="C1" sqref="C1"/>
    </sheetView>
  </sheetViews>
  <sheetFormatPr baseColWidth="10" defaultRowHeight="14.4" x14ac:dyDescent="0.3"/>
  <sheetData>
    <row r="1" spans="3:15" x14ac:dyDescent="0.3">
      <c r="C1" t="s">
        <v>37</v>
      </c>
    </row>
    <row r="2" spans="3:15" x14ac:dyDescent="0.3">
      <c r="E2" t="s">
        <v>0</v>
      </c>
      <c r="F2" t="s">
        <v>1</v>
      </c>
      <c r="G2" t="s">
        <v>2</v>
      </c>
    </row>
    <row r="3" spans="3:15" x14ac:dyDescent="0.3">
      <c r="C3" t="s">
        <v>3</v>
      </c>
      <c r="D3">
        <v>6</v>
      </c>
      <c r="E3">
        <v>0.13333333333333333</v>
      </c>
      <c r="F3">
        <f>E3/2</f>
        <v>6.6666666666666666E-2</v>
      </c>
      <c r="G3">
        <f>TRUNC(LOG(1/E3,2))+1</f>
        <v>3</v>
      </c>
      <c r="H3" s="1" t="s">
        <v>4</v>
      </c>
    </row>
    <row r="4" spans="3:15" x14ac:dyDescent="0.3">
      <c r="C4" t="s">
        <v>5</v>
      </c>
      <c r="D4">
        <v>5</v>
      </c>
      <c r="E4">
        <v>0.1111111111111111</v>
      </c>
      <c r="F4">
        <f>E3+E4/2</f>
        <v>0.18888888888888888</v>
      </c>
      <c r="G4">
        <f t="shared" ref="G4:G19" si="0">TRUNC(LOG(1/E4,2))+1</f>
        <v>4</v>
      </c>
      <c r="H4" s="1" t="s">
        <v>6</v>
      </c>
      <c r="J4" s="2">
        <f>F19</f>
        <v>0.98888888888888871</v>
      </c>
    </row>
    <row r="5" spans="3:15" x14ac:dyDescent="0.3">
      <c r="C5" t="s">
        <v>7</v>
      </c>
      <c r="D5">
        <v>5</v>
      </c>
      <c r="E5">
        <v>0.1111111111111111</v>
      </c>
      <c r="F5">
        <f>SUM($E$3:E4,E5/2)</f>
        <v>0.3</v>
      </c>
      <c r="G5">
        <f t="shared" si="0"/>
        <v>4</v>
      </c>
      <c r="H5" s="1" t="s">
        <v>8</v>
      </c>
    </row>
    <row r="6" spans="3:15" x14ac:dyDescent="0.3">
      <c r="C6" t="s">
        <v>9</v>
      </c>
      <c r="D6">
        <v>4</v>
      </c>
      <c r="E6">
        <v>8.8888888888888892E-2</v>
      </c>
      <c r="F6">
        <f>SUM($E$3:E5,E6/2)</f>
        <v>0.39999999999999997</v>
      </c>
      <c r="G6">
        <f t="shared" si="0"/>
        <v>4</v>
      </c>
      <c r="H6" s="1" t="s">
        <v>10</v>
      </c>
      <c r="J6" s="2">
        <f>J4*2</f>
        <v>1.9777777777777774</v>
      </c>
      <c r="K6" s="2">
        <f>IF(J6&gt;=1,(J6-1)*2,J6*2)</f>
        <v>1.9555555555555548</v>
      </c>
      <c r="L6" s="2">
        <f>IF(K6&gt;=1,(K6-1)*2,K6*2)</f>
        <v>1.9111111111111097</v>
      </c>
      <c r="M6" s="2">
        <f>IF(L6&gt;=1,(L6-1)*2,L6*2)</f>
        <v>1.8222222222222193</v>
      </c>
      <c r="N6" s="2">
        <f>IF(M6&gt;=1,(M6-1)*2,M6*2)</f>
        <v>1.6444444444444386</v>
      </c>
      <c r="O6" s="2">
        <f>IF(N6&gt;=1,(N6-1)*2,N6*2)</f>
        <v>1.2888888888888772</v>
      </c>
    </row>
    <row r="7" spans="3:15" x14ac:dyDescent="0.3">
      <c r="C7" t="s">
        <v>11</v>
      </c>
      <c r="D7">
        <v>4</v>
      </c>
      <c r="E7">
        <v>8.8888888888888892E-2</v>
      </c>
      <c r="F7">
        <f>SUM($E$3:E6,E7/2)</f>
        <v>0.48888888888888887</v>
      </c>
      <c r="G7">
        <f t="shared" si="0"/>
        <v>4</v>
      </c>
      <c r="H7" s="1" t="s">
        <v>12</v>
      </c>
      <c r="J7">
        <f>IF(J6&gt;=1,1,0)</f>
        <v>1</v>
      </c>
      <c r="K7">
        <f t="shared" ref="K7:L7" si="1">IF(K6&gt;=1,1,0)</f>
        <v>1</v>
      </c>
      <c r="L7">
        <f t="shared" si="1"/>
        <v>1</v>
      </c>
      <c r="M7">
        <f>IF(M6&gt;=1,1,0)</f>
        <v>1</v>
      </c>
      <c r="N7">
        <f>IF(N6&gt;=1,1,0)</f>
        <v>1</v>
      </c>
      <c r="O7">
        <f>IF(O6&gt;=1,1,0)</f>
        <v>1</v>
      </c>
    </row>
    <row r="8" spans="3:15" x14ac:dyDescent="0.3">
      <c r="C8" t="s">
        <v>13</v>
      </c>
      <c r="D8">
        <v>3</v>
      </c>
      <c r="E8">
        <v>6.6666666666666666E-2</v>
      </c>
      <c r="F8">
        <f>SUM($E$3:E7,E8/2)</f>
        <v>0.56666666666666665</v>
      </c>
      <c r="G8">
        <f t="shared" si="0"/>
        <v>4</v>
      </c>
      <c r="H8" s="1" t="s">
        <v>14</v>
      </c>
    </row>
    <row r="9" spans="3:15" x14ac:dyDescent="0.3">
      <c r="C9" t="s">
        <v>15</v>
      </c>
      <c r="D9">
        <v>3</v>
      </c>
      <c r="E9">
        <v>6.6666666666666666E-2</v>
      </c>
      <c r="F9">
        <f>SUM($E$3:E8,E9/2)</f>
        <v>0.6333333333333333</v>
      </c>
      <c r="G9">
        <f t="shared" si="0"/>
        <v>4</v>
      </c>
      <c r="H9" s="1" t="s">
        <v>16</v>
      </c>
    </row>
    <row r="10" spans="3:15" x14ac:dyDescent="0.3">
      <c r="C10" t="s">
        <v>17</v>
      </c>
      <c r="D10">
        <v>3</v>
      </c>
      <c r="E10">
        <v>6.6666666666666666E-2</v>
      </c>
      <c r="F10">
        <f>SUM($E$3:E9,E10/2)</f>
        <v>0.7</v>
      </c>
      <c r="G10">
        <f t="shared" si="0"/>
        <v>4</v>
      </c>
      <c r="H10" s="1" t="s">
        <v>18</v>
      </c>
    </row>
    <row r="11" spans="3:15" x14ac:dyDescent="0.3">
      <c r="C11" t="s">
        <v>19</v>
      </c>
      <c r="D11">
        <v>2</v>
      </c>
      <c r="E11">
        <v>4.4444444444444446E-2</v>
      </c>
      <c r="F11">
        <f>SUM($E$3:E10,E11/2)</f>
        <v>0.75555555555555554</v>
      </c>
      <c r="G11">
        <f t="shared" si="0"/>
        <v>5</v>
      </c>
      <c r="H11" s="1" t="s">
        <v>20</v>
      </c>
    </row>
    <row r="12" spans="3:15" x14ac:dyDescent="0.3">
      <c r="C12" t="s">
        <v>21</v>
      </c>
      <c r="D12">
        <v>2</v>
      </c>
      <c r="E12">
        <v>4.4444444444444446E-2</v>
      </c>
      <c r="F12">
        <f>SUM($E$3:E11,E12/2)</f>
        <v>0.79999999999999993</v>
      </c>
      <c r="G12">
        <f t="shared" si="0"/>
        <v>5</v>
      </c>
      <c r="H12" s="1" t="s">
        <v>22</v>
      </c>
    </row>
    <row r="13" spans="3:15" x14ac:dyDescent="0.3">
      <c r="C13" t="s">
        <v>23</v>
      </c>
      <c r="D13">
        <v>2</v>
      </c>
      <c r="E13">
        <v>4.4444444444444446E-2</v>
      </c>
      <c r="F13">
        <f>SUM($E$3:E12,E13/2)</f>
        <v>0.84444444444444433</v>
      </c>
      <c r="G13">
        <f>TRUNC(LOG(1/E13,2))+1</f>
        <v>5</v>
      </c>
      <c r="H13" s="1" t="s">
        <v>24</v>
      </c>
    </row>
    <row r="14" spans="3:15" x14ac:dyDescent="0.3">
      <c r="C14" t="s">
        <v>25</v>
      </c>
      <c r="D14">
        <v>1</v>
      </c>
      <c r="E14">
        <v>2.2222222222222199E-2</v>
      </c>
      <c r="F14">
        <f>SUM($E$3:E13,E14/2)</f>
        <v>0.87777777777777755</v>
      </c>
      <c r="G14">
        <f t="shared" si="0"/>
        <v>6</v>
      </c>
      <c r="H14" s="1" t="s">
        <v>26</v>
      </c>
    </row>
    <row r="15" spans="3:15" x14ac:dyDescent="0.3">
      <c r="C15" t="s">
        <v>27</v>
      </c>
      <c r="D15">
        <v>1</v>
      </c>
      <c r="E15">
        <v>2.2222222222222223E-2</v>
      </c>
      <c r="F15">
        <f>SUM($E$3:E14,E15/2)</f>
        <v>0.89999999999999969</v>
      </c>
      <c r="G15">
        <f t="shared" si="0"/>
        <v>6</v>
      </c>
      <c r="H15" s="1" t="s">
        <v>28</v>
      </c>
    </row>
    <row r="16" spans="3:15" x14ac:dyDescent="0.3">
      <c r="C16" t="s">
        <v>29</v>
      </c>
      <c r="D16">
        <v>1</v>
      </c>
      <c r="E16">
        <v>2.2222222222222223E-2</v>
      </c>
      <c r="F16">
        <f>SUM($E$3:E15,E16/2)</f>
        <v>0.92222222222222194</v>
      </c>
      <c r="G16">
        <f t="shared" si="0"/>
        <v>6</v>
      </c>
      <c r="H16" s="1" t="s">
        <v>30</v>
      </c>
    </row>
    <row r="17" spans="3:8" x14ac:dyDescent="0.3">
      <c r="C17" t="s">
        <v>31</v>
      </c>
      <c r="D17">
        <v>1</v>
      </c>
      <c r="E17">
        <v>2.2222222222222223E-2</v>
      </c>
      <c r="F17">
        <f>SUM($E$3:E16,E17/2)</f>
        <v>0.9444444444444442</v>
      </c>
      <c r="G17">
        <f t="shared" si="0"/>
        <v>6</v>
      </c>
      <c r="H17" s="1" t="s">
        <v>32</v>
      </c>
    </row>
    <row r="18" spans="3:8" x14ac:dyDescent="0.3">
      <c r="C18" t="s">
        <v>33</v>
      </c>
      <c r="D18">
        <v>1</v>
      </c>
      <c r="E18">
        <v>2.2222222222222223E-2</v>
      </c>
      <c r="F18">
        <f>SUM($E$3:E17,E18/2)</f>
        <v>0.96666666666666645</v>
      </c>
      <c r="G18">
        <f t="shared" si="0"/>
        <v>6</v>
      </c>
      <c r="H18" s="1" t="s">
        <v>34</v>
      </c>
    </row>
    <row r="19" spans="3:8" x14ac:dyDescent="0.3">
      <c r="C19" t="s">
        <v>35</v>
      </c>
      <c r="D19">
        <v>1</v>
      </c>
      <c r="E19">
        <v>2.2222222222222223E-2</v>
      </c>
      <c r="F19">
        <f>SUM($E$3:E18,E19/2)</f>
        <v>0.98888888888888871</v>
      </c>
      <c r="G19">
        <f t="shared" si="0"/>
        <v>6</v>
      </c>
      <c r="H19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Shannon - Fano - Elias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Blavir Lozano</dc:creator>
  <cp:lastModifiedBy>Blavir Lozano</cp:lastModifiedBy>
  <dcterms:created xsi:type="dcterms:W3CDTF">2026-05-26T20:26:20Z</dcterms:created>
  <dcterms:modified xsi:type="dcterms:W3CDTF">2026-05-26T20:29:01Z</dcterms:modified>
</cp:coreProperties>
</file>
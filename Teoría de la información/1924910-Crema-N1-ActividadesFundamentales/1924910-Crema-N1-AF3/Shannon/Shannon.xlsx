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vi\Downloads\"/>
    </mc:Choice>
  </mc:AlternateContent>
  <xr:revisionPtr revIDLastSave="0" documentId="13_ncr:1_{BA4617B2-A556-4F3B-8C21-D63D1A446999}" xr6:coauthVersionLast="47" xr6:coauthVersionMax="47" xr10:uidLastSave="{00000000-0000-0000-0000-000000000000}"/>
  <bookViews>
    <workbookView xWindow="-108" yWindow="-108" windowWidth="23256" windowHeight="12456" xr2:uid="{F8C2F8A0-52B3-4B41-ACAA-306127F54B4A}"/>
  </bookViews>
  <sheets>
    <sheet name="Shann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  <c r="F14" i="1"/>
  <c r="F13" i="1"/>
  <c r="F12" i="1"/>
  <c r="F11" i="1"/>
  <c r="F10" i="1"/>
  <c r="F9" i="1"/>
  <c r="F8" i="1"/>
  <c r="I7" i="1"/>
  <c r="I8" i="1" s="1"/>
  <c r="F7" i="1"/>
  <c r="F6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I11" i="1" s="1"/>
  <c r="I13" i="1" s="1"/>
  <c r="F5" i="1"/>
  <c r="E5" i="1"/>
  <c r="F4" i="1"/>
  <c r="G21" i="1" s="1"/>
  <c r="G22" i="1" s="1"/>
  <c r="J13" i="1" l="1"/>
  <c r="I14" i="1"/>
  <c r="J7" i="1"/>
  <c r="J8" i="1" l="1"/>
  <c r="K7" i="1"/>
  <c r="K13" i="1"/>
  <c r="J14" i="1"/>
  <c r="L13" i="1" l="1"/>
  <c r="K14" i="1"/>
  <c r="L7" i="1"/>
  <c r="K8" i="1"/>
  <c r="M7" i="1" l="1"/>
  <c r="M8" i="1" s="1"/>
  <c r="L8" i="1"/>
  <c r="M13" i="1"/>
  <c r="L14" i="1"/>
  <c r="N13" i="1" l="1"/>
  <c r="N14" i="1" s="1"/>
  <c r="M14" i="1"/>
</calcChain>
</file>

<file path=xl/sharedStrings.xml><?xml version="1.0" encoding="utf-8"?>
<sst xmlns="http://schemas.openxmlformats.org/spreadsheetml/2006/main" count="30" uniqueCount="30">
  <si>
    <t>fi</t>
  </si>
  <si>
    <t>Fi</t>
  </si>
  <si>
    <t>lk</t>
  </si>
  <si>
    <t>Neal Koblitz</t>
  </si>
  <si>
    <t>a</t>
  </si>
  <si>
    <t>000</t>
  </si>
  <si>
    <t>e</t>
  </si>
  <si>
    <t>0010</t>
  </si>
  <si>
    <t>s</t>
  </si>
  <si>
    <t>0011</t>
  </si>
  <si>
    <t>i</t>
  </si>
  <si>
    <t>0101</t>
  </si>
  <si>
    <t>r</t>
  </si>
  <si>
    <t>0111</t>
  </si>
  <si>
    <t>d</t>
  </si>
  <si>
    <t>n</t>
  </si>
  <si>
    <t>o</t>
  </si>
  <si>
    <t>c</t>
  </si>
  <si>
    <t>l</t>
  </si>
  <si>
    <t>p</t>
  </si>
  <si>
    <t>_</t>
  </si>
  <si>
    <t>á</t>
  </si>
  <si>
    <t>f</t>
  </si>
  <si>
    <t>m</t>
  </si>
  <si>
    <t>t</t>
  </si>
  <si>
    <t>u</t>
  </si>
  <si>
    <t>LMS</t>
  </si>
  <si>
    <t>Bits/Char</t>
  </si>
  <si>
    <t>RC</t>
  </si>
  <si>
    <t>Una corona di spine Sara il dress-code per la mia festa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</si>
</sst>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2438-200C-4442-9FAC-0DFA830018DB}">
  <dimension ref="B1:N22"/>
  <sheetViews>
    <sheetView tabSelected="1" workbookViewId="0">
      <selection activeCell="A10" sqref="A10"/>
    </sheetView>
  </sheetViews>
  <sheetFormatPr baseColWidth="10" defaultRowHeight="14.4" x14ac:dyDescent="0.3"/>
  <sheetData>
    <row r="1" spans="2:14" x14ac:dyDescent="0.3">
      <c r="B1" t="s">
        <v>29</v>
      </c>
    </row>
    <row r="3" spans="2:14" x14ac:dyDescent="0.3">
      <c r="D3" t="s">
        <v>0</v>
      </c>
      <c r="E3" t="s">
        <v>1</v>
      </c>
      <c r="F3" t="s">
        <v>2</v>
      </c>
      <c r="I3" t="s">
        <v>3</v>
      </c>
    </row>
    <row r="4" spans="2:14" x14ac:dyDescent="0.3">
      <c r="B4" t="s">
        <v>4</v>
      </c>
      <c r="C4">
        <v>6</v>
      </c>
      <c r="D4">
        <v>0.13333333333333333</v>
      </c>
      <c r="E4">
        <v>0</v>
      </c>
      <c r="F4">
        <f>ROUNDUP(LOG(1/D4,2),0)</f>
        <v>3</v>
      </c>
      <c r="G4" s="1" t="s">
        <v>5</v>
      </c>
    </row>
    <row r="5" spans="2:14" x14ac:dyDescent="0.3">
      <c r="B5" t="s">
        <v>6</v>
      </c>
      <c r="C5">
        <v>5</v>
      </c>
      <c r="D5">
        <v>0.1111111111111111</v>
      </c>
      <c r="E5">
        <f>D4</f>
        <v>0.13333333333333333</v>
      </c>
      <c r="F5">
        <f t="shared" ref="F5:F20" si="0">ROUNDUP(LOG(1/D5,2),0)</f>
        <v>4</v>
      </c>
      <c r="G5" s="1" t="s">
        <v>7</v>
      </c>
      <c r="I5" s="2">
        <v>7.1428571428571425E-2</v>
      </c>
    </row>
    <row r="6" spans="2:14" x14ac:dyDescent="0.3">
      <c r="B6" t="s">
        <v>8</v>
      </c>
      <c r="C6">
        <v>5</v>
      </c>
      <c r="D6">
        <v>0.1111111111111111</v>
      </c>
      <c r="E6">
        <f>D4+D5</f>
        <v>0.24444444444444444</v>
      </c>
      <c r="F6">
        <f t="shared" si="0"/>
        <v>4</v>
      </c>
      <c r="G6" s="1" t="s">
        <v>9</v>
      </c>
    </row>
    <row r="7" spans="2:14" x14ac:dyDescent="0.3">
      <c r="B7" t="s">
        <v>10</v>
      </c>
      <c r="C7">
        <v>4</v>
      </c>
      <c r="D7">
        <v>8.8888888888888892E-2</v>
      </c>
      <c r="E7">
        <f>E6+D6</f>
        <v>0.35555555555555551</v>
      </c>
      <c r="F7">
        <f t="shared" si="0"/>
        <v>4</v>
      </c>
      <c r="G7" s="1" t="s">
        <v>11</v>
      </c>
      <c r="I7" s="3">
        <f>I5*2</f>
        <v>0.14285714285714285</v>
      </c>
      <c r="J7" s="3">
        <f>IF(I7&gt;=1,(I7-1)*2,I7*2)</f>
        <v>0.2857142857142857</v>
      </c>
      <c r="K7" s="3">
        <f>IF(J7&gt;=1,(J7-1)*2,J7*2)</f>
        <v>0.5714285714285714</v>
      </c>
      <c r="L7" s="3">
        <f>IF(K7&gt;=1,(K7-1)*2,K7*2)</f>
        <v>1.1428571428571428</v>
      </c>
      <c r="M7" s="3">
        <f>IF(L7&gt;=1,(L7-1)*2,L7*2)</f>
        <v>0.28571428571428559</v>
      </c>
    </row>
    <row r="8" spans="2:14" x14ac:dyDescent="0.3">
      <c r="B8" t="s">
        <v>12</v>
      </c>
      <c r="C8">
        <v>4</v>
      </c>
      <c r="D8">
        <v>8.8888888888888892E-2</v>
      </c>
      <c r="E8">
        <f t="shared" ref="E8:E20" si="1">E7+D7</f>
        <v>0.44444444444444442</v>
      </c>
      <c r="F8">
        <f t="shared" si="0"/>
        <v>4</v>
      </c>
      <c r="G8" s="1" t="s">
        <v>13</v>
      </c>
      <c r="I8">
        <f>IF(I7&gt;=1,1,0)</f>
        <v>0</v>
      </c>
      <c r="J8">
        <f t="shared" ref="J8:K8" si="2">IF(J7&gt;=1,1,0)</f>
        <v>0</v>
      </c>
      <c r="K8">
        <f t="shared" si="2"/>
        <v>0</v>
      </c>
      <c r="L8">
        <f>IF(L7&gt;=1,1,0)</f>
        <v>1</v>
      </c>
      <c r="M8">
        <f>IF(M7&gt;=1,1,0)</f>
        <v>0</v>
      </c>
    </row>
    <row r="9" spans="2:14" x14ac:dyDescent="0.3">
      <c r="B9" t="s">
        <v>14</v>
      </c>
      <c r="C9">
        <v>3</v>
      </c>
      <c r="D9">
        <v>6.6666666666666666E-2</v>
      </c>
      <c r="E9">
        <f t="shared" si="1"/>
        <v>0.53333333333333333</v>
      </c>
      <c r="F9">
        <f t="shared" si="0"/>
        <v>4</v>
      </c>
      <c r="G9">
        <v>1000</v>
      </c>
    </row>
    <row r="10" spans="2:14" x14ac:dyDescent="0.3">
      <c r="B10" t="s">
        <v>15</v>
      </c>
      <c r="C10">
        <v>3</v>
      </c>
      <c r="D10">
        <v>6.6666666666666666E-2</v>
      </c>
      <c r="E10">
        <f t="shared" si="1"/>
        <v>0.6</v>
      </c>
      <c r="F10">
        <f t="shared" si="0"/>
        <v>4</v>
      </c>
      <c r="G10">
        <v>1001</v>
      </c>
    </row>
    <row r="11" spans="2:14" x14ac:dyDescent="0.3">
      <c r="B11" t="s">
        <v>16</v>
      </c>
      <c r="C11">
        <v>3</v>
      </c>
      <c r="D11">
        <v>6.6666666666666666E-2</v>
      </c>
      <c r="E11">
        <f t="shared" si="1"/>
        <v>0.66666666666666663</v>
      </c>
      <c r="F11">
        <f t="shared" si="0"/>
        <v>4</v>
      </c>
      <c r="G11">
        <v>1010</v>
      </c>
      <c r="I11" s="4">
        <f>E20</f>
        <v>0.97777777777777763</v>
      </c>
    </row>
    <row r="12" spans="2:14" x14ac:dyDescent="0.3">
      <c r="B12" t="s">
        <v>17</v>
      </c>
      <c r="C12">
        <v>2</v>
      </c>
      <c r="D12">
        <v>4.4444444444444446E-2</v>
      </c>
      <c r="E12">
        <f t="shared" si="1"/>
        <v>0.73333333333333328</v>
      </c>
      <c r="F12">
        <f t="shared" si="0"/>
        <v>5</v>
      </c>
      <c r="G12">
        <v>10111</v>
      </c>
    </row>
    <row r="13" spans="2:14" x14ac:dyDescent="0.3">
      <c r="B13" t="s">
        <v>18</v>
      </c>
      <c r="C13">
        <v>2</v>
      </c>
      <c r="D13">
        <v>4.4444444444444446E-2</v>
      </c>
      <c r="E13">
        <f t="shared" si="1"/>
        <v>0.77777777777777768</v>
      </c>
      <c r="F13">
        <f t="shared" si="0"/>
        <v>5</v>
      </c>
      <c r="G13">
        <v>11000</v>
      </c>
      <c r="I13" s="4">
        <f>I11*2</f>
        <v>1.9555555555555553</v>
      </c>
      <c r="J13" s="4">
        <f>IF(I13&gt;=1,(I13-1)*2,I13*2)</f>
        <v>1.9111111111111105</v>
      </c>
      <c r="K13" s="4">
        <f>IF(J13&gt;=1,(J13-1)*2,J13*2)</f>
        <v>1.8222222222222211</v>
      </c>
      <c r="L13" s="4">
        <f>IF(K13&gt;=1,(K13-1)*2,K13*2)</f>
        <v>1.6444444444444422</v>
      </c>
      <c r="M13" s="4">
        <f>IF(L13&gt;=1,(L13-1)*2,L13*2)</f>
        <v>1.2888888888888843</v>
      </c>
      <c r="N13" s="4">
        <f>IF(M13&gt;=1,(M13-1)*2,M13*2)</f>
        <v>0.57777777777776862</v>
      </c>
    </row>
    <row r="14" spans="2:14" x14ac:dyDescent="0.3">
      <c r="B14" t="s">
        <v>19</v>
      </c>
      <c r="C14">
        <v>2</v>
      </c>
      <c r="D14">
        <v>4.4444444444444446E-2</v>
      </c>
      <c r="E14">
        <f t="shared" si="1"/>
        <v>0.82222222222222208</v>
      </c>
      <c r="F14">
        <f t="shared" si="0"/>
        <v>5</v>
      </c>
      <c r="G14">
        <v>11010</v>
      </c>
      <c r="I14">
        <f>IF(I13&gt;=1,1,0)</f>
        <v>1</v>
      </c>
      <c r="J14">
        <f t="shared" ref="J14:K14" si="3">IF(J13&gt;=1,1,0)</f>
        <v>1</v>
      </c>
      <c r="K14">
        <f t="shared" si="3"/>
        <v>1</v>
      </c>
      <c r="L14">
        <f>IF(L13&gt;=1,1,0)</f>
        <v>1</v>
      </c>
      <c r="M14">
        <f>IF(M13&gt;=1,1,0)</f>
        <v>1</v>
      </c>
      <c r="N14">
        <f>IF(N13&gt;=1,1,0)</f>
        <v>0</v>
      </c>
    </row>
    <row r="15" spans="2:14" x14ac:dyDescent="0.3">
      <c r="B15" t="s">
        <v>20</v>
      </c>
      <c r="C15">
        <v>1</v>
      </c>
      <c r="D15">
        <v>2.2222222222222199E-2</v>
      </c>
      <c r="E15">
        <f t="shared" si="1"/>
        <v>0.86666666666666647</v>
      </c>
      <c r="F15">
        <f t="shared" si="0"/>
        <v>6</v>
      </c>
      <c r="G15">
        <v>110111</v>
      </c>
    </row>
    <row r="16" spans="2:14" x14ac:dyDescent="0.3">
      <c r="B16" t="s">
        <v>21</v>
      </c>
      <c r="C16">
        <v>1</v>
      </c>
      <c r="D16">
        <v>2.2222222222222223E-2</v>
      </c>
      <c r="E16">
        <f t="shared" si="1"/>
        <v>0.88888888888888862</v>
      </c>
      <c r="F16">
        <f t="shared" si="0"/>
        <v>6</v>
      </c>
      <c r="G16">
        <v>111000</v>
      </c>
    </row>
    <row r="17" spans="2:8" x14ac:dyDescent="0.3">
      <c r="B17" t="s">
        <v>22</v>
      </c>
      <c r="C17">
        <v>1</v>
      </c>
      <c r="D17">
        <v>2.2222222222222223E-2</v>
      </c>
      <c r="E17">
        <f t="shared" si="1"/>
        <v>0.91111111111111087</v>
      </c>
      <c r="F17">
        <f t="shared" si="0"/>
        <v>6</v>
      </c>
      <c r="G17">
        <v>111010</v>
      </c>
    </row>
    <row r="18" spans="2:8" x14ac:dyDescent="0.3">
      <c r="B18" t="s">
        <v>23</v>
      </c>
      <c r="C18">
        <v>1</v>
      </c>
      <c r="D18">
        <v>2.2222222222222223E-2</v>
      </c>
      <c r="E18">
        <f>E17+D17</f>
        <v>0.93333333333333313</v>
      </c>
      <c r="F18">
        <f t="shared" si="0"/>
        <v>6</v>
      </c>
      <c r="G18">
        <v>111011</v>
      </c>
    </row>
    <row r="19" spans="2:8" x14ac:dyDescent="0.3">
      <c r="B19" t="s">
        <v>24</v>
      </c>
      <c r="C19">
        <v>1</v>
      </c>
      <c r="D19">
        <v>2.2222222222222223E-2</v>
      </c>
      <c r="E19">
        <f t="shared" si="1"/>
        <v>0.95555555555555538</v>
      </c>
      <c r="F19">
        <f t="shared" si="0"/>
        <v>6</v>
      </c>
      <c r="G19">
        <v>111101</v>
      </c>
    </row>
    <row r="20" spans="2:8" x14ac:dyDescent="0.3">
      <c r="B20" t="s">
        <v>25</v>
      </c>
      <c r="C20">
        <v>1</v>
      </c>
      <c r="D20">
        <v>2.2222222222222223E-2</v>
      </c>
      <c r="E20">
        <f t="shared" si="1"/>
        <v>0.97777777777777763</v>
      </c>
      <c r="F20">
        <f t="shared" si="0"/>
        <v>6</v>
      </c>
      <c r="G20">
        <v>111110</v>
      </c>
    </row>
    <row r="21" spans="2:8" x14ac:dyDescent="0.3">
      <c r="F21" t="s">
        <v>26</v>
      </c>
      <c r="G21">
        <f>SUMPRODUCT(D4:D20,F4:F20)</f>
        <v>4.2666666666666675</v>
      </c>
      <c r="H21" t="s">
        <v>27</v>
      </c>
    </row>
    <row r="22" spans="2:8" x14ac:dyDescent="0.3">
      <c r="F22" t="s">
        <v>28</v>
      </c>
      <c r="G22">
        <f>8/G21</f>
        <v>1.8749999999999996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Shannon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Blavir Lozano</dc:creator>
  <cp:lastModifiedBy>Blavir Lozano</cp:lastModifiedBy>
  <dcterms:created xsi:type="dcterms:W3CDTF">2026-05-26T19:26:36Z</dcterms:created>
  <dcterms:modified xsi:type="dcterms:W3CDTF">2026-05-26T19:28:53Z</dcterms:modified>
</cp:coreProperties>
</file>
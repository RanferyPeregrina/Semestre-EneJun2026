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A:\Repositorios\Semestre-EneJun2026\Teoría de la información\1924910-Crema-4N1-MC\"/>
    </mc:Choice>
  </mc:AlternateContent>
  <xr:revisionPtr revIDLastSave="0" documentId="13_ncr:1_{1227C060-FCC8-4350-8334-790A166C9988}" xr6:coauthVersionLast="47" xr6:coauthVersionMax="47" xr10:uidLastSave="{00000000-0000-0000-0000-000000000000}"/>
  <bookViews>
    <workbookView xWindow="-108" yWindow="-108" windowWidth="20376" windowHeight="12216" xr2:uid="{90F7E246-578B-4CCA-9328-F46E37544E22}"/>
  </bookViews>
  <sheets>
    <sheet name="Problema 2" sheetId="1" r:id="rId1"/>
    <sheet name="Problema 1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6" i="1" l="1"/>
  <c r="D5" i="2"/>
  <c r="D6" i="2"/>
  <c r="D7" i="2"/>
  <c r="D8" i="2"/>
  <c r="D9" i="2"/>
  <c r="D10" i="2"/>
  <c r="E10" i="2" s="1"/>
  <c r="D11" i="2"/>
  <c r="D12" i="2"/>
  <c r="D13" i="2"/>
  <c r="D14" i="2"/>
  <c r="E14" i="2" s="1"/>
  <c r="D15" i="2"/>
  <c r="E15" i="2" s="1"/>
  <c r="D16" i="2"/>
  <c r="E16" i="2" s="1"/>
  <c r="D17" i="2"/>
  <c r="D18" i="2"/>
  <c r="D19" i="2"/>
  <c r="D20" i="2"/>
  <c r="E20" i="2" s="1"/>
  <c r="D21" i="2"/>
  <c r="E21" i="2" s="1"/>
  <c r="D22" i="2"/>
  <c r="E22" i="2" s="1"/>
  <c r="D23" i="2"/>
  <c r="D24" i="2"/>
  <c r="D4" i="2"/>
  <c r="C25" i="2"/>
  <c r="E24" i="2"/>
  <c r="E23" i="2"/>
  <c r="E19" i="2"/>
  <c r="E18" i="2"/>
  <c r="E17" i="2"/>
  <c r="E13" i="2"/>
  <c r="E12" i="2"/>
  <c r="E11" i="2"/>
  <c r="E9" i="2"/>
  <c r="E8" i="2"/>
  <c r="E7" i="2"/>
  <c r="E6" i="2"/>
  <c r="E5" i="2"/>
  <c r="E4" i="2"/>
  <c r="F19" i="1"/>
  <c r="D19" i="1"/>
  <c r="C19" i="1"/>
  <c r="F18" i="1"/>
  <c r="E18" i="1"/>
  <c r="D18" i="1"/>
  <c r="D17" i="1"/>
  <c r="C16" i="1"/>
  <c r="H12" i="1"/>
  <c r="I12" i="1" s="1"/>
  <c r="E12" i="1"/>
  <c r="E19" i="1" s="1"/>
  <c r="D12" i="1"/>
  <c r="C12" i="1"/>
  <c r="A12" i="1"/>
  <c r="F11" i="1"/>
  <c r="D11" i="1"/>
  <c r="C11" i="1"/>
  <c r="H11" i="1" s="1"/>
  <c r="I11" i="1" s="1"/>
  <c r="H10" i="1"/>
  <c r="I10" i="1" s="1"/>
  <c r="F10" i="1"/>
  <c r="F17" i="1" s="1"/>
  <c r="F20" i="1" s="1"/>
  <c r="E10" i="1"/>
  <c r="E17" i="1" s="1"/>
  <c r="C10" i="1"/>
  <c r="C17" i="1" s="1"/>
  <c r="H9" i="1"/>
  <c r="H13" i="1" s="1"/>
  <c r="F9" i="1"/>
  <c r="E9" i="1"/>
  <c r="E16" i="1" s="1"/>
  <c r="D9" i="1"/>
  <c r="D16" i="1" s="1"/>
  <c r="D20" i="1" s="1"/>
  <c r="G4" i="1"/>
  <c r="F4" i="1"/>
  <c r="E25" i="2" l="1"/>
  <c r="E20" i="1"/>
  <c r="C18" i="1"/>
  <c r="C20" i="1" s="1"/>
  <c r="I9" i="1"/>
  <c r="I13" i="1" s="1"/>
</calcChain>
</file>

<file path=xl/sharedStrings.xml><?xml version="1.0" encoding="utf-8"?>
<sst xmlns="http://schemas.openxmlformats.org/spreadsheetml/2006/main" count="58" uniqueCount="40">
  <si>
    <t>Matrícula:</t>
  </si>
  <si>
    <t>Columna1</t>
  </si>
  <si>
    <t>a</t>
  </si>
  <si>
    <t>b</t>
  </si>
  <si>
    <t>c</t>
  </si>
  <si>
    <t>d</t>
  </si>
  <si>
    <t>Probabilidad de fallo</t>
  </si>
  <si>
    <t>Probabilidad de aparición</t>
  </si>
  <si>
    <t>Matríz de Trancisción</t>
  </si>
  <si>
    <t>Información mutua</t>
  </si>
  <si>
    <t>Entropía</t>
  </si>
  <si>
    <t>Matríz de Transmisión</t>
  </si>
  <si>
    <t>Frecuencia de salida</t>
  </si>
  <si>
    <t>Contamos cada letra</t>
  </si>
  <si>
    <t>Letra</t>
  </si>
  <si>
    <t>Frec Abs</t>
  </si>
  <si>
    <t>Frec Rel</t>
  </si>
  <si>
    <t xml:space="preserve">?             </t>
  </si>
  <si>
    <t xml:space="preserve">b             </t>
  </si>
  <si>
    <t xml:space="preserve">d             </t>
  </si>
  <si>
    <t xml:space="preserve">e            </t>
  </si>
  <si>
    <t xml:space="preserve">h             </t>
  </si>
  <si>
    <t xml:space="preserve">i             </t>
  </si>
  <si>
    <t xml:space="preserve">j            </t>
  </si>
  <si>
    <t xml:space="preserve">k             </t>
  </si>
  <si>
    <t xml:space="preserve">l            </t>
  </si>
  <si>
    <t xml:space="preserve">m            </t>
  </si>
  <si>
    <t xml:space="preserve">n            </t>
  </si>
  <si>
    <t xml:space="preserve">o            </t>
  </si>
  <si>
    <t xml:space="preserve">p            </t>
  </si>
  <si>
    <t xml:space="preserve">r             </t>
  </si>
  <si>
    <t xml:space="preserve">s            </t>
  </si>
  <si>
    <t xml:space="preserve">t             </t>
  </si>
  <si>
    <t xml:space="preserve">u             </t>
  </si>
  <si>
    <t xml:space="preserve">v            </t>
  </si>
  <si>
    <t xml:space="preserve">y             </t>
  </si>
  <si>
    <t xml:space="preserve">ä            </t>
  </si>
  <si>
    <t xml:space="preserve">ö             </t>
  </si>
  <si>
    <t>No me dio tiempo</t>
  </si>
  <si>
    <t>Lo dí todo.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</si>
</sst>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sz val="11"/>
      <color theme="8" tint="-0.24997711111789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1"/>
      </right>
      <top style="thin">
        <color theme="1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2" borderId="2" xfId="0" applyFont="1" applyFill="1" applyBorder="1" applyAlignment="1">
      <alignment wrapText="1"/>
    </xf>
    <xf numFmtId="0" fontId="0" fillId="0" borderId="0" xfId="0" applyAlignment="1">
      <alignment wrapText="1"/>
    </xf>
    <xf numFmtId="0" fontId="0" fillId="0" borderId="2" xfId="0" applyBorder="1" applyAlignment="1">
      <alignment wrapText="1"/>
    </xf>
    <xf numFmtId="0" fontId="0" fillId="3" borderId="0" xfId="0" applyFill="1" applyAlignment="1">
      <alignment horizontal="center"/>
    </xf>
    <xf numFmtId="0" fontId="0" fillId="4" borderId="0" xfId="0" applyFill="1" applyAlignment="1">
      <alignment wrapText="1"/>
    </xf>
    <xf numFmtId="0" fontId="0" fillId="4" borderId="0" xfId="0" applyFill="1"/>
    <xf numFmtId="0" fontId="0" fillId="5" borderId="0" xfId="0" applyFill="1"/>
    <xf numFmtId="164" fontId="0" fillId="5" borderId="0" xfId="1" applyNumberFormat="1" applyFont="1" applyFill="1"/>
    <xf numFmtId="164" fontId="0" fillId="0" borderId="0" xfId="0" applyNumberFormat="1"/>
    <xf numFmtId="164" fontId="0" fillId="3" borderId="0" xfId="0" applyNumberFormat="1" applyFill="1"/>
    <xf numFmtId="0" fontId="0" fillId="3" borderId="0" xfId="0" applyFill="1"/>
    <xf numFmtId="0" fontId="0" fillId="3" borderId="0" xfId="0" applyFill="1" applyAlignment="1">
      <alignment horizontal="center" wrapText="1"/>
    </xf>
    <xf numFmtId="164" fontId="5" fillId="3" borderId="0" xfId="0" applyNumberFormat="1" applyFont="1" applyFill="1"/>
    <xf numFmtId="0" fontId="0" fillId="3" borderId="0" xfId="0" applyFill="1" applyAlignment="1">
      <alignment horizontal="center"/>
    </xf>
    <xf numFmtId="0" fontId="0" fillId="4" borderId="0" xfId="0" quotePrefix="1" applyFill="1" applyAlignment="1">
      <alignment horizontal="center" wrapText="1"/>
    </xf>
    <xf numFmtId="0" fontId="0" fillId="4" borderId="0" xfId="0" applyFill="1" applyAlignment="1">
      <alignment horizontal="center" wrapText="1"/>
    </xf>
  </cellXfs>
  <cellStyles count="2">
    <cellStyle name="Normal" xfId="0" builtinId="0"/>
    <cellStyle name="Porcentaje" xfId="1" builtinId="5"/>
  </cellStyles>
  <dxfs count="3">
    <dxf>
      <numFmt numFmtId="0" formatCode="General"/>
    </dxf>
    <dxf>
      <numFmt numFmtId="0" formatCode="General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2742234-E09A-4C5E-A901-BFE4EE6572C5}" name="Tabla2" displayName="Tabla2" ref="B3:G4" totalsRowShown="0">
  <autoFilter ref="B3:G4" xr:uid="{22742234-E09A-4C5E-A901-BFE4EE6572C5}"/>
  <tableColumns count="6">
    <tableColumn id="1" xr3:uid="{D6980BF7-0FAA-41DB-A7C9-DF2563C7AC82}" name="Columna1" dataDxfId="2"/>
    <tableColumn id="2" xr3:uid="{69EC7381-0B6F-416D-93AB-8AF77C91E47D}" name="a"/>
    <tableColumn id="3" xr3:uid="{D0A59CB6-26C9-4417-9293-12EEB8911D4D}" name="b"/>
    <tableColumn id="4" xr3:uid="{8A5AC4BE-5195-4FDE-85A5-32F5A4493BBC}" name="c"/>
    <tableColumn id="10" xr3:uid="{693F80DF-8FC3-4C27-8CFC-31AAFD5C399D}" name="d" dataDxfId="1">
      <calculatedColumnFormula>A12</calculatedColumnFormula>
    </tableColumn>
    <tableColumn id="7" xr3:uid="{E9014D59-23AB-44AF-BA92-559ABFEEA140}" name="Probabilidad de fallo" dataDxfId="0">
      <calculatedColumnFormula xml:space="preserve"> 1 - 0.98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70877-0DC2-448C-8121-405780A00AFA}">
  <dimension ref="A1:I20"/>
  <sheetViews>
    <sheetView tabSelected="1" workbookViewId="0">
      <selection activeCell="G19" sqref="G19"/>
    </sheetView>
  </sheetViews>
  <sheetFormatPr baseColWidth="10" defaultRowHeight="14.4" x14ac:dyDescent="0.3"/>
  <sheetData>
    <row r="1" spans="1:9" ht="34.200000000000003" thickBot="1" x14ac:dyDescent="0.35">
      <c r="B1" s="1" t="s">
        <v>0</v>
      </c>
      <c r="C1" s="2">
        <v>1</v>
      </c>
      <c r="D1" s="2">
        <v>9</v>
      </c>
      <c r="E1" s="2">
        <v>2</v>
      </c>
      <c r="F1" s="2">
        <v>4</v>
      </c>
      <c r="G1" s="2">
        <v>9</v>
      </c>
      <c r="H1" s="2">
        <v>1</v>
      </c>
      <c r="I1" s="3">
        <v>0</v>
      </c>
    </row>
    <row r="3" spans="1:9" ht="28.8" x14ac:dyDescent="0.3">
      <c r="B3" t="s">
        <v>1</v>
      </c>
      <c r="C3" t="s">
        <v>2</v>
      </c>
      <c r="D3" t="s">
        <v>3</v>
      </c>
      <c r="E3" t="s">
        <v>4</v>
      </c>
      <c r="F3" t="s">
        <v>5</v>
      </c>
      <c r="G3" s="4" t="s">
        <v>6</v>
      </c>
    </row>
    <row r="4" spans="1:9" ht="28.8" x14ac:dyDescent="0.3">
      <c r="B4" s="5" t="s">
        <v>7</v>
      </c>
      <c r="C4">
        <v>0.17</v>
      </c>
      <c r="D4">
        <v>0.38</v>
      </c>
      <c r="E4">
        <v>0.2</v>
      </c>
      <c r="F4">
        <f>A12</f>
        <v>0.25</v>
      </c>
      <c r="G4" s="6">
        <f t="shared" ref="G4" si="0" xml:space="preserve"> 1 - 0.98</f>
        <v>2.0000000000000018E-2</v>
      </c>
    </row>
    <row r="5" spans="1:9" x14ac:dyDescent="0.3">
      <c r="B5" s="5"/>
      <c r="G5" s="5"/>
    </row>
    <row r="6" spans="1:9" x14ac:dyDescent="0.3">
      <c r="B6" s="5"/>
      <c r="G6" s="5"/>
    </row>
    <row r="7" spans="1:9" x14ac:dyDescent="0.3">
      <c r="A7" s="17" t="s">
        <v>8</v>
      </c>
      <c r="B7" s="17"/>
      <c r="C7" s="17"/>
      <c r="D7" s="17"/>
      <c r="E7" s="17"/>
      <c r="F7" s="7"/>
      <c r="H7" s="18" t="s">
        <v>9</v>
      </c>
      <c r="I7" s="19" t="s">
        <v>10</v>
      </c>
    </row>
    <row r="8" spans="1:9" ht="28.8" x14ac:dyDescent="0.3">
      <c r="A8" s="8" t="s">
        <v>7</v>
      </c>
      <c r="B8" s="9"/>
      <c r="C8" s="9" t="s">
        <v>2</v>
      </c>
      <c r="D8" s="9" t="s">
        <v>3</v>
      </c>
      <c r="E8" s="9" t="s">
        <v>4</v>
      </c>
      <c r="F8" s="9"/>
      <c r="H8" s="18"/>
      <c r="I8" s="19"/>
    </row>
    <row r="9" spans="1:9" x14ac:dyDescent="0.3">
      <c r="A9" s="10">
        <v>0.17</v>
      </c>
      <c r="B9" s="9" t="s">
        <v>2</v>
      </c>
      <c r="C9" s="11">
        <v>0.98</v>
      </c>
      <c r="D9" s="11">
        <f>(1 - $C$9) / 3</f>
        <v>6.6666666666666723E-3</v>
      </c>
      <c r="E9" s="11">
        <f>(1 - $C$9) / 3</f>
        <v>6.6666666666666723E-3</v>
      </c>
      <c r="F9" s="11">
        <f>(1 - $C$9) / 3</f>
        <v>6.6666666666666723E-3</v>
      </c>
      <c r="G9" s="12"/>
      <c r="H9" s="11">
        <f>-LOG(C9, 2)</f>
        <v>2.9146345659516508E-2</v>
      </c>
      <c r="I9" s="10">
        <f>H9 * C9</f>
        <v>2.8563418746326178E-2</v>
      </c>
    </row>
    <row r="10" spans="1:9" x14ac:dyDescent="0.3">
      <c r="A10" s="10">
        <v>0.38</v>
      </c>
      <c r="B10" s="9" t="s">
        <v>3</v>
      </c>
      <c r="C10" s="11">
        <f>(1 - $C$9) / 3</f>
        <v>6.6666666666666723E-3</v>
      </c>
      <c r="D10" s="11">
        <v>0.98</v>
      </c>
      <c r="E10" s="11">
        <f>(1 - $C$9) / 3</f>
        <v>6.6666666666666723E-3</v>
      </c>
      <c r="F10" s="11">
        <f>(1 - $C$9) / 3</f>
        <v>6.6666666666666723E-3</v>
      </c>
      <c r="H10" s="11">
        <f>-LOG(C10, 2)</f>
        <v>7.2288186904958796</v>
      </c>
      <c r="I10" s="10">
        <f>H10 * C10</f>
        <v>4.8192124603305901E-2</v>
      </c>
    </row>
    <row r="11" spans="1:9" x14ac:dyDescent="0.3">
      <c r="A11" s="10">
        <v>0.2</v>
      </c>
      <c r="B11" s="9" t="s">
        <v>4</v>
      </c>
      <c r="C11" s="11">
        <f>(1 - $C$9) / 3</f>
        <v>6.6666666666666723E-3</v>
      </c>
      <c r="D11" s="11">
        <f>(1 - $C$9) / 3</f>
        <v>6.6666666666666723E-3</v>
      </c>
      <c r="E11" s="11">
        <v>0.98</v>
      </c>
      <c r="F11" s="11">
        <f>(1 - $C$9) / 3</f>
        <v>6.6666666666666723E-3</v>
      </c>
      <c r="H11" s="11">
        <f>-LOG(C11, 2)</f>
        <v>7.2288186904958796</v>
      </c>
      <c r="I11" s="10">
        <f>H11 * C11</f>
        <v>4.8192124603305901E-2</v>
      </c>
    </row>
    <row r="12" spans="1:9" x14ac:dyDescent="0.3">
      <c r="A12" s="10">
        <f>1 - (SUM(A9:A11))</f>
        <v>0.25</v>
      </c>
      <c r="B12" s="9" t="s">
        <v>5</v>
      </c>
      <c r="C12" s="11">
        <f>(1 - $C$9) / 3</f>
        <v>6.6666666666666723E-3</v>
      </c>
      <c r="D12" s="11">
        <f>(1 - $C$9) / 3</f>
        <v>6.6666666666666723E-3</v>
      </c>
      <c r="E12" s="11">
        <f>(1 - $C$9) / 3</f>
        <v>6.6666666666666723E-3</v>
      </c>
      <c r="F12" s="11">
        <v>0.98</v>
      </c>
      <c r="H12" s="11">
        <f>-LOG(C12, 2)</f>
        <v>7.2288186904958796</v>
      </c>
      <c r="I12" s="10">
        <f>H12 * C12</f>
        <v>4.8192124603305901E-2</v>
      </c>
    </row>
    <row r="13" spans="1:9" x14ac:dyDescent="0.3">
      <c r="H13" s="13">
        <f>SUM(H9:H11)</f>
        <v>14.486783726651275</v>
      </c>
      <c r="I13" s="14">
        <f>SUM(I9:I12)</f>
        <v>0.1731397925562439</v>
      </c>
    </row>
    <row r="14" spans="1:9" x14ac:dyDescent="0.3">
      <c r="B14" s="17" t="s">
        <v>11</v>
      </c>
      <c r="C14" s="17"/>
      <c r="D14" s="17"/>
      <c r="E14" s="17"/>
      <c r="F14" s="7"/>
    </row>
    <row r="15" spans="1:9" x14ac:dyDescent="0.3">
      <c r="B15" s="9"/>
      <c r="C15" s="9" t="s">
        <v>2</v>
      </c>
      <c r="D15" s="9" t="s">
        <v>3</v>
      </c>
      <c r="E15" s="9" t="s">
        <v>4</v>
      </c>
      <c r="F15" s="9" t="s">
        <v>5</v>
      </c>
    </row>
    <row r="16" spans="1:9" x14ac:dyDescent="0.3">
      <c r="B16" s="9" t="s">
        <v>2</v>
      </c>
      <c r="C16" s="11">
        <f t="shared" ref="C16:F19" si="1">C9 * $A9</f>
        <v>0.1666</v>
      </c>
      <c r="D16" s="11">
        <f t="shared" si="1"/>
        <v>1.1333333333333343E-3</v>
      </c>
      <c r="E16" s="11">
        <f t="shared" si="1"/>
        <v>1.1333333333333343E-3</v>
      </c>
      <c r="F16" s="11">
        <f t="shared" si="1"/>
        <v>1.1333333333333343E-3</v>
      </c>
      <c r="G16" s="12"/>
    </row>
    <row r="17" spans="2:6" x14ac:dyDescent="0.3">
      <c r="B17" s="9" t="s">
        <v>3</v>
      </c>
      <c r="C17" s="11">
        <f t="shared" si="1"/>
        <v>2.5333333333333354E-3</v>
      </c>
      <c r="D17" s="11">
        <f t="shared" si="1"/>
        <v>0.37240000000000001</v>
      </c>
      <c r="E17" s="11">
        <f t="shared" si="1"/>
        <v>2.5333333333333354E-3</v>
      </c>
      <c r="F17" s="11">
        <f>F10 * $A10</f>
        <v>2.5333333333333354E-3</v>
      </c>
    </row>
    <row r="18" spans="2:6" x14ac:dyDescent="0.3">
      <c r="B18" s="9" t="s">
        <v>4</v>
      </c>
      <c r="C18" s="11">
        <f t="shared" si="1"/>
        <v>1.3333333333333346E-3</v>
      </c>
      <c r="D18" s="11">
        <f t="shared" si="1"/>
        <v>1.3333333333333346E-3</v>
      </c>
      <c r="E18" s="11">
        <f t="shared" si="1"/>
        <v>0.19600000000000001</v>
      </c>
      <c r="F18" s="11">
        <f>F11 * $A11</f>
        <v>1.3333333333333346E-3</v>
      </c>
    </row>
    <row r="19" spans="2:6" x14ac:dyDescent="0.3">
      <c r="B19" s="9" t="s">
        <v>5</v>
      </c>
      <c r="C19" s="11">
        <f t="shared" si="1"/>
        <v>1.6666666666666681E-3</v>
      </c>
      <c r="D19" s="11">
        <f t="shared" si="1"/>
        <v>1.6666666666666681E-3</v>
      </c>
      <c r="E19" s="11">
        <f t="shared" si="1"/>
        <v>1.6666666666666681E-3</v>
      </c>
      <c r="F19" s="11">
        <f>F12 * $A12</f>
        <v>0.245</v>
      </c>
    </row>
    <row r="20" spans="2:6" ht="28.8" x14ac:dyDescent="0.3">
      <c r="B20" s="15" t="s">
        <v>12</v>
      </c>
      <c r="C20" s="16">
        <f>SUM(C16:C18)</f>
        <v>0.17046666666666666</v>
      </c>
      <c r="D20" s="16">
        <f>SUM(D16:D18)</f>
        <v>0.37486666666666668</v>
      </c>
      <c r="E20" s="16">
        <f>SUM(E16:E18)</f>
        <v>0.19966666666666669</v>
      </c>
      <c r="F20" s="16">
        <f>SUM(F16:F18)</f>
        <v>5.0000000000000044E-3</v>
      </c>
    </row>
  </sheetData>
  <mergeCells count="4">
    <mergeCell ref="A7:E7"/>
    <mergeCell ref="H7:H8"/>
    <mergeCell ref="I7:I8"/>
    <mergeCell ref="B14:E14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A360A-70FA-4EA2-81B6-C6D7609380BC}">
  <dimension ref="B2:G26"/>
  <sheetViews>
    <sheetView workbookViewId="0">
      <selection activeCell="G7" sqref="G7"/>
    </sheetView>
  </sheetViews>
  <sheetFormatPr baseColWidth="10" defaultRowHeight="14.4" x14ac:dyDescent="0.3"/>
  <sheetData>
    <row r="2" spans="2:7" x14ac:dyDescent="0.3">
      <c r="B2" t="s">
        <v>13</v>
      </c>
    </row>
    <row r="3" spans="2:7" x14ac:dyDescent="0.3">
      <c r="B3" t="s">
        <v>14</v>
      </c>
      <c r="C3" t="s">
        <v>15</v>
      </c>
      <c r="D3" t="s">
        <v>16</v>
      </c>
      <c r="E3" t="s">
        <v>10</v>
      </c>
    </row>
    <row r="4" spans="2:7" x14ac:dyDescent="0.3">
      <c r="B4" t="s">
        <v>17</v>
      </c>
      <c r="C4">
        <v>59928</v>
      </c>
      <c r="D4">
        <f>C4 / $C$25</f>
        <v>3.2144730673629711E-2</v>
      </c>
      <c r="E4">
        <f>-LOG(D4, 2) * D4</f>
        <v>0.15941452471011275</v>
      </c>
    </row>
    <row r="5" spans="2:7" x14ac:dyDescent="0.3">
      <c r="B5" t="s">
        <v>18</v>
      </c>
      <c r="C5">
        <v>59929</v>
      </c>
      <c r="D5">
        <f t="shared" ref="D5:D24" si="0">C5 / $C$25</f>
        <v>3.2145267062807951E-2</v>
      </c>
      <c r="E5">
        <f t="shared" ref="E5:E24" si="1">-LOG(D5, 2) * D5</f>
        <v>0.15941641095851508</v>
      </c>
      <c r="G5" t="s">
        <v>38</v>
      </c>
    </row>
    <row r="6" spans="2:7" x14ac:dyDescent="0.3">
      <c r="B6" t="s">
        <v>19</v>
      </c>
      <c r="C6">
        <v>60316</v>
      </c>
      <c r="D6">
        <f t="shared" si="0"/>
        <v>3.2352849674787243E-2</v>
      </c>
      <c r="E6">
        <f t="shared" si="1"/>
        <v>0.16014542170424115</v>
      </c>
      <c r="G6" t="s">
        <v>39</v>
      </c>
    </row>
    <row r="7" spans="2:7" x14ac:dyDescent="0.3">
      <c r="B7" t="s">
        <v>20</v>
      </c>
      <c r="C7">
        <v>120814</v>
      </c>
      <c r="D7">
        <f t="shared" si="0"/>
        <v>6.4803322180014347E-2</v>
      </c>
      <c r="E7">
        <f t="shared" si="1"/>
        <v>0.25582980450187676</v>
      </c>
    </row>
    <row r="8" spans="2:7" x14ac:dyDescent="0.3">
      <c r="B8" t="s">
        <v>21</v>
      </c>
      <c r="C8">
        <v>60025</v>
      </c>
      <c r="D8">
        <f t="shared" si="0"/>
        <v>3.2196760423919092E-2</v>
      </c>
      <c r="E8">
        <f t="shared" si="1"/>
        <v>0.15959743071528915</v>
      </c>
    </row>
    <row r="9" spans="2:7" x14ac:dyDescent="0.3">
      <c r="B9" t="s">
        <v>22</v>
      </c>
      <c r="C9">
        <v>60033</v>
      </c>
      <c r="D9">
        <f t="shared" si="0"/>
        <v>3.2201051537345024E-2</v>
      </c>
      <c r="E9">
        <f t="shared" si="1"/>
        <v>0.15961251032929963</v>
      </c>
    </row>
    <row r="10" spans="2:7" x14ac:dyDescent="0.3">
      <c r="B10" t="s">
        <v>23</v>
      </c>
      <c r="C10">
        <v>120317</v>
      </c>
      <c r="D10">
        <f t="shared" si="0"/>
        <v>6.4536736758428553E-2</v>
      </c>
      <c r="E10">
        <f t="shared" si="1"/>
        <v>0.25516119096246176</v>
      </c>
    </row>
    <row r="11" spans="2:7" x14ac:dyDescent="0.3">
      <c r="B11" t="s">
        <v>24</v>
      </c>
      <c r="C11">
        <v>60137</v>
      </c>
      <c r="D11">
        <f t="shared" si="0"/>
        <v>3.2256836011882097E-2</v>
      </c>
      <c r="E11">
        <f t="shared" si="1"/>
        <v>0.15980847027805622</v>
      </c>
    </row>
    <row r="12" spans="2:7" x14ac:dyDescent="0.3">
      <c r="B12" t="s">
        <v>25</v>
      </c>
      <c r="C12">
        <v>120309</v>
      </c>
      <c r="D12">
        <f t="shared" si="0"/>
        <v>6.4532445645002628E-2</v>
      </c>
      <c r="E12">
        <f t="shared" si="1"/>
        <v>0.25515041559696305</v>
      </c>
    </row>
    <row r="13" spans="2:7" x14ac:dyDescent="0.3">
      <c r="B13" t="s">
        <v>26</v>
      </c>
      <c r="C13">
        <v>119627</v>
      </c>
      <c r="D13">
        <f t="shared" si="0"/>
        <v>6.4166628225442224E-2</v>
      </c>
      <c r="E13">
        <f t="shared" si="1"/>
        <v>0.25423029943247633</v>
      </c>
    </row>
    <row r="14" spans="2:7" x14ac:dyDescent="0.3">
      <c r="B14" t="s">
        <v>27</v>
      </c>
      <c r="C14">
        <v>120048</v>
      </c>
      <c r="D14">
        <f t="shared" si="0"/>
        <v>6.4392448069481703E-2</v>
      </c>
      <c r="E14">
        <f t="shared" si="1"/>
        <v>0.25479864334156987</v>
      </c>
    </row>
    <row r="15" spans="2:7" x14ac:dyDescent="0.3">
      <c r="B15" t="s">
        <v>28</v>
      </c>
      <c r="C15">
        <v>120748</v>
      </c>
      <c r="D15">
        <f t="shared" si="0"/>
        <v>6.4767920494250439E-2</v>
      </c>
      <c r="E15">
        <f t="shared" si="1"/>
        <v>0.25574110602025257</v>
      </c>
    </row>
    <row r="16" spans="2:7" x14ac:dyDescent="0.3">
      <c r="B16" t="s">
        <v>29</v>
      </c>
      <c r="C16">
        <v>120423</v>
      </c>
      <c r="D16">
        <f t="shared" si="0"/>
        <v>6.45935940113221E-2</v>
      </c>
      <c r="E16">
        <f t="shared" si="1"/>
        <v>0.2553039257053758</v>
      </c>
    </row>
    <row r="17" spans="2:5" x14ac:dyDescent="0.3">
      <c r="B17" t="s">
        <v>30</v>
      </c>
      <c r="C17">
        <v>59921</v>
      </c>
      <c r="D17">
        <f t="shared" si="0"/>
        <v>3.2140975949382027E-2</v>
      </c>
      <c r="E17">
        <f t="shared" si="1"/>
        <v>0.15940132060972226</v>
      </c>
    </row>
    <row r="18" spans="2:5" x14ac:dyDescent="0.3">
      <c r="B18" t="s">
        <v>31</v>
      </c>
      <c r="C18">
        <v>120108</v>
      </c>
      <c r="D18">
        <f t="shared" si="0"/>
        <v>6.4424631420176168E-2</v>
      </c>
      <c r="E18">
        <f t="shared" si="1"/>
        <v>0.25487954936232532</v>
      </c>
    </row>
    <row r="19" spans="2:5" x14ac:dyDescent="0.3">
      <c r="B19" t="s">
        <v>32</v>
      </c>
      <c r="C19">
        <v>60041</v>
      </c>
      <c r="D19">
        <f t="shared" si="0"/>
        <v>3.2205342650770949E-2</v>
      </c>
      <c r="E19">
        <f t="shared" si="1"/>
        <v>0.15962758911832811</v>
      </c>
    </row>
    <row r="20" spans="2:5" x14ac:dyDescent="0.3">
      <c r="B20" t="s">
        <v>33</v>
      </c>
      <c r="C20">
        <v>60115</v>
      </c>
      <c r="D20">
        <f t="shared" si="0"/>
        <v>3.2245035449960789E-2</v>
      </c>
      <c r="E20">
        <f t="shared" si="1"/>
        <v>0.15976702882706911</v>
      </c>
    </row>
    <row r="21" spans="2:5" x14ac:dyDescent="0.3">
      <c r="B21" t="s">
        <v>34</v>
      </c>
      <c r="C21">
        <v>120168</v>
      </c>
      <c r="D21">
        <f t="shared" si="0"/>
        <v>6.4456814770870632E-2</v>
      </c>
      <c r="E21">
        <f t="shared" si="1"/>
        <v>0.25496043218857467</v>
      </c>
    </row>
    <row r="22" spans="2:5" x14ac:dyDescent="0.3">
      <c r="B22" t="s">
        <v>35</v>
      </c>
      <c r="C22">
        <v>59955</v>
      </c>
      <c r="D22">
        <f t="shared" si="0"/>
        <v>3.2159213181442221E-2</v>
      </c>
      <c r="E22">
        <f>-LOG(D22, 2) * D22</f>
        <v>0.15946544888524372</v>
      </c>
    </row>
    <row r="23" spans="2:5" x14ac:dyDescent="0.3">
      <c r="B23" t="s">
        <v>36</v>
      </c>
      <c r="C23">
        <v>121127</v>
      </c>
      <c r="D23">
        <f t="shared" si="0"/>
        <v>6.4971211992803798E-2</v>
      </c>
      <c r="E23">
        <f t="shared" si="1"/>
        <v>0.25625007067111033</v>
      </c>
    </row>
    <row r="24" spans="2:5" x14ac:dyDescent="0.3">
      <c r="B24" t="s">
        <v>37</v>
      </c>
      <c r="C24">
        <v>60229</v>
      </c>
      <c r="D24">
        <f t="shared" si="0"/>
        <v>3.2306183816280268E-2</v>
      </c>
      <c r="E24">
        <f t="shared" si="1"/>
        <v>0.15998170343737436</v>
      </c>
    </row>
    <row r="25" spans="2:5" x14ac:dyDescent="0.3">
      <c r="C25">
        <f>SUM(C4:C24)</f>
        <v>1864318</v>
      </c>
      <c r="E25">
        <f>SUM(E4:E24)</f>
        <v>4.3085432973562376</v>
      </c>
    </row>
    <row r="26" spans="2:5" x14ac:dyDescent="0.3">
      <c r="E26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Problema 2</vt:lpstr>
      <vt:lpstr>Problema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Ranfery Morales</dc:creator>
  <cp:lastModifiedBy>Ranfery Morales</cp:lastModifiedBy>
  <dcterms:created xsi:type="dcterms:W3CDTF">2026-03-10T23:10:52Z</dcterms:created>
  <dcterms:modified xsi:type="dcterms:W3CDTF">2026-05-22T08:40:09Z</dcterms:modified>
</cp:coreProperties>
</file>
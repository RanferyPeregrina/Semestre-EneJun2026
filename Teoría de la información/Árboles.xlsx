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A:\Repositorios\Semestre-EneJun2026\Teoría de la información\"/>
    </mc:Choice>
  </mc:AlternateContent>
  <xr:revisionPtr revIDLastSave="0" documentId="13_ncr:1_{6452F4CB-54FF-4A4A-8CC3-1698714091FA}" xr6:coauthVersionLast="47" xr6:coauthVersionMax="47" xr10:uidLastSave="{00000000-0000-0000-0000-000000000000}"/>
  <bookViews>
    <workbookView xWindow="-108" yWindow="-108" windowWidth="20376" windowHeight="12216" xr2:uid="{00000000-000D-0000-FFFF-FFFF00000000}"/>
  </bookViews>
  <sheets>
    <sheet name="Shannon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2" l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C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C24" i="1"/>
  <c r="D8" i="1" s="1"/>
  <c r="AZ20" i="1"/>
  <c r="BA20" i="1" s="1"/>
  <c r="AZ19" i="1"/>
  <c r="BA19" i="1" s="1"/>
  <c r="AZ18" i="1"/>
  <c r="BA18" i="1" s="1"/>
  <c r="AZ17" i="1"/>
  <c r="BA17" i="1" s="1"/>
  <c r="AZ8" i="1"/>
  <c r="BA8" i="1" s="1"/>
  <c r="AZ7" i="1"/>
  <c r="AZ6" i="1"/>
  <c r="BA7" i="1" s="1"/>
  <c r="AK21" i="1"/>
  <c r="AK13" i="1"/>
  <c r="AK12" i="1"/>
  <c r="AK11" i="1"/>
  <c r="AK10" i="1"/>
  <c r="AK9" i="1"/>
  <c r="AA8" i="1"/>
  <c r="AC8" i="1" s="1"/>
  <c r="AA13" i="1"/>
  <c r="AC13" i="1" s="1"/>
  <c r="AA14" i="1"/>
  <c r="AC14" i="1" s="1"/>
  <c r="AA15" i="1"/>
  <c r="AC15" i="1" s="1"/>
  <c r="AA16" i="1"/>
  <c r="AC16" i="1" s="1"/>
  <c r="AA17" i="1"/>
  <c r="AC17" i="1" s="1"/>
  <c r="Z23" i="1"/>
  <c r="AZ16" i="1" s="1"/>
  <c r="BA16" i="1" s="1"/>
  <c r="S25" i="1"/>
  <c r="C65" i="1"/>
  <c r="AA12" i="1" l="1"/>
  <c r="AC12" i="1" s="1"/>
  <c r="AK15" i="1"/>
  <c r="AZ11" i="1"/>
  <c r="BA11" i="1" s="1"/>
  <c r="BA6" i="1"/>
  <c r="AZ10" i="1"/>
  <c r="BA10" i="1" s="1"/>
  <c r="AK16" i="1"/>
  <c r="AZ12" i="1"/>
  <c r="BA12" i="1" s="1"/>
  <c r="AZ9" i="1"/>
  <c r="BA9" i="1" s="1"/>
  <c r="AZ21" i="1"/>
  <c r="BA21" i="1" s="1"/>
  <c r="AA11" i="1"/>
  <c r="AC11" i="1" s="1"/>
  <c r="AA10" i="1"/>
  <c r="AC10" i="1" s="1"/>
  <c r="AA21" i="1"/>
  <c r="AC21" i="1" s="1"/>
  <c r="AA9" i="1"/>
  <c r="AC9" i="1" s="1"/>
  <c r="AK5" i="1"/>
  <c r="AK17" i="1"/>
  <c r="AZ13" i="1"/>
  <c r="BA13" i="1" s="1"/>
  <c r="AK6" i="1"/>
  <c r="AK18" i="1"/>
  <c r="AZ14" i="1"/>
  <c r="BA14" i="1" s="1"/>
  <c r="AK14" i="1"/>
  <c r="AZ22" i="1"/>
  <c r="BA22" i="1" s="1"/>
  <c r="AA6" i="1"/>
  <c r="AA22" i="1"/>
  <c r="AC22" i="1" s="1"/>
  <c r="AA20" i="1"/>
  <c r="AC20" i="1" s="1"/>
  <c r="AA19" i="1"/>
  <c r="AC19" i="1" s="1"/>
  <c r="AA7" i="1"/>
  <c r="AK7" i="1"/>
  <c r="AK19" i="1"/>
  <c r="AZ15" i="1"/>
  <c r="BA15" i="1" s="1"/>
  <c r="AA18" i="1"/>
  <c r="AC18" i="1" s="1"/>
  <c r="AK8" i="1"/>
  <c r="AK20" i="1"/>
  <c r="D18" i="1"/>
  <c r="D17" i="1"/>
  <c r="D16" i="1"/>
  <c r="D19" i="1"/>
  <c r="D15" i="1"/>
  <c r="D14" i="1"/>
  <c r="D13" i="1"/>
  <c r="D7" i="1"/>
  <c r="D12" i="1"/>
  <c r="D23" i="1"/>
  <c r="D11" i="1"/>
  <c r="D22" i="1"/>
  <c r="D10" i="1"/>
  <c r="D21" i="1"/>
  <c r="D9" i="1"/>
  <c r="D20" i="1"/>
  <c r="AB7" i="1" l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C6" i="1"/>
  <c r="AD25" i="1" s="1"/>
  <c r="AD26" i="1" s="1"/>
  <c r="AC7" i="1"/>
</calcChain>
</file>

<file path=xl/sharedStrings.xml><?xml version="1.0" encoding="utf-8"?>
<sst xmlns="http://schemas.openxmlformats.org/spreadsheetml/2006/main" count="177" uniqueCount="65">
  <si>
    <t>12,11</t>
  </si>
  <si>
    <t>6,6 6,5</t>
  </si>
  <si>
    <t>11,11</t>
  </si>
  <si>
    <t>a</t>
  </si>
  <si>
    <t>e</t>
  </si>
  <si>
    <t>s</t>
  </si>
  <si>
    <t>i</t>
  </si>
  <si>
    <t>r</t>
  </si>
  <si>
    <t>d</t>
  </si>
  <si>
    <t>n</t>
  </si>
  <si>
    <t>o</t>
  </si>
  <si>
    <t>c</t>
  </si>
  <si>
    <t>p</t>
  </si>
  <si>
    <t>f</t>
  </si>
  <si>
    <t>m</t>
  </si>
  <si>
    <t>t</t>
  </si>
  <si>
    <t>u</t>
  </si>
  <si>
    <t>.</t>
  </si>
  <si>
    <t>á</t>
  </si>
  <si>
    <t>11, 11</t>
  </si>
  <si>
    <t>*</t>
  </si>
  <si>
    <t>Neal Koblitz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</si>
  <si>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</si>
  <si>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</si>
  <si>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</si>
  <si>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</si>
  <si>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</si>
  <si>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</si>
  <si>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</si>
  <si>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</si>
  <si>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</si>
  <si>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</si>
  <si>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</si>
  <si>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</si>
  <si>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</si>
  <si>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</si>
  <si>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</si>
  <si>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</si>
  <si>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</si>
  <si>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bits/carácter</t>
  </si>
  <si>
    <t>l</t>
  </si>
  <si>
    <t>0110</t>
  </si>
  <si>
    <t>0111</t>
  </si>
  <si>
    <t>1000</t>
  </si>
  <si>
    <t>1001</t>
  </si>
  <si>
    <t>1010</t>
  </si>
  <si>
    <t>1011</t>
  </si>
  <si>
    <t>1101</t>
  </si>
  <si>
    <t>11000</t>
  </si>
  <si>
    <t>11001</t>
  </si>
  <si>
    <t>111000</t>
  </si>
  <si>
    <t>111001</t>
  </si>
  <si>
    <t>11101</t>
  </si>
  <si>
    <t>11110</t>
  </si>
  <si>
    <t>11111</t>
  </si>
  <si>
    <t>Una corona di spine</t>
  </si>
  <si>
    <t>Sará il dress-code per la mia festa</t>
  </si>
  <si>
    <t>Contamos cuántas veces aparece cada letra</t>
  </si>
  <si>
    <t>-</t>
  </si>
  <si>
    <t>Letra</t>
  </si>
  <si>
    <t>Frec Abs</t>
  </si>
  <si>
    <t>Frec Rel</t>
  </si>
  <si>
    <t>12, 11</t>
  </si>
  <si>
    <t>6, 6     ,  6 , 5</t>
  </si>
  <si>
    <t>Frec Acum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</si>
</sst>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6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3" fillId="0" borderId="0" xfId="0" applyFont="1"/>
    <xf numFmtId="0" fontId="0" fillId="0" borderId="0" xfId="0" quotePrefix="1"/>
    <xf numFmtId="10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center"/>
    </xf>
    <xf numFmtId="164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350520</xdr:colOff>
      <xdr:row>47</xdr:row>
      <xdr:rowOff>175260</xdr:rowOff>
    </xdr:from>
    <xdr:to>
      <xdr:col>5</xdr:col>
      <xdr:colOff>449580</xdr:colOff>
      <xdr:row>53</xdr:row>
      <xdr:rowOff>83820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139439FC-DED7-FF91-A0A7-39673CE90EB9}"/>
            </a:ext>
          </a:extLst>
        </xdr:cNvPr>
        <xdr:cNvSpPr/>
      </xdr:nvSpPr>
      <xdr:spPr>
        <a:xfrm>
          <a:off x="2727960" y="358140"/>
          <a:ext cx="1684020" cy="100584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800">
              <a:solidFill>
                <a:schemeClr val="tx1"/>
              </a:solidFill>
            </a:rPr>
            <a:t>Árbol de Huffman</a:t>
          </a:r>
        </a:p>
        <a:p>
          <a:pPr algn="l"/>
          <a:r>
            <a:rPr lang="es-MX" sz="1800">
              <a:solidFill>
                <a:schemeClr val="tx1"/>
              </a:solidFill>
            </a:rPr>
            <a:t>Balanceado</a:t>
          </a:r>
        </a:p>
      </xdr:txBody>
    </xdr:sp>
    <xdr:clientData/>
  </xdr:twoCellAnchor>
  <xdr:twoCellAnchor>
    <xdr:from>
      <xdr:col>23</xdr:col>
      <xdr:colOff>668764</xdr:colOff>
      <xdr:row>0</xdr:row>
      <xdr:rowOff>167171</xdr:rowOff>
    </xdr:from>
    <xdr:to>
      <xdr:col>27</xdr:col>
      <xdr:colOff>179716</xdr:colOff>
      <xdr:row>2</xdr:row>
      <xdr:rowOff>150962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21A367F-8E73-A319-3916-CCAEC078BE47}"/>
            </a:ext>
          </a:extLst>
        </xdr:cNvPr>
        <xdr:cNvSpPr/>
      </xdr:nvSpPr>
      <xdr:spPr>
        <a:xfrm>
          <a:off x="18439179" y="167171"/>
          <a:ext cx="2673971" cy="34322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800">
              <a:solidFill>
                <a:schemeClr val="tx1"/>
              </a:solidFill>
            </a:rPr>
            <a:t>Canales de Shannon</a:t>
          </a:r>
        </a:p>
      </xdr:txBody>
    </xdr:sp>
    <xdr:clientData/>
  </xdr:twoCellAnchor>
  <xdr:twoCellAnchor editAs="oneCell">
    <xdr:from>
      <xdr:col>12</xdr:col>
      <xdr:colOff>148680</xdr:colOff>
      <xdr:row>5</xdr:row>
      <xdr:rowOff>60840</xdr:rowOff>
    </xdr:from>
    <xdr:to>
      <xdr:col>13</xdr:col>
      <xdr:colOff>396600</xdr:colOff>
      <xdr:row>13</xdr:row>
      <xdr:rowOff>2230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Entrada de lápiz 3">
              <a:extLst>
                <a:ext uri="{FF2B5EF4-FFF2-40B4-BE49-F238E27FC236}">
                  <a16:creationId xmlns:a16="http://schemas.microsoft.com/office/drawing/2014/main" id="{7FCF3ACF-104B-A762-72A3-8AA44EB22FC1}"/>
                </a:ext>
              </a:extLst>
            </xdr14:cNvPr>
            <xdr14:cNvContentPartPr/>
          </xdr14:nvContentPartPr>
          <xdr14:nvPr macro=""/>
          <xdr14:xfrm>
            <a:off x="9658440" y="975240"/>
            <a:ext cx="1040400" cy="1399680"/>
          </xdr14:xfrm>
        </xdr:contentPart>
      </mc:Choice>
      <mc:Fallback xmlns="">
        <xdr:pic>
          <xdr:nvPicPr>
            <xdr:cNvPr id="4" name="Entrada de lápiz 3">
              <a:extLst>
                <a:ext uri="{FF2B5EF4-FFF2-40B4-BE49-F238E27FC236}">
                  <a16:creationId xmlns:a16="http://schemas.microsoft.com/office/drawing/2014/main" id="{7FCF3ACF-104B-A762-72A3-8AA44EB22FC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652326" y="969134"/>
              <a:ext cx="1052627" cy="14118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388320</xdr:colOff>
      <xdr:row>5</xdr:row>
      <xdr:rowOff>91440</xdr:rowOff>
    </xdr:from>
    <xdr:to>
      <xdr:col>15</xdr:col>
      <xdr:colOff>231840</xdr:colOff>
      <xdr:row>13</xdr:row>
      <xdr:rowOff>23400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7" name="Entrada de lápiz 6">
              <a:extLst>
                <a:ext uri="{FF2B5EF4-FFF2-40B4-BE49-F238E27FC236}">
                  <a16:creationId xmlns:a16="http://schemas.microsoft.com/office/drawing/2014/main" id="{3E0B0F75-51B2-2D44-6472-0D1D420ABEBC}"/>
                </a:ext>
              </a:extLst>
            </xdr14:cNvPr>
            <xdr14:cNvContentPartPr/>
          </xdr14:nvContentPartPr>
          <xdr14:nvPr macro=""/>
          <xdr14:xfrm>
            <a:off x="10690560" y="1005840"/>
            <a:ext cx="1428480" cy="1395000"/>
          </xdr14:xfrm>
        </xdr:contentPart>
      </mc:Choice>
      <mc:Fallback xmlns="">
        <xdr:pic>
          <xdr:nvPicPr>
            <xdr:cNvPr id="7" name="Entrada de lápiz 6">
              <a:extLst>
                <a:ext uri="{FF2B5EF4-FFF2-40B4-BE49-F238E27FC236}">
                  <a16:creationId xmlns:a16="http://schemas.microsoft.com/office/drawing/2014/main" id="{3E0B0F75-51B2-2D44-6472-0D1D420ABEB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684448" y="999714"/>
              <a:ext cx="1440705" cy="14072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617040</xdr:colOff>
      <xdr:row>10</xdr:row>
      <xdr:rowOff>53280</xdr:rowOff>
    </xdr:from>
    <xdr:to>
      <xdr:col>13</xdr:col>
      <xdr:colOff>295080</xdr:colOff>
      <xdr:row>12</xdr:row>
      <xdr:rowOff>55081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8" name="Entrada de lápiz 7">
              <a:extLst>
                <a:ext uri="{FF2B5EF4-FFF2-40B4-BE49-F238E27FC236}">
                  <a16:creationId xmlns:a16="http://schemas.microsoft.com/office/drawing/2014/main" id="{C1B94A17-3A72-21BA-901D-37ED9716B0D1}"/>
                </a:ext>
              </a:extLst>
            </xdr14:cNvPr>
            <xdr14:cNvContentPartPr/>
          </xdr14:nvContentPartPr>
          <xdr14:nvPr macro=""/>
          <xdr14:xfrm>
            <a:off x="10126800" y="1882080"/>
            <a:ext cx="470520" cy="367560"/>
          </xdr14:xfrm>
        </xdr:contentPart>
      </mc:Choice>
      <mc:Fallback xmlns="">
        <xdr:pic>
          <xdr:nvPicPr>
            <xdr:cNvPr id="8" name="Entrada de lápiz 7">
              <a:extLst>
                <a:ext uri="{FF2B5EF4-FFF2-40B4-BE49-F238E27FC236}">
                  <a16:creationId xmlns:a16="http://schemas.microsoft.com/office/drawing/2014/main" id="{C1B94A17-3A72-21BA-901D-37ED9716B0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120680" y="1875960"/>
              <a:ext cx="482760" cy="37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390000</xdr:colOff>
      <xdr:row>13</xdr:row>
      <xdr:rowOff>15120</xdr:rowOff>
    </xdr:from>
    <xdr:to>
      <xdr:col>12</xdr:col>
      <xdr:colOff>619920</xdr:colOff>
      <xdr:row>18</xdr:row>
      <xdr:rowOff>1080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1" name="Entrada de lápiz 10">
              <a:extLst>
                <a:ext uri="{FF2B5EF4-FFF2-40B4-BE49-F238E27FC236}">
                  <a16:creationId xmlns:a16="http://schemas.microsoft.com/office/drawing/2014/main" id="{F35F2452-1F9A-59B8-465B-D6D4E4DC01D9}"/>
                </a:ext>
              </a:extLst>
            </xdr14:cNvPr>
            <xdr14:cNvContentPartPr/>
          </xdr14:nvContentPartPr>
          <xdr14:nvPr macro=""/>
          <xdr14:xfrm>
            <a:off x="9107280" y="2392560"/>
            <a:ext cx="1022400" cy="900360"/>
          </xdr14:xfrm>
        </xdr:contentPart>
      </mc:Choice>
      <mc:Fallback xmlns="">
        <xdr:pic>
          <xdr:nvPicPr>
            <xdr:cNvPr id="11" name="Entrada de lápiz 10">
              <a:extLst>
                <a:ext uri="{FF2B5EF4-FFF2-40B4-BE49-F238E27FC236}">
                  <a16:creationId xmlns:a16="http://schemas.microsoft.com/office/drawing/2014/main" id="{F35F2452-1F9A-59B8-465B-D6D4E4DC01D9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9101166" y="2386435"/>
              <a:ext cx="1034627" cy="91261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307560</xdr:colOff>
      <xdr:row>12</xdr:row>
      <xdr:rowOff>159840</xdr:rowOff>
    </xdr:from>
    <xdr:to>
      <xdr:col>15</xdr:col>
      <xdr:colOff>664200</xdr:colOff>
      <xdr:row>18</xdr:row>
      <xdr:rowOff>104400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8" name="Entrada de lápiz 17">
              <a:extLst>
                <a:ext uri="{FF2B5EF4-FFF2-40B4-BE49-F238E27FC236}">
                  <a16:creationId xmlns:a16="http://schemas.microsoft.com/office/drawing/2014/main" id="{D78BB5CE-C72C-8865-36B5-2F798DBB6F3D}"/>
                </a:ext>
              </a:extLst>
            </xdr14:cNvPr>
            <xdr14:cNvContentPartPr/>
          </xdr14:nvContentPartPr>
          <xdr14:nvPr macro=""/>
          <xdr14:xfrm>
            <a:off x="11402280" y="2354400"/>
            <a:ext cx="1149120" cy="1041840"/>
          </xdr14:xfrm>
        </xdr:contentPart>
      </mc:Choice>
      <mc:Fallback xmlns="">
        <xdr:pic>
          <xdr:nvPicPr>
            <xdr:cNvPr id="18" name="Entrada de lápiz 17">
              <a:extLst>
                <a:ext uri="{FF2B5EF4-FFF2-40B4-BE49-F238E27FC236}">
                  <a16:creationId xmlns:a16="http://schemas.microsoft.com/office/drawing/2014/main" id="{D78BB5CE-C72C-8865-36B5-2F798DBB6F3D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1396166" y="2348274"/>
              <a:ext cx="1161349" cy="10540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441960</xdr:colOff>
      <xdr:row>5</xdr:row>
      <xdr:rowOff>39960</xdr:rowOff>
    </xdr:from>
    <xdr:to>
      <xdr:col>16</xdr:col>
      <xdr:colOff>417120</xdr:colOff>
      <xdr:row>8</xdr:row>
      <xdr:rowOff>79560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5" name="Entrada de lápiz 24">
              <a:extLst>
                <a:ext uri="{FF2B5EF4-FFF2-40B4-BE49-F238E27FC236}">
                  <a16:creationId xmlns:a16="http://schemas.microsoft.com/office/drawing/2014/main" id="{FFC60CE2-B5CA-2DAD-CED7-437877C0A9FA}"/>
                </a:ext>
              </a:extLst>
            </xdr14:cNvPr>
            <xdr14:cNvContentPartPr/>
          </xdr14:nvContentPartPr>
          <xdr14:nvPr macro=""/>
          <xdr14:xfrm>
            <a:off x="10744200" y="954360"/>
            <a:ext cx="2352600" cy="588240"/>
          </xdr14:xfrm>
        </xdr:contentPart>
      </mc:Choice>
      <mc:Fallback xmlns="">
        <xdr:pic>
          <xdr:nvPicPr>
            <xdr:cNvPr id="25" name="Entrada de lápiz 24">
              <a:extLst>
                <a:ext uri="{FF2B5EF4-FFF2-40B4-BE49-F238E27FC236}">
                  <a16:creationId xmlns:a16="http://schemas.microsoft.com/office/drawing/2014/main" id="{FFC60CE2-B5CA-2DAD-CED7-437877C0A9F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0738067" y="948141"/>
              <a:ext cx="2364866" cy="6006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68280</xdr:colOff>
      <xdr:row>7</xdr:row>
      <xdr:rowOff>53640</xdr:rowOff>
    </xdr:from>
    <xdr:to>
      <xdr:col>16</xdr:col>
      <xdr:colOff>427200</xdr:colOff>
      <xdr:row>7</xdr:row>
      <xdr:rowOff>106920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28" name="Entrada de lápiz 27">
              <a:extLst>
                <a:ext uri="{FF2B5EF4-FFF2-40B4-BE49-F238E27FC236}">
                  <a16:creationId xmlns:a16="http://schemas.microsoft.com/office/drawing/2014/main" id="{C5B55704-EE9E-F9E3-C5B6-C6CF5A771209}"/>
                </a:ext>
              </a:extLst>
            </xdr14:cNvPr>
            <xdr14:cNvContentPartPr/>
          </xdr14:nvContentPartPr>
          <xdr14:nvPr macro=""/>
          <xdr14:xfrm>
            <a:off x="12747960" y="1333800"/>
            <a:ext cx="358920" cy="53280"/>
          </xdr14:xfrm>
        </xdr:contentPart>
      </mc:Choice>
      <mc:Fallback xmlns="">
        <xdr:pic>
          <xdr:nvPicPr>
            <xdr:cNvPr id="28" name="Entrada de lápiz 27">
              <a:extLst>
                <a:ext uri="{FF2B5EF4-FFF2-40B4-BE49-F238E27FC236}">
                  <a16:creationId xmlns:a16="http://schemas.microsoft.com/office/drawing/2014/main" id="{C5B55704-EE9E-F9E3-C5B6-C6CF5A771209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2741840" y="1327680"/>
              <a:ext cx="371160" cy="655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34</xdr:col>
      <xdr:colOff>277179</xdr:colOff>
      <xdr:row>0</xdr:row>
      <xdr:rowOff>158939</xdr:rowOff>
    </xdr:from>
    <xdr:to>
      <xdr:col>40</xdr:col>
      <xdr:colOff>293686</xdr:colOff>
      <xdr:row>2</xdr:row>
      <xdr:rowOff>142730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B5A1BEF7-DADC-490C-404E-546D8F6C5C2A}"/>
            </a:ext>
          </a:extLst>
        </xdr:cNvPr>
        <xdr:cNvSpPr/>
      </xdr:nvSpPr>
      <xdr:spPr>
        <a:xfrm>
          <a:off x="26843992" y="158939"/>
          <a:ext cx="2334257" cy="348916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800">
              <a:solidFill>
                <a:schemeClr val="tx1"/>
              </a:solidFill>
            </a:rPr>
            <a:t>Método de Fanon</a:t>
          </a:r>
        </a:p>
      </xdr:txBody>
    </xdr:sp>
    <xdr:clientData/>
  </xdr:twoCellAnchor>
  <xdr:twoCellAnchor>
    <xdr:from>
      <xdr:col>50</xdr:col>
      <xdr:colOff>1271</xdr:colOff>
      <xdr:row>1</xdr:row>
      <xdr:rowOff>71626</xdr:rowOff>
    </xdr:from>
    <xdr:to>
      <xdr:col>54</xdr:col>
      <xdr:colOff>603250</xdr:colOff>
      <xdr:row>3</xdr:row>
      <xdr:rowOff>55417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6616C2D6-5BAA-C4AC-C4A9-4524E177B7E6}"/>
            </a:ext>
          </a:extLst>
        </xdr:cNvPr>
        <xdr:cNvSpPr/>
      </xdr:nvSpPr>
      <xdr:spPr>
        <a:xfrm>
          <a:off x="34251584" y="254189"/>
          <a:ext cx="3141979" cy="348916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800">
              <a:solidFill>
                <a:schemeClr val="tx1"/>
              </a:solidFill>
            </a:rPr>
            <a:t>Método de</a:t>
          </a:r>
          <a:r>
            <a:rPr lang="es-MX" sz="1800" baseline="0">
              <a:solidFill>
                <a:schemeClr val="tx1"/>
              </a:solidFill>
            </a:rPr>
            <a:t> Shannon-Fano-Elias</a:t>
          </a:r>
        </a:p>
        <a:p>
          <a:pPr algn="l"/>
          <a:endParaRPr lang="es-MX" sz="1800">
            <a:solidFill>
              <a:schemeClr val="tx1"/>
            </a:solidFill>
          </a:endParaRPr>
        </a:p>
      </xdr:txBody>
    </xdr: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5T23:29:30.2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2890 0 24575,'-15'16'0,"0"1"0,-17 26 0,5-7 0,-228 305 0,19 19 0,46-13 0,-228 358 0,290-534 0,-201 206 0,-184 206 0,106-116 0,386-443-83,-139 161 297,130-148-588,3 2 0,1 1 0,-21 45 0,34-57-6452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5T23:29:34.0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24575,'5'1'0,"1"0"0,0 0 0,-1 0 0,1 1 0,0-1 0,-1 2 0,6 2 0,7 2 0,181 74 0,201 115 0,-245-107 0,-3 8 0,191 156 0,240 273 0,-435-381 0,-8 7 0,133 184 0,181 256 0,-233-312 0,-196-248 0,-3-7 0,18 33 0,123 179 0,27 47 0,-150-213 0,67 88 0,-78-125 0,-1 1 0,2-4 0,2 1 0,40 29 0,-33-29-1365,-25-18-5461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5T23:29:39.1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24575,'5'1'0,"1"0"0,-1-1 0,1 2 0,-1-1 0,11 4 0,4 2 0,198 63 0,-186-57 0,0 1 0,-1 1 0,-1 2 0,46 33 0,-62-36 0,0 0 0,0 1 0,-2 0 0,0 1 0,13 21 0,-1 13 0,-22-43 0,0 0 0,1 0 0,0 0 0,1-1 0,0 1 0,0-1 0,0 0 0,0 0 0,1-1 0,7 7 0,319 220 0,-312-219 0,28 20 0,-1 3 0,67 69 0,-100-91 0,-1 0 0,15 26 0,-9-15 0,6 24-164,-18-35-1037,0-1-5625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5T23:29:45.7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1583 0 24575,'-5'2'0,"1"-1"0,-1 0 0,1 1 0,-1 0 0,0 0 0,1 1 0,0-1 0,0 1 0,-5 5 0,-5 1 0,-47 34 0,4 1 0,0 4 0,-65 72 0,111-110 0,-25 25 0,3 2 0,1 1 0,-50 75 0,-94 215 0,151-286 0,6-6 0,-2-2 0,-33 43 0,6-15 0,3 2 0,-52 98 0,-51 147 0,61-132 0,71-146 0,-1-2 0,0-1 0,-34 41 0,1-2 0,-97 138-1365,136-191-5461</inkml:trace>
  <inkml:trace contextRef="#ctx0" brushRef="#br0" timeOffset="1910.02">1520 127 24575,'0'-4'0,"0"-1"0,0 0 0,1 1 0,-1-1 0,1 1 0,0-1 0,-1 0 0,6-7 0,-6 12 0,1 0 0,-1-1 0,1-1 0,-1 1 0,1 1 0,-1-1 0,1 0 0,0 1 0,0-1 0,-1 0 0,1 1 0,0-1 0,0 1 0,-1 0 0,0-1 0,1 1 0,0 0 0,1-1 0,0 1 0,0 0 0,0 0 0,0 0 0,-1 0 0,1 0 0,-1 1 0,1-1 0,1 1 0,-2-1 0,1 1 0,0-1 0,-1 1 0,1 0 0,1 2 0,12 7 0,-2 2 0,-1-1 0,0 3 0,-1-3 0,1 3 0,11 19 0,-9-13 0,25 39 0,-3 3 0,-3-1 0,28 77 0,-39-85 0,-8-23 0,0-1 0,-2 1 0,-3 2 0,0-2 0,8 57 0,-16-75 0,0-3 0,2 2 0,-1-1 0,2 1 0,0-2 0,-1 1 0,10 12 0,41 62 0,-18-31 0,27 38 0,20 33 0,442 919-570,-432-857-700,-87-172-5081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5T23:29:50.4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1855 148 24575,'-4'1'0,"-1"1"0,-1 0 0,1 0 0,0 1 0,0-1 0,-1 0 0,2 1 0,0 0 0,-1 0 0,0 1 0,2 0 0,-1-1 0,-7 10 0,1-3 0,-288 296 0,130-126 0,43-50 0,98-99-1365,17-21-5461</inkml:trace>
  <inkml:trace contextRef="#ctx0" brushRef="#br0" timeOffset="2406.82">1940 0 24575,'12'9'0,"-2"0"0,3-2 0,0 1 0,-2-1 0,3-1 0,20 7 0,-13-4 0,154 55 0,-141-49 0,-1 1 0,-1 2 0,-2 2 0,49 36 0,-34-22 0,-33-27 0,-2 1 0,1-1 0,0 2 0,-3 0 0,2 0 0,-2 1 0,11 13 0,-2-1 0,0-2 0,1 1 0,2-2 0,0-1 0,0-2 0,26 17 0,-11-9 0,-25-19 0,-1 1 0,-1 0 0,1-1 0,-1 2 0,0 1 0,0-2 0,0 1 0,9 15 0,55 74 0,-16-22 0,93 129 0,-109-145-1365,-28-43-5461</inkml:trace>
  <inkml:trace contextRef="#ctx0" brushRef="#br0" timeOffset="6450.08">987 973 24575,'-1'8'0,"0"-2"0,-1 0 0,-1 1 0,0-1 0,0-1 0,-1 2 0,1-1 0,0-1 0,-6 6 0,-1 4 0,-41 59 0,-118 125 0,75-92 0,56-60 0,1 2 0,-59 106 0,-21 26 0,56-93 0,11-14 0,-3-4 0,-91 97 0,118-140-1365,18-17-5461</inkml:trace>
  <inkml:trace contextRef="#ctx0" brushRef="#br0" timeOffset="8599.32">945 931 24575,'1'5'0,"0"-1"0,0 0 0,0-1 0,0 0 0,-1 0 0,2 2 0,-1-2 0,1 1 0,0-1 0,0-1 0,4 5 0,28 32 0,-33-37 0,50 48 0,3-2 0,113 79 0,-128-102 0,119 90 0,-132-93 0,-1 0 0,-1 2 0,38 47 0,-28-29 0,-20-26 0,-2 0 0,19 28 0,-9 9 0,-18-39 0,2-1 0,10 22 0,172 262 0,-41-75 0,121 240 0,-256-439-120,-5-7-58,0 0 0,3 0 0,-2-1 1,3-1-1,0 0 0,19 21 0,-20-27-6648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5T23:30:56.90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17 24575,'974'-12'-38,"-647"7"-497,649 40 420,-866-24 125,236 30-31,-248-27 84,146 46 0,-48 6 224,194 93-1,387 161-286,-452-195 0,-157-56 0,151 55 0,-245-98-35,-51-15-187,0-3 0,0 1 1,1-4-1,0 1 1,33 2-1,-36-7-6604</inkml:trace>
  <inkml:trace contextRef="#ctx0" brushRef="#br0" timeOffset="2558.85">5652 842 24575,'8'3'0,"12"12"0,21 12 0,16 11 0,14 13 0,11 10 0,1 4 0,1 2 0,-6-5 0,-2-1 0,-6-6 0,-13-9 0,-11-13 0,-7-7 0,-10-10-8191</inkml:trace>
  <inkml:trace contextRef="#ctx0" brushRef="#br0" timeOffset="3952.48">5780 1371 24575,'1'-10'0,"1"1"0,0 1 0,1-2 0,1 2 0,-1-1 0,1 1 0,1 0 0,-1 0 0,2-1 0,6-6 0,-7 6 0,130-165 0,9-13 0,-135 173 0,113-165 0,-93 141 0,1 2 0,57-52 0,-34 38 62,21-20-1489,-53 54-5399</inkml:trace>
  <inkml:trace contextRef="#ctx0" brushRef="#br0" timeOffset="5563.22">5992 419 24575,'11'229'0,"-1"-8"0,-10-156 0,-2-4 0,5 0 0,8 61 0,-7-91 0,-1 0 0,-1 2 0,-2-2 0,-7 56 0,-2-31 0,-29 98 0,32-137-1365,3-2-5461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5T23:31:07.00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1 147 24575,'53'1'0,"1"-4"0,0-1 0,0-3 0,68-18 0,-84 17 0,1 1 0,0 2 0,44 0 0,-45 3 0,29-5 0,106-26 0,-87 14 0,-7-1-1365,-63 17-5461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24"/>
  <sheetViews>
    <sheetView tabSelected="1" topLeftCell="B1" zoomScale="130" zoomScaleNormal="130" workbookViewId="0">
      <selection activeCell="E8" sqref="E8"/>
    </sheetView>
  </sheetViews>
  <sheetFormatPr baseColWidth="10" defaultRowHeight="14.4" x14ac:dyDescent="0.3"/>
  <cols>
    <col min="12" max="12" width="4.33203125" customWidth="1"/>
  </cols>
  <sheetData>
    <row r="2" spans="2:13" ht="28.8" x14ac:dyDescent="0.55000000000000004">
      <c r="B2" s="30" t="s">
        <v>55</v>
      </c>
      <c r="K2" s="34"/>
      <c r="L2" s="34"/>
      <c r="M2" s="34"/>
    </row>
    <row r="3" spans="2:13" ht="28.8" x14ac:dyDescent="0.55000000000000004">
      <c r="B3" s="30" t="s">
        <v>56</v>
      </c>
      <c r="K3" s="34"/>
      <c r="L3" s="34">
        <v>45</v>
      </c>
      <c r="M3" s="34"/>
    </row>
    <row r="4" spans="2:13" x14ac:dyDescent="0.3">
      <c r="K4" s="34">
        <v>23</v>
      </c>
      <c r="L4" s="34"/>
      <c r="M4" s="34">
        <v>22</v>
      </c>
    </row>
    <row r="5" spans="2:13" x14ac:dyDescent="0.3">
      <c r="B5" t="s">
        <v>57</v>
      </c>
      <c r="K5" s="34" t="s">
        <v>62</v>
      </c>
      <c r="L5" s="34"/>
      <c r="M5" s="34" t="s">
        <v>19</v>
      </c>
    </row>
    <row r="6" spans="2:13" x14ac:dyDescent="0.3">
      <c r="B6" s="31" t="s">
        <v>59</v>
      </c>
      <c r="C6" s="32" t="s">
        <v>60</v>
      </c>
      <c r="D6" t="s">
        <v>61</v>
      </c>
      <c r="E6" t="s">
        <v>64</v>
      </c>
      <c r="K6" s="34" t="s">
        <v>63</v>
      </c>
      <c r="L6" s="34"/>
      <c r="M6" s="34"/>
    </row>
    <row r="7" spans="2:13" x14ac:dyDescent="0.3">
      <c r="B7" t="s">
        <v>3</v>
      </c>
      <c r="C7">
        <v>6</v>
      </c>
      <c r="D7" s="33">
        <f t="shared" ref="D7:D23" si="0">C7 / $C$24</f>
        <v>0.13333333333333333</v>
      </c>
      <c r="E7">
        <v>0</v>
      </c>
      <c r="K7" s="34"/>
      <c r="L7" s="34"/>
      <c r="M7" s="34"/>
    </row>
    <row r="8" spans="2:13" x14ac:dyDescent="0.3">
      <c r="B8" t="s">
        <v>5</v>
      </c>
      <c r="C8">
        <v>5</v>
      </c>
      <c r="D8" s="33">
        <f t="shared" si="0"/>
        <v>0.1111111111111111</v>
      </c>
      <c r="E8" s="35">
        <f>D7 + E7</f>
        <v>0.13333333333333333</v>
      </c>
      <c r="K8" s="34"/>
      <c r="L8" s="34"/>
      <c r="M8" s="34"/>
    </row>
    <row r="9" spans="2:13" x14ac:dyDescent="0.3">
      <c r="B9" t="s">
        <v>4</v>
      </c>
      <c r="C9">
        <v>5</v>
      </c>
      <c r="D9" s="33">
        <f t="shared" si="0"/>
        <v>0.1111111111111111</v>
      </c>
      <c r="E9" s="35">
        <f t="shared" ref="E9:E23" si="1">D8 + E8</f>
        <v>0.24444444444444444</v>
      </c>
    </row>
    <row r="10" spans="2:13" x14ac:dyDescent="0.3">
      <c r="B10" t="s">
        <v>7</v>
      </c>
      <c r="C10">
        <v>4</v>
      </c>
      <c r="D10" s="33">
        <f t="shared" si="0"/>
        <v>8.8888888888888892E-2</v>
      </c>
      <c r="E10" s="35">
        <f t="shared" si="1"/>
        <v>0.35555555555555551</v>
      </c>
    </row>
    <row r="11" spans="2:13" x14ac:dyDescent="0.3">
      <c r="B11" t="s">
        <v>6</v>
      </c>
      <c r="C11">
        <v>4</v>
      </c>
      <c r="D11" s="33">
        <f t="shared" si="0"/>
        <v>8.8888888888888892E-2</v>
      </c>
      <c r="E11" s="35">
        <f t="shared" si="1"/>
        <v>0.44444444444444442</v>
      </c>
    </row>
    <row r="12" spans="2:13" x14ac:dyDescent="0.3">
      <c r="B12" t="s">
        <v>9</v>
      </c>
      <c r="C12">
        <v>3</v>
      </c>
      <c r="D12" s="33">
        <f t="shared" si="0"/>
        <v>6.6666666666666666E-2</v>
      </c>
      <c r="E12" s="35">
        <f t="shared" si="1"/>
        <v>0.53333333333333333</v>
      </c>
    </row>
    <row r="13" spans="2:13" x14ac:dyDescent="0.3">
      <c r="B13" t="s">
        <v>10</v>
      </c>
      <c r="C13">
        <v>3</v>
      </c>
      <c r="D13" s="33">
        <f t="shared" si="0"/>
        <v>6.6666666666666666E-2</v>
      </c>
      <c r="E13" s="35">
        <f t="shared" si="1"/>
        <v>0.6</v>
      </c>
    </row>
    <row r="14" spans="2:13" x14ac:dyDescent="0.3">
      <c r="B14" t="s">
        <v>8</v>
      </c>
      <c r="C14">
        <v>3</v>
      </c>
      <c r="D14" s="33">
        <f t="shared" si="0"/>
        <v>6.6666666666666666E-2</v>
      </c>
      <c r="E14" s="35">
        <f t="shared" si="1"/>
        <v>0.66666666666666663</v>
      </c>
    </row>
    <row r="15" spans="2:13" x14ac:dyDescent="0.3">
      <c r="B15" t="s">
        <v>11</v>
      </c>
      <c r="C15">
        <v>2</v>
      </c>
      <c r="D15" s="33">
        <f t="shared" si="0"/>
        <v>4.4444444444444446E-2</v>
      </c>
      <c r="E15" s="35">
        <f t="shared" si="1"/>
        <v>0.73333333333333328</v>
      </c>
    </row>
    <row r="16" spans="2:13" x14ac:dyDescent="0.3">
      <c r="B16" t="s">
        <v>12</v>
      </c>
      <c r="C16">
        <v>2</v>
      </c>
      <c r="D16" s="33">
        <f t="shared" si="0"/>
        <v>4.4444444444444446E-2</v>
      </c>
      <c r="E16" s="35">
        <f t="shared" si="1"/>
        <v>0.77777777777777768</v>
      </c>
    </row>
    <row r="17" spans="2:5" x14ac:dyDescent="0.3">
      <c r="B17" t="s">
        <v>40</v>
      </c>
      <c r="C17">
        <v>2</v>
      </c>
      <c r="D17" s="33">
        <f t="shared" si="0"/>
        <v>4.4444444444444446E-2</v>
      </c>
      <c r="E17" s="35">
        <f t="shared" si="1"/>
        <v>0.82222222222222208</v>
      </c>
    </row>
    <row r="18" spans="2:5" x14ac:dyDescent="0.3">
      <c r="B18" t="s">
        <v>16</v>
      </c>
      <c r="C18">
        <v>1</v>
      </c>
      <c r="D18" s="33">
        <f t="shared" si="0"/>
        <v>2.2222222222222223E-2</v>
      </c>
      <c r="E18" s="35">
        <f t="shared" si="1"/>
        <v>0.86666666666666647</v>
      </c>
    </row>
    <row r="19" spans="2:5" x14ac:dyDescent="0.3">
      <c r="B19" t="s">
        <v>18</v>
      </c>
      <c r="C19">
        <v>1</v>
      </c>
      <c r="D19" s="33">
        <f t="shared" si="0"/>
        <v>2.2222222222222223E-2</v>
      </c>
      <c r="E19" s="35">
        <f t="shared" si="1"/>
        <v>0.88888888888888873</v>
      </c>
    </row>
    <row r="20" spans="2:5" x14ac:dyDescent="0.3">
      <c r="B20" t="s">
        <v>58</v>
      </c>
      <c r="C20">
        <v>1</v>
      </c>
      <c r="D20" s="33">
        <f t="shared" si="0"/>
        <v>2.2222222222222223E-2</v>
      </c>
      <c r="E20" s="35">
        <f t="shared" si="1"/>
        <v>0.91111111111111098</v>
      </c>
    </row>
    <row r="21" spans="2:5" x14ac:dyDescent="0.3">
      <c r="B21" t="s">
        <v>14</v>
      </c>
      <c r="C21">
        <v>1</v>
      </c>
      <c r="D21" s="33">
        <f t="shared" si="0"/>
        <v>2.2222222222222223E-2</v>
      </c>
      <c r="E21" s="35">
        <f t="shared" si="1"/>
        <v>0.93333333333333324</v>
      </c>
    </row>
    <row r="22" spans="2:5" x14ac:dyDescent="0.3">
      <c r="B22" t="s">
        <v>13</v>
      </c>
      <c r="C22">
        <v>1</v>
      </c>
      <c r="D22" s="33">
        <f t="shared" si="0"/>
        <v>2.2222222222222223E-2</v>
      </c>
      <c r="E22" s="35">
        <f t="shared" si="1"/>
        <v>0.95555555555555549</v>
      </c>
    </row>
    <row r="23" spans="2:5" x14ac:dyDescent="0.3">
      <c r="B23" t="s">
        <v>15</v>
      </c>
      <c r="C23">
        <v>1</v>
      </c>
      <c r="D23" s="33">
        <f t="shared" si="0"/>
        <v>2.2222222222222223E-2</v>
      </c>
      <c r="E23" s="35">
        <f t="shared" si="1"/>
        <v>0.97777777777777775</v>
      </c>
    </row>
    <row r="24" spans="2:5" x14ac:dyDescent="0.3">
      <c r="C24">
        <f>SUM(C7:C23)</f>
        <v>45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A65"/>
  <sheetViews>
    <sheetView topLeftCell="S1" zoomScaleNormal="100" workbookViewId="0">
      <selection activeCell="B2" sqref="B2:F26"/>
    </sheetView>
  </sheetViews>
  <sheetFormatPr baseColWidth="10" defaultRowHeight="14.4" x14ac:dyDescent="0.3"/>
  <cols>
    <col min="2" max="3" width="5.88671875" customWidth="1"/>
    <col min="18" max="18" width="5.44140625" customWidth="1"/>
    <col min="35" max="36" width="4.21875" customWidth="1"/>
    <col min="38" max="43" width="4.6640625" customWidth="1"/>
    <col min="44" max="44" width="4.21875" customWidth="1"/>
    <col min="50" max="51" width="2.33203125" customWidth="1"/>
  </cols>
  <sheetData>
    <row r="2" spans="2:53" ht="28.8" x14ac:dyDescent="0.55000000000000004">
      <c r="B2" s="30" t="s">
        <v>55</v>
      </c>
    </row>
    <row r="3" spans="2:53" ht="28.8" x14ac:dyDescent="0.55000000000000004">
      <c r="B3" s="30" t="s">
        <v>56</v>
      </c>
    </row>
    <row r="4" spans="2:53" x14ac:dyDescent="0.3">
      <c r="AE4" t="s">
        <v>21</v>
      </c>
    </row>
    <row r="5" spans="2:53" x14ac:dyDescent="0.3">
      <c r="B5" t="s">
        <v>57</v>
      </c>
      <c r="AI5" t="s">
        <v>3</v>
      </c>
      <c r="AJ5">
        <v>6</v>
      </c>
      <c r="AK5">
        <f>AJ5 / $Z$23</f>
        <v>0.13333333333333333</v>
      </c>
      <c r="AL5" s="2"/>
      <c r="AM5" s="4"/>
      <c r="AN5" s="6">
        <v>0</v>
      </c>
      <c r="AS5" s="1" t="s">
        <v>22</v>
      </c>
    </row>
    <row r="6" spans="2:53" x14ac:dyDescent="0.3">
      <c r="B6" s="31" t="s">
        <v>59</v>
      </c>
      <c r="C6" s="32" t="s">
        <v>60</v>
      </c>
      <c r="D6" t="s">
        <v>61</v>
      </c>
      <c r="R6" t="s">
        <v>3</v>
      </c>
      <c r="S6">
        <v>6</v>
      </c>
      <c r="U6">
        <v>22</v>
      </c>
      <c r="V6">
        <v>22</v>
      </c>
      <c r="Y6" t="s">
        <v>3</v>
      </c>
      <c r="Z6">
        <v>6</v>
      </c>
      <c r="AA6">
        <f>Z6 / $Z$23</f>
        <v>0.13333333333333333</v>
      </c>
      <c r="AB6">
        <v>0</v>
      </c>
      <c r="AC6">
        <f>ROUNDUP(LOG(1/AA6,2),0)</f>
        <v>3</v>
      </c>
      <c r="AD6" s="1" t="s">
        <v>22</v>
      </c>
      <c r="AE6">
        <v>0</v>
      </c>
      <c r="AI6" t="s">
        <v>4</v>
      </c>
      <c r="AJ6">
        <v>5</v>
      </c>
      <c r="AK6">
        <f t="shared" ref="AK6:AK21" si="0">AJ6 / $Z$23</f>
        <v>0.1111111111111111</v>
      </c>
      <c r="AL6" s="2"/>
      <c r="AM6" s="4">
        <v>0</v>
      </c>
      <c r="AN6" s="8">
        <v>1</v>
      </c>
      <c r="AS6" s="1" t="s">
        <v>23</v>
      </c>
      <c r="AX6" t="s">
        <v>3</v>
      </c>
      <c r="AY6">
        <v>6</v>
      </c>
      <c r="AZ6">
        <f>AY6 / $Z$23</f>
        <v>0.13333333333333333</v>
      </c>
      <c r="BA6">
        <f>AZ6/2</f>
        <v>6.6666666666666666E-2</v>
      </c>
    </row>
    <row r="7" spans="2:53" x14ac:dyDescent="0.3">
      <c r="B7" t="s">
        <v>3</v>
      </c>
      <c r="C7">
        <v>6</v>
      </c>
      <c r="D7" s="33">
        <f t="shared" ref="D7:D23" si="1">C7 / $C$24</f>
        <v>0.13333333333333333</v>
      </c>
      <c r="R7" t="s">
        <v>4</v>
      </c>
      <c r="S7">
        <v>5</v>
      </c>
      <c r="U7" t="s">
        <v>19</v>
      </c>
      <c r="V7" t="s">
        <v>19</v>
      </c>
      <c r="Y7" t="s">
        <v>4</v>
      </c>
      <c r="Z7">
        <v>5</v>
      </c>
      <c r="AA7">
        <f t="shared" ref="AA7:AA22" si="2">Z7 / $Z$23</f>
        <v>0.1111111111111111</v>
      </c>
      <c r="AB7">
        <f>AA6 + AB6</f>
        <v>0.13333333333333333</v>
      </c>
      <c r="AC7">
        <f t="shared" ref="AC7:AC22" si="3">ROUNDUP(LOG(1/AA7,2),0)</f>
        <v>4</v>
      </c>
      <c r="AD7" s="1" t="s">
        <v>23</v>
      </c>
      <c r="AI7" t="s">
        <v>5</v>
      </c>
      <c r="AJ7">
        <v>5</v>
      </c>
      <c r="AK7">
        <f t="shared" si="0"/>
        <v>0.1111111111111111</v>
      </c>
      <c r="AL7" s="2">
        <v>0</v>
      </c>
      <c r="AM7" s="5"/>
      <c r="AN7" s="7">
        <v>0</v>
      </c>
      <c r="AS7" s="1" t="s">
        <v>32</v>
      </c>
      <c r="AX7" t="s">
        <v>4</v>
      </c>
      <c r="AY7">
        <v>5</v>
      </c>
      <c r="AZ7">
        <f t="shared" ref="AZ7:AZ22" si="4">AY7 / $Z$23</f>
        <v>0.1111111111111111</v>
      </c>
      <c r="BA7">
        <f>SUM(AZ6:AZ7) / 2</f>
        <v>0.12222222222222222</v>
      </c>
    </row>
    <row r="8" spans="2:53" x14ac:dyDescent="0.3">
      <c r="B8" t="s">
        <v>5</v>
      </c>
      <c r="C8">
        <v>5</v>
      </c>
      <c r="D8" s="33">
        <f t="shared" si="1"/>
        <v>0.1111111111111111</v>
      </c>
      <c r="R8" t="s">
        <v>5</v>
      </c>
      <c r="S8">
        <v>5</v>
      </c>
      <c r="Y8" t="s">
        <v>5</v>
      </c>
      <c r="Z8">
        <v>5</v>
      </c>
      <c r="AA8">
        <f t="shared" si="2"/>
        <v>0.1111111111111111</v>
      </c>
      <c r="AB8">
        <f t="shared" ref="AB8:AB22" si="5">AA7 + AB7</f>
        <v>0.24444444444444444</v>
      </c>
      <c r="AC8">
        <f t="shared" si="3"/>
        <v>4</v>
      </c>
      <c r="AD8" s="1" t="s">
        <v>24</v>
      </c>
      <c r="AI8" t="s">
        <v>6</v>
      </c>
      <c r="AJ8">
        <v>4</v>
      </c>
      <c r="AK8">
        <f t="shared" si="0"/>
        <v>8.8888888888888892E-2</v>
      </c>
      <c r="AL8" s="2"/>
      <c r="AM8" s="5"/>
      <c r="AN8" s="9"/>
      <c r="AO8" s="10">
        <v>0</v>
      </c>
      <c r="AS8" s="1" t="s">
        <v>41</v>
      </c>
      <c r="AX8" t="s">
        <v>5</v>
      </c>
      <c r="AY8">
        <v>5</v>
      </c>
      <c r="AZ8">
        <f t="shared" si="4"/>
        <v>0.1111111111111111</v>
      </c>
      <c r="BA8">
        <f t="shared" ref="BA8:BA22" si="6">AZ8/2</f>
        <v>5.5555555555555552E-2</v>
      </c>
    </row>
    <row r="9" spans="2:53" x14ac:dyDescent="0.3">
      <c r="B9" t="s">
        <v>4</v>
      </c>
      <c r="C9">
        <v>5</v>
      </c>
      <c r="D9" s="33">
        <f t="shared" si="1"/>
        <v>0.1111111111111111</v>
      </c>
      <c r="R9" t="s">
        <v>6</v>
      </c>
      <c r="S9">
        <v>4</v>
      </c>
      <c r="Y9" t="s">
        <v>6</v>
      </c>
      <c r="Z9">
        <v>4</v>
      </c>
      <c r="AA9">
        <f t="shared" si="2"/>
        <v>8.8888888888888892E-2</v>
      </c>
      <c r="AB9">
        <f t="shared" si="5"/>
        <v>0.35555555555555551</v>
      </c>
      <c r="AC9">
        <f t="shared" si="3"/>
        <v>4</v>
      </c>
      <c r="AD9" s="1" t="s">
        <v>25</v>
      </c>
      <c r="AI9" t="s">
        <v>7</v>
      </c>
      <c r="AJ9">
        <v>4</v>
      </c>
      <c r="AK9">
        <f t="shared" si="0"/>
        <v>8.8888888888888892E-2</v>
      </c>
      <c r="AL9" s="2"/>
      <c r="AM9" s="5">
        <v>1</v>
      </c>
      <c r="AN9" s="9">
        <v>1</v>
      </c>
      <c r="AO9" s="11">
        <v>1</v>
      </c>
      <c r="AS9" s="1" t="s">
        <v>42</v>
      </c>
      <c r="AX9" t="s">
        <v>6</v>
      </c>
      <c r="AY9">
        <v>4</v>
      </c>
      <c r="AZ9">
        <f t="shared" si="4"/>
        <v>8.8888888888888892E-2</v>
      </c>
      <c r="BA9">
        <f t="shared" si="6"/>
        <v>4.4444444444444446E-2</v>
      </c>
    </row>
    <row r="10" spans="2:53" x14ac:dyDescent="0.3">
      <c r="B10" t="s">
        <v>7</v>
      </c>
      <c r="C10">
        <v>4</v>
      </c>
      <c r="D10" s="33">
        <f t="shared" si="1"/>
        <v>8.8888888888888892E-2</v>
      </c>
      <c r="R10" t="s">
        <v>7</v>
      </c>
      <c r="S10">
        <v>4</v>
      </c>
      <c r="Y10" t="s">
        <v>7</v>
      </c>
      <c r="Z10">
        <v>4</v>
      </c>
      <c r="AA10">
        <f t="shared" si="2"/>
        <v>8.8888888888888892E-2</v>
      </c>
      <c r="AB10">
        <f t="shared" si="5"/>
        <v>0.44444444444444442</v>
      </c>
      <c r="AC10">
        <f t="shared" si="3"/>
        <v>4</v>
      </c>
      <c r="AD10" s="1" t="s">
        <v>26</v>
      </c>
      <c r="AI10" t="s">
        <v>8</v>
      </c>
      <c r="AJ10">
        <v>3</v>
      </c>
      <c r="AK10">
        <f t="shared" si="0"/>
        <v>6.6666666666666666E-2</v>
      </c>
      <c r="AL10" s="3"/>
      <c r="AM10" s="12"/>
      <c r="AN10" s="14"/>
      <c r="AO10" s="16">
        <v>0</v>
      </c>
      <c r="AS10" s="1" t="s">
        <v>43</v>
      </c>
      <c r="AX10" t="s">
        <v>7</v>
      </c>
      <c r="AY10">
        <v>4</v>
      </c>
      <c r="AZ10">
        <f t="shared" si="4"/>
        <v>8.8888888888888892E-2</v>
      </c>
      <c r="BA10">
        <f t="shared" si="6"/>
        <v>4.4444444444444446E-2</v>
      </c>
    </row>
    <row r="11" spans="2:53" x14ac:dyDescent="0.3">
      <c r="B11" t="s">
        <v>6</v>
      </c>
      <c r="C11">
        <v>4</v>
      </c>
      <c r="D11" s="33">
        <f t="shared" si="1"/>
        <v>8.8888888888888892E-2</v>
      </c>
      <c r="R11" t="s">
        <v>8</v>
      </c>
      <c r="S11">
        <v>3</v>
      </c>
      <c r="Y11" t="s">
        <v>8</v>
      </c>
      <c r="Z11">
        <v>3</v>
      </c>
      <c r="AA11">
        <f t="shared" si="2"/>
        <v>6.6666666666666666E-2</v>
      </c>
      <c r="AB11">
        <f t="shared" si="5"/>
        <v>0.53333333333333333</v>
      </c>
      <c r="AC11">
        <f t="shared" si="3"/>
        <v>4</v>
      </c>
      <c r="AD11" s="1" t="s">
        <v>27</v>
      </c>
      <c r="AI11" t="s">
        <v>9</v>
      </c>
      <c r="AJ11">
        <v>3</v>
      </c>
      <c r="AK11">
        <f t="shared" si="0"/>
        <v>6.6666666666666666E-2</v>
      </c>
      <c r="AL11" s="3"/>
      <c r="AM11" s="12"/>
      <c r="AN11" s="14">
        <v>0</v>
      </c>
      <c r="AO11" s="17">
        <v>1</v>
      </c>
      <c r="AS11" s="1" t="s">
        <v>44</v>
      </c>
      <c r="AX11" t="s">
        <v>8</v>
      </c>
      <c r="AY11">
        <v>3</v>
      </c>
      <c r="AZ11">
        <f t="shared" si="4"/>
        <v>6.6666666666666666E-2</v>
      </c>
      <c r="BA11">
        <f t="shared" si="6"/>
        <v>3.3333333333333333E-2</v>
      </c>
    </row>
    <row r="12" spans="2:53" x14ac:dyDescent="0.3">
      <c r="B12" t="s">
        <v>9</v>
      </c>
      <c r="C12">
        <v>3</v>
      </c>
      <c r="D12" s="33">
        <f t="shared" si="1"/>
        <v>6.6666666666666666E-2</v>
      </c>
      <c r="R12" t="s">
        <v>9</v>
      </c>
      <c r="S12">
        <v>3</v>
      </c>
      <c r="Y12" t="s">
        <v>9</v>
      </c>
      <c r="Z12">
        <v>3</v>
      </c>
      <c r="AA12">
        <f t="shared" si="2"/>
        <v>6.6666666666666666E-2</v>
      </c>
      <c r="AB12">
        <f t="shared" si="5"/>
        <v>0.6</v>
      </c>
      <c r="AC12">
        <f t="shared" si="3"/>
        <v>4</v>
      </c>
      <c r="AD12" s="1" t="s">
        <v>28</v>
      </c>
      <c r="AI12" t="s">
        <v>10</v>
      </c>
      <c r="AJ12">
        <v>3</v>
      </c>
      <c r="AK12">
        <f t="shared" si="0"/>
        <v>6.6666666666666666E-2</v>
      </c>
      <c r="AL12" s="3"/>
      <c r="AM12" s="12"/>
      <c r="AN12" s="15"/>
      <c r="AO12" s="18">
        <v>0</v>
      </c>
      <c r="AS12" s="1" t="s">
        <v>45</v>
      </c>
      <c r="AX12" t="s">
        <v>9</v>
      </c>
      <c r="AY12">
        <v>3</v>
      </c>
      <c r="AZ12">
        <f t="shared" si="4"/>
        <v>6.6666666666666666E-2</v>
      </c>
      <c r="BA12">
        <f t="shared" si="6"/>
        <v>3.3333333333333333E-2</v>
      </c>
    </row>
    <row r="13" spans="2:53" x14ac:dyDescent="0.3">
      <c r="B13" t="s">
        <v>10</v>
      </c>
      <c r="C13">
        <v>3</v>
      </c>
      <c r="D13" s="33">
        <f t="shared" si="1"/>
        <v>6.6666666666666666E-2</v>
      </c>
      <c r="R13" t="s">
        <v>10</v>
      </c>
      <c r="S13">
        <v>3</v>
      </c>
      <c r="Y13" t="s">
        <v>10</v>
      </c>
      <c r="Z13">
        <v>3</v>
      </c>
      <c r="AA13">
        <f t="shared" si="2"/>
        <v>6.6666666666666666E-2</v>
      </c>
      <c r="AB13">
        <f t="shared" si="5"/>
        <v>0.66666666666666663</v>
      </c>
      <c r="AC13">
        <f t="shared" si="3"/>
        <v>4</v>
      </c>
      <c r="AD13" s="1" t="s">
        <v>29</v>
      </c>
      <c r="AI13" t="s">
        <v>11</v>
      </c>
      <c r="AJ13">
        <v>2</v>
      </c>
      <c r="AK13">
        <f t="shared" si="0"/>
        <v>4.4444444444444446E-2</v>
      </c>
      <c r="AL13" s="3"/>
      <c r="AM13" s="12">
        <v>0</v>
      </c>
      <c r="AN13" s="15">
        <v>1</v>
      </c>
      <c r="AO13" s="8">
        <v>1</v>
      </c>
      <c r="AS13" s="1" t="s">
        <v>46</v>
      </c>
      <c r="AX13" t="s">
        <v>10</v>
      </c>
      <c r="AY13">
        <v>3</v>
      </c>
      <c r="AZ13">
        <f t="shared" si="4"/>
        <v>6.6666666666666666E-2</v>
      </c>
      <c r="BA13">
        <f t="shared" si="6"/>
        <v>3.3333333333333333E-2</v>
      </c>
    </row>
    <row r="14" spans="2:53" x14ac:dyDescent="0.3">
      <c r="B14" t="s">
        <v>8</v>
      </c>
      <c r="C14">
        <v>3</v>
      </c>
      <c r="D14" s="33">
        <f t="shared" si="1"/>
        <v>6.6666666666666666E-2</v>
      </c>
      <c r="R14" t="s">
        <v>11</v>
      </c>
      <c r="S14">
        <v>2</v>
      </c>
      <c r="Y14" t="s">
        <v>11</v>
      </c>
      <c r="Z14">
        <v>2</v>
      </c>
      <c r="AA14">
        <f t="shared" si="2"/>
        <v>4.4444444444444446E-2</v>
      </c>
      <c r="AB14">
        <f t="shared" si="5"/>
        <v>0.73333333333333328</v>
      </c>
      <c r="AC14">
        <f t="shared" si="3"/>
        <v>5</v>
      </c>
      <c r="AD14" s="1" t="s">
        <v>30</v>
      </c>
      <c r="AI14" t="s">
        <v>40</v>
      </c>
      <c r="AJ14">
        <v>2</v>
      </c>
      <c r="AK14">
        <f t="shared" si="0"/>
        <v>4.4444444444444446E-2</v>
      </c>
      <c r="AL14" s="3"/>
      <c r="AM14" s="13"/>
      <c r="AN14" s="19"/>
      <c r="AO14" s="20">
        <v>1</v>
      </c>
      <c r="AS14" s="1" t="s">
        <v>47</v>
      </c>
      <c r="AX14" t="s">
        <v>11</v>
      </c>
      <c r="AY14">
        <v>2</v>
      </c>
      <c r="AZ14">
        <f t="shared" si="4"/>
        <v>4.4444444444444446E-2</v>
      </c>
      <c r="BA14">
        <f t="shared" si="6"/>
        <v>2.2222222222222223E-2</v>
      </c>
    </row>
    <row r="15" spans="2:53" x14ac:dyDescent="0.3">
      <c r="B15" t="s">
        <v>11</v>
      </c>
      <c r="C15">
        <v>2</v>
      </c>
      <c r="D15" s="33">
        <f t="shared" si="1"/>
        <v>4.4444444444444446E-2</v>
      </c>
      <c r="R15" t="s">
        <v>6</v>
      </c>
      <c r="S15">
        <v>2</v>
      </c>
      <c r="Y15" t="s">
        <v>6</v>
      </c>
      <c r="Z15">
        <v>2</v>
      </c>
      <c r="AA15">
        <f t="shared" si="2"/>
        <v>4.4444444444444446E-2</v>
      </c>
      <c r="AB15">
        <f t="shared" si="5"/>
        <v>0.77777777777777768</v>
      </c>
      <c r="AC15">
        <f t="shared" si="3"/>
        <v>5</v>
      </c>
      <c r="AD15" s="1" t="s">
        <v>31</v>
      </c>
      <c r="AI15" t="s">
        <v>12</v>
      </c>
      <c r="AJ15">
        <v>2</v>
      </c>
      <c r="AK15">
        <f t="shared" si="0"/>
        <v>4.4444444444444446E-2</v>
      </c>
      <c r="AL15" s="3"/>
      <c r="AM15" s="13"/>
      <c r="AN15" s="19"/>
      <c r="AO15" s="21"/>
      <c r="AP15" s="24">
        <v>0</v>
      </c>
      <c r="AS15" s="1" t="s">
        <v>48</v>
      </c>
      <c r="AX15" t="s">
        <v>40</v>
      </c>
      <c r="AY15">
        <v>2</v>
      </c>
      <c r="AZ15">
        <f t="shared" si="4"/>
        <v>4.4444444444444446E-2</v>
      </c>
      <c r="BA15">
        <f t="shared" si="6"/>
        <v>2.2222222222222223E-2</v>
      </c>
    </row>
    <row r="16" spans="2:53" x14ac:dyDescent="0.3">
      <c r="B16" t="s">
        <v>12</v>
      </c>
      <c r="C16">
        <v>2</v>
      </c>
      <c r="D16" s="33">
        <f t="shared" si="1"/>
        <v>4.4444444444444446E-2</v>
      </c>
      <c r="R16" t="s">
        <v>12</v>
      </c>
      <c r="S16">
        <v>2</v>
      </c>
      <c r="Y16" t="s">
        <v>12</v>
      </c>
      <c r="Z16">
        <v>2</v>
      </c>
      <c r="AA16">
        <f t="shared" si="2"/>
        <v>4.4444444444444446E-2</v>
      </c>
      <c r="AB16">
        <f t="shared" si="5"/>
        <v>0.82222222222222208</v>
      </c>
      <c r="AC16">
        <f t="shared" si="3"/>
        <v>5</v>
      </c>
      <c r="AD16" s="1" t="s">
        <v>32</v>
      </c>
      <c r="AI16" t="s">
        <v>17</v>
      </c>
      <c r="AJ16">
        <v>1</v>
      </c>
      <c r="AK16">
        <f t="shared" si="0"/>
        <v>2.2222222222222223E-2</v>
      </c>
      <c r="AL16" s="3"/>
      <c r="AM16" s="13"/>
      <c r="AN16" s="19">
        <v>0</v>
      </c>
      <c r="AO16" s="21">
        <v>0</v>
      </c>
      <c r="AP16" s="10">
        <v>1</v>
      </c>
      <c r="AS16" s="1" t="s">
        <v>49</v>
      </c>
      <c r="AX16" t="s">
        <v>12</v>
      </c>
      <c r="AY16">
        <v>2</v>
      </c>
      <c r="AZ16">
        <f t="shared" si="4"/>
        <v>4.4444444444444446E-2</v>
      </c>
      <c r="BA16">
        <f t="shared" si="6"/>
        <v>2.2222222222222223E-2</v>
      </c>
    </row>
    <row r="17" spans="2:53" x14ac:dyDescent="0.3">
      <c r="B17" t="s">
        <v>40</v>
      </c>
      <c r="C17">
        <v>2</v>
      </c>
      <c r="D17" s="33">
        <f t="shared" si="1"/>
        <v>4.4444444444444446E-2</v>
      </c>
      <c r="R17" t="s">
        <v>13</v>
      </c>
      <c r="S17">
        <v>1</v>
      </c>
      <c r="Y17" t="s">
        <v>13</v>
      </c>
      <c r="Z17">
        <v>1</v>
      </c>
      <c r="AA17">
        <f t="shared" si="2"/>
        <v>2.2222222222222223E-2</v>
      </c>
      <c r="AB17">
        <f t="shared" si="5"/>
        <v>0.86666666666666647</v>
      </c>
      <c r="AC17">
        <f t="shared" si="3"/>
        <v>6</v>
      </c>
      <c r="AD17" s="1" t="s">
        <v>33</v>
      </c>
      <c r="AI17" t="s">
        <v>18</v>
      </c>
      <c r="AJ17">
        <v>1</v>
      </c>
      <c r="AK17">
        <f t="shared" si="0"/>
        <v>2.2222222222222223E-2</v>
      </c>
      <c r="AL17" s="3"/>
      <c r="AM17" s="13"/>
      <c r="AN17" s="11"/>
      <c r="AO17" s="22"/>
      <c r="AP17" s="25"/>
      <c r="AQ17" s="26">
        <v>0</v>
      </c>
      <c r="AS17" s="1" t="s">
        <v>50</v>
      </c>
      <c r="AX17" t="s">
        <v>17</v>
      </c>
      <c r="AY17">
        <v>1</v>
      </c>
      <c r="AZ17">
        <f t="shared" si="4"/>
        <v>2.2222222222222223E-2</v>
      </c>
      <c r="BA17">
        <f t="shared" si="6"/>
        <v>1.1111111111111112E-2</v>
      </c>
    </row>
    <row r="18" spans="2:53" x14ac:dyDescent="0.3">
      <c r="B18" t="s">
        <v>16</v>
      </c>
      <c r="C18">
        <v>1</v>
      </c>
      <c r="D18" s="33">
        <f t="shared" si="1"/>
        <v>2.2222222222222223E-2</v>
      </c>
      <c r="R18" t="s">
        <v>14</v>
      </c>
      <c r="S18">
        <v>1</v>
      </c>
      <c r="Y18" t="s">
        <v>14</v>
      </c>
      <c r="Z18">
        <v>1</v>
      </c>
      <c r="AA18">
        <f t="shared" si="2"/>
        <v>2.2222222222222223E-2</v>
      </c>
      <c r="AB18">
        <f t="shared" si="5"/>
        <v>0.88888888888888873</v>
      </c>
      <c r="AC18">
        <f t="shared" si="3"/>
        <v>6</v>
      </c>
      <c r="AD18" s="1" t="s">
        <v>34</v>
      </c>
      <c r="AI18" t="s">
        <v>13</v>
      </c>
      <c r="AJ18">
        <v>1</v>
      </c>
      <c r="AK18">
        <f t="shared" si="0"/>
        <v>2.2222222222222223E-2</v>
      </c>
      <c r="AL18" s="3"/>
      <c r="AM18" s="13"/>
      <c r="AN18" s="11"/>
      <c r="AO18" s="22"/>
      <c r="AP18" s="25">
        <v>0</v>
      </c>
      <c r="AQ18" s="27">
        <v>1</v>
      </c>
      <c r="AS18" s="1" t="s">
        <v>51</v>
      </c>
      <c r="AX18" t="s">
        <v>18</v>
      </c>
      <c r="AY18">
        <v>1</v>
      </c>
      <c r="AZ18">
        <f t="shared" si="4"/>
        <v>2.2222222222222223E-2</v>
      </c>
      <c r="BA18">
        <f t="shared" si="6"/>
        <v>1.1111111111111112E-2</v>
      </c>
    </row>
    <row r="19" spans="2:53" x14ac:dyDescent="0.3">
      <c r="B19" t="s">
        <v>18</v>
      </c>
      <c r="C19">
        <v>1</v>
      </c>
      <c r="D19" s="33">
        <f t="shared" si="1"/>
        <v>2.2222222222222223E-2</v>
      </c>
      <c r="R19" t="s">
        <v>15</v>
      </c>
      <c r="S19">
        <v>1</v>
      </c>
      <c r="Y19" t="s">
        <v>15</v>
      </c>
      <c r="Z19">
        <v>1</v>
      </c>
      <c r="AA19">
        <f t="shared" si="2"/>
        <v>2.2222222222222223E-2</v>
      </c>
      <c r="AB19">
        <f t="shared" si="5"/>
        <v>0.91111111111111098</v>
      </c>
      <c r="AC19">
        <f t="shared" si="3"/>
        <v>6</v>
      </c>
      <c r="AD19" s="1" t="s">
        <v>35</v>
      </c>
      <c r="AI19" t="s">
        <v>14</v>
      </c>
      <c r="AJ19">
        <v>1</v>
      </c>
      <c r="AK19">
        <f t="shared" si="0"/>
        <v>2.2222222222222223E-2</v>
      </c>
      <c r="AL19" s="3"/>
      <c r="AM19" s="13"/>
      <c r="AN19" s="11"/>
      <c r="AO19" s="22">
        <v>0</v>
      </c>
      <c r="AP19" s="26">
        <v>1</v>
      </c>
      <c r="AS19" s="1" t="s">
        <v>52</v>
      </c>
      <c r="AX19" t="s">
        <v>13</v>
      </c>
      <c r="AY19">
        <v>1</v>
      </c>
      <c r="AZ19">
        <f t="shared" si="4"/>
        <v>2.2222222222222223E-2</v>
      </c>
      <c r="BA19">
        <f t="shared" si="6"/>
        <v>1.1111111111111112E-2</v>
      </c>
    </row>
    <row r="20" spans="2:53" x14ac:dyDescent="0.3">
      <c r="B20" t="s">
        <v>58</v>
      </c>
      <c r="C20">
        <v>1</v>
      </c>
      <c r="D20" s="33">
        <f t="shared" si="1"/>
        <v>2.2222222222222223E-2</v>
      </c>
      <c r="R20" t="s">
        <v>16</v>
      </c>
      <c r="S20">
        <v>1</v>
      </c>
      <c r="Y20" t="s">
        <v>16</v>
      </c>
      <c r="Z20">
        <v>1</v>
      </c>
      <c r="AA20">
        <f t="shared" si="2"/>
        <v>2.2222222222222223E-2</v>
      </c>
      <c r="AB20">
        <f t="shared" si="5"/>
        <v>0.93333333333333324</v>
      </c>
      <c r="AC20">
        <f t="shared" si="3"/>
        <v>6</v>
      </c>
      <c r="AD20" s="1" t="s">
        <v>36</v>
      </c>
      <c r="AI20" t="s">
        <v>15</v>
      </c>
      <c r="AJ20">
        <v>1</v>
      </c>
      <c r="AK20">
        <f t="shared" si="0"/>
        <v>2.2222222222222223E-2</v>
      </c>
      <c r="AL20" s="3"/>
      <c r="AM20" s="13"/>
      <c r="AN20" s="11"/>
      <c r="AO20" s="23"/>
      <c r="AP20" s="28">
        <v>0</v>
      </c>
      <c r="AS20" s="1" t="s">
        <v>53</v>
      </c>
      <c r="AX20" t="s">
        <v>14</v>
      </c>
      <c r="AY20">
        <v>1</v>
      </c>
      <c r="AZ20">
        <f t="shared" si="4"/>
        <v>2.2222222222222223E-2</v>
      </c>
      <c r="BA20">
        <f t="shared" si="6"/>
        <v>1.1111111111111112E-2</v>
      </c>
    </row>
    <row r="21" spans="2:53" x14ac:dyDescent="0.3">
      <c r="B21" t="s">
        <v>14</v>
      </c>
      <c r="C21">
        <v>1</v>
      </c>
      <c r="D21" s="33">
        <f t="shared" si="1"/>
        <v>2.2222222222222223E-2</v>
      </c>
      <c r="R21" t="s">
        <v>17</v>
      </c>
      <c r="S21">
        <v>1</v>
      </c>
      <c r="Y21" t="s">
        <v>17</v>
      </c>
      <c r="Z21">
        <v>1</v>
      </c>
      <c r="AA21">
        <f t="shared" si="2"/>
        <v>2.2222222222222223E-2</v>
      </c>
      <c r="AB21">
        <f t="shared" si="5"/>
        <v>0.95555555555555549</v>
      </c>
      <c r="AC21">
        <f t="shared" si="3"/>
        <v>6</v>
      </c>
      <c r="AD21" s="1" t="s">
        <v>37</v>
      </c>
      <c r="AI21" t="s">
        <v>16</v>
      </c>
      <c r="AJ21">
        <v>1</v>
      </c>
      <c r="AK21">
        <f t="shared" si="0"/>
        <v>2.2222222222222223E-2</v>
      </c>
      <c r="AL21" s="3">
        <v>1</v>
      </c>
      <c r="AM21" s="13">
        <v>1</v>
      </c>
      <c r="AN21" s="11">
        <v>1</v>
      </c>
      <c r="AO21" s="23">
        <v>1</v>
      </c>
      <c r="AP21" s="29">
        <v>1</v>
      </c>
      <c r="AS21" s="1" t="s">
        <v>54</v>
      </c>
      <c r="AX21" t="s">
        <v>15</v>
      </c>
      <c r="AY21">
        <v>1</v>
      </c>
      <c r="AZ21">
        <f t="shared" si="4"/>
        <v>2.2222222222222223E-2</v>
      </c>
      <c r="BA21">
        <f t="shared" si="6"/>
        <v>1.1111111111111112E-2</v>
      </c>
    </row>
    <row r="22" spans="2:53" x14ac:dyDescent="0.3">
      <c r="B22" t="s">
        <v>13</v>
      </c>
      <c r="C22">
        <v>1</v>
      </c>
      <c r="D22" s="33">
        <f t="shared" si="1"/>
        <v>2.2222222222222223E-2</v>
      </c>
      <c r="R22" t="s">
        <v>18</v>
      </c>
      <c r="S22" t="s">
        <v>20</v>
      </c>
      <c r="Y22" t="s">
        <v>18</v>
      </c>
      <c r="Z22">
        <v>1</v>
      </c>
      <c r="AA22">
        <f t="shared" si="2"/>
        <v>2.2222222222222223E-2</v>
      </c>
      <c r="AB22">
        <f t="shared" si="5"/>
        <v>0.97777777777777775</v>
      </c>
      <c r="AC22">
        <f t="shared" si="3"/>
        <v>6</v>
      </c>
      <c r="AD22" s="1" t="s">
        <v>38</v>
      </c>
      <c r="AX22" t="s">
        <v>16</v>
      </c>
      <c r="AY22">
        <v>1</v>
      </c>
      <c r="AZ22">
        <f t="shared" si="4"/>
        <v>2.2222222222222223E-2</v>
      </c>
      <c r="BA22">
        <f t="shared" si="6"/>
        <v>1.1111111111111112E-2</v>
      </c>
    </row>
    <row r="23" spans="2:53" x14ac:dyDescent="0.3">
      <c r="B23" t="s">
        <v>15</v>
      </c>
      <c r="C23">
        <v>1</v>
      </c>
      <c r="D23" s="33">
        <f t="shared" si="1"/>
        <v>2.2222222222222223E-2</v>
      </c>
      <c r="Z23">
        <f>SUM(Z6:Z22)</f>
        <v>45</v>
      </c>
    </row>
    <row r="24" spans="2:53" x14ac:dyDescent="0.3">
      <c r="C24">
        <f>SUM(C7:C23)</f>
        <v>45</v>
      </c>
    </row>
    <row r="25" spans="2:53" x14ac:dyDescent="0.3">
      <c r="S25">
        <f>SUM(S6:S22)</f>
        <v>44</v>
      </c>
      <c r="AD25">
        <f>SUMPRODUCT(AA6:AA22,AC6:AC22)</f>
        <v>4.2666666666666675</v>
      </c>
      <c r="AE25" t="s">
        <v>39</v>
      </c>
    </row>
    <row r="26" spans="2:53" x14ac:dyDescent="0.3">
      <c r="AD26">
        <f>8/AD25</f>
        <v>1.8749999999999996</v>
      </c>
    </row>
    <row r="48" spans="2:3" x14ac:dyDescent="0.3">
      <c r="B48" t="s">
        <v>3</v>
      </c>
      <c r="C48">
        <v>6</v>
      </c>
    </row>
    <row r="49" spans="2:8" x14ac:dyDescent="0.3">
      <c r="B49" t="s">
        <v>4</v>
      </c>
      <c r="C49">
        <v>5</v>
      </c>
    </row>
    <row r="50" spans="2:8" x14ac:dyDescent="0.3">
      <c r="B50" t="s">
        <v>5</v>
      </c>
      <c r="C50">
        <v>5</v>
      </c>
    </row>
    <row r="51" spans="2:8" x14ac:dyDescent="0.3">
      <c r="B51" t="s">
        <v>6</v>
      </c>
      <c r="C51">
        <v>4</v>
      </c>
    </row>
    <row r="52" spans="2:8" x14ac:dyDescent="0.3">
      <c r="B52" t="s">
        <v>7</v>
      </c>
      <c r="C52">
        <v>4</v>
      </c>
      <c r="G52">
        <v>23</v>
      </c>
      <c r="H52">
        <v>22</v>
      </c>
    </row>
    <row r="53" spans="2:8" x14ac:dyDescent="0.3">
      <c r="B53" t="s">
        <v>8</v>
      </c>
      <c r="C53">
        <v>3</v>
      </c>
      <c r="G53" t="s">
        <v>0</v>
      </c>
      <c r="H53" t="s">
        <v>2</v>
      </c>
    </row>
    <row r="54" spans="2:8" x14ac:dyDescent="0.3">
      <c r="B54" t="s">
        <v>9</v>
      </c>
      <c r="C54">
        <v>3</v>
      </c>
      <c r="G54" t="s">
        <v>1</v>
      </c>
    </row>
    <row r="55" spans="2:8" x14ac:dyDescent="0.3">
      <c r="B55" t="s">
        <v>10</v>
      </c>
      <c r="C55">
        <v>3</v>
      </c>
    </row>
    <row r="56" spans="2:8" x14ac:dyDescent="0.3">
      <c r="B56" t="s">
        <v>11</v>
      </c>
      <c r="C56">
        <v>2</v>
      </c>
    </row>
    <row r="57" spans="2:8" x14ac:dyDescent="0.3">
      <c r="B57" t="s">
        <v>40</v>
      </c>
      <c r="C57">
        <v>2</v>
      </c>
    </row>
    <row r="58" spans="2:8" x14ac:dyDescent="0.3">
      <c r="B58" t="s">
        <v>12</v>
      </c>
      <c r="C58">
        <v>2</v>
      </c>
    </row>
    <row r="59" spans="2:8" x14ac:dyDescent="0.3">
      <c r="B59" t="s">
        <v>13</v>
      </c>
      <c r="C59">
        <v>1</v>
      </c>
    </row>
    <row r="60" spans="2:8" x14ac:dyDescent="0.3">
      <c r="B60" t="s">
        <v>14</v>
      </c>
      <c r="C60">
        <v>1</v>
      </c>
    </row>
    <row r="61" spans="2:8" x14ac:dyDescent="0.3">
      <c r="B61" t="s">
        <v>15</v>
      </c>
      <c r="C61">
        <v>1</v>
      </c>
    </row>
    <row r="62" spans="2:8" x14ac:dyDescent="0.3">
      <c r="B62" t="s">
        <v>16</v>
      </c>
      <c r="C62">
        <v>1</v>
      </c>
    </row>
    <row r="63" spans="2:8" x14ac:dyDescent="0.3">
      <c r="B63" t="s">
        <v>17</v>
      </c>
      <c r="C63">
        <v>1</v>
      </c>
    </row>
    <row r="64" spans="2:8" x14ac:dyDescent="0.3">
      <c r="B64" t="s">
        <v>18</v>
      </c>
      <c r="C64">
        <v>1</v>
      </c>
    </row>
    <row r="65" spans="3:3" x14ac:dyDescent="0.3">
      <c r="C65">
        <f>SUM(C48:C64)</f>
        <v>45</v>
      </c>
    </row>
  </sheetData>
  <sortState xmlns:xlrd2="http://schemas.microsoft.com/office/spreadsheetml/2017/richdata2" ref="B6:B22">
    <sortCondition ref="B6:B22"/>
  </sortState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Shannon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RANFERY JOSUA PEREGRINA MORALES</dc:creator>
  <cp:lastModifiedBy>Ranfery Morales</cp:lastModifiedBy>
  <dcterms:created xsi:type="dcterms:W3CDTF">2026-03-05T23:09:38Z</dcterms:created>
  <dcterms:modified xsi:type="dcterms:W3CDTF">2026-03-10T08:25:20Z</dcterms:modified>
</cp:coreProperties>
</file>
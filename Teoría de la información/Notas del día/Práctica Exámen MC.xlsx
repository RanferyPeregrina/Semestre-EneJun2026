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"/>
    </mc:Choice>
  </mc:AlternateContent>
  <xr:revisionPtr revIDLastSave="0" documentId="13_ncr:1_{C3D0E518-89A6-46E1-816E-84A888B9C9D6}" xr6:coauthVersionLast="47" xr6:coauthVersionMax="47" xr10:uidLastSave="{00000000-0000-0000-0000-000000000000}"/>
  <bookViews>
    <workbookView xWindow="-108" yWindow="-108" windowWidth="20376" windowHeight="12216" activeTab="1" xr2:uid="{00000000-000D-0000-FFFF-FFFF00000000}"/>
  </bookViews>
  <sheets>
    <sheet name="Canales" sheetId="1" r:id="rId1"/>
    <sheet name="Árbol jerarquic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  <c r="F20" i="1"/>
  <c r="F17" i="1"/>
  <c r="F18" i="1"/>
  <c r="F19" i="1"/>
  <c r="E19" i="1"/>
  <c r="D19" i="1"/>
  <c r="C19" i="1"/>
  <c r="C12" i="1"/>
  <c r="H12" i="1" s="1"/>
  <c r="I12" i="1" s="1"/>
  <c r="D12" i="1"/>
  <c r="E12" i="1"/>
  <c r="D11" i="1"/>
  <c r="C11" i="1"/>
  <c r="C10" i="1"/>
  <c r="E10" i="1"/>
  <c r="F11" i="1"/>
  <c r="F10" i="1"/>
  <c r="F9" i="1"/>
  <c r="E9" i="1"/>
  <c r="D9" i="1"/>
  <c r="A12" i="1"/>
  <c r="F4" i="1" s="1"/>
  <c r="E27" i="2"/>
  <c r="E24" i="2"/>
  <c r="E25" i="2"/>
  <c r="E2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6" i="2"/>
  <c r="C27" i="2"/>
  <c r="D26" i="2" s="1"/>
  <c r="D13" i="2" l="1"/>
  <c r="D17" i="2"/>
  <c r="D24" i="2"/>
  <c r="D12" i="2"/>
  <c r="D15" i="2"/>
  <c r="D11" i="2"/>
  <c r="D16" i="2"/>
  <c r="D10" i="2"/>
  <c r="D25" i="2"/>
  <c r="D23" i="2"/>
  <c r="D9" i="2"/>
  <c r="D6" i="2"/>
  <c r="D20" i="2"/>
  <c r="D8" i="2"/>
  <c r="D14" i="2"/>
  <c r="D22" i="2"/>
  <c r="D21" i="2"/>
  <c r="D19" i="2"/>
  <c r="D7" i="2"/>
  <c r="D18" i="2"/>
  <c r="G4" i="1" l="1"/>
  <c r="C16" i="1" l="1"/>
  <c r="H9" i="1"/>
  <c r="I9" i="1" s="1"/>
  <c r="H10" i="1" l="1"/>
  <c r="I10" i="1" s="1"/>
  <c r="H11" i="1"/>
  <c r="H13" i="1" l="1"/>
  <c r="I11" i="1"/>
  <c r="D17" i="1"/>
  <c r="E18" i="1"/>
  <c r="C17" i="1"/>
  <c r="C18" i="1"/>
  <c r="D18" i="1"/>
  <c r="E17" i="1"/>
  <c r="E16" i="1"/>
  <c r="D16" i="1"/>
  <c r="E20" i="1" l="1"/>
  <c r="C20" i="1"/>
  <c r="D20" i="1"/>
</calcChain>
</file>

<file path=xl/sharedStrings.xml><?xml version="1.0" encoding="utf-8"?>
<sst xmlns="http://schemas.openxmlformats.org/spreadsheetml/2006/main" count="57" uniqueCount="39">
  <si>
    <t>a</t>
  </si>
  <si>
    <t>b</t>
  </si>
  <si>
    <t>c</t>
  </si>
  <si>
    <t>d</t>
  </si>
  <si>
    <t>Probabilidad de aparición</t>
  </si>
  <si>
    <t>Columna1</t>
  </si>
  <si>
    <t>Probabilidad de fallo</t>
  </si>
  <si>
    <t>Matríz de Trancisción</t>
  </si>
  <si>
    <t>Matríz de Transmisión</t>
  </si>
  <si>
    <t>Frecuencia de salida</t>
  </si>
  <si>
    <t>Entropía</t>
  </si>
  <si>
    <t>Información mutua</t>
  </si>
  <si>
    <t>Contamos cada letra</t>
  </si>
  <si>
    <t>Letra</t>
  </si>
  <si>
    <t>Matrícula:</t>
  </si>
  <si>
    <t xml:space="preserve">?             </t>
  </si>
  <si>
    <t xml:space="preserve">b             </t>
  </si>
  <si>
    <t xml:space="preserve">d             </t>
  </si>
  <si>
    <t xml:space="preserve">e            </t>
  </si>
  <si>
    <t xml:space="preserve">h             </t>
  </si>
  <si>
    <t xml:space="preserve">i             </t>
  </si>
  <si>
    <t xml:space="preserve">j            </t>
  </si>
  <si>
    <t xml:space="preserve">k             </t>
  </si>
  <si>
    <t xml:space="preserve">l            </t>
  </si>
  <si>
    <t xml:space="preserve">m            </t>
  </si>
  <si>
    <t xml:space="preserve">n            </t>
  </si>
  <si>
    <t xml:space="preserve">o            </t>
  </si>
  <si>
    <t xml:space="preserve">p            </t>
  </si>
  <si>
    <t xml:space="preserve">r             </t>
  </si>
  <si>
    <t xml:space="preserve">s            </t>
  </si>
  <si>
    <t xml:space="preserve">t             </t>
  </si>
  <si>
    <t xml:space="preserve">u             </t>
  </si>
  <si>
    <t xml:space="preserve">v            </t>
  </si>
  <si>
    <t xml:space="preserve">y             </t>
  </si>
  <si>
    <t xml:space="preserve">ä            </t>
  </si>
  <si>
    <t xml:space="preserve">ö             </t>
  </si>
  <si>
    <t>Frec Abs</t>
  </si>
  <si>
    <t>Frec Rel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</si>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</sst>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0" fontId="0" fillId="4" borderId="0" xfId="0" applyFill="1"/>
    <xf numFmtId="164" fontId="0" fillId="0" borderId="0" xfId="0" applyNumberFormat="1"/>
    <xf numFmtId="0" fontId="0" fillId="2" borderId="0" xfId="0" applyFill="1" applyAlignment="1">
      <alignment wrapText="1"/>
    </xf>
    <xf numFmtId="0" fontId="0" fillId="4" borderId="0" xfId="0" applyFill="1" applyAlignment="1">
      <alignment horizontal="center" wrapText="1"/>
    </xf>
    <xf numFmtId="164" fontId="0" fillId="4" borderId="0" xfId="0" applyNumberFormat="1" applyFill="1"/>
    <xf numFmtId="164" fontId="2" fillId="4" borderId="0" xfId="0" applyNumberFormat="1" applyFont="1" applyFill="1"/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quotePrefix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B3:G4" totalsRowShown="0">
  <autoFilter ref="B3:G4" xr:uid="{00000000-0009-0000-0100-000002000000}"/>
  <tableColumns count="6">
    <tableColumn id="1" xr3:uid="{00000000-0010-0000-0000-000001000000}" name="Columna1" dataDxfId="2"/>
    <tableColumn id="2" xr3:uid="{00000000-0010-0000-0000-000002000000}" name="a"/>
    <tableColumn id="3" xr3:uid="{00000000-0010-0000-0000-000003000000}" name="b"/>
    <tableColumn id="4" xr3:uid="{00000000-0010-0000-0000-000004000000}" name="c"/>
    <tableColumn id="10" xr3:uid="{C15278ED-9D04-463F-9ADF-389D6195D55A}" name="d" dataDxfId="0">
      <calculatedColumnFormula>A12</calculatedColumnFormula>
    </tableColumn>
    <tableColumn id="7" xr3:uid="{00000000-0010-0000-0000-000007000000}" name="Probabilidad de fallo" dataDxfId="1">
      <calculatedColumnFormula xml:space="preserve"> 1 - 0.98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opLeftCell="A4" zoomScale="85" zoomScaleNormal="85" workbookViewId="0">
      <selection sqref="A1:I20"/>
    </sheetView>
  </sheetViews>
  <sheetFormatPr baseColWidth="10" defaultRowHeight="14.4" x14ac:dyDescent="0.3"/>
  <cols>
    <col min="2" max="2" width="13.6640625" customWidth="1"/>
    <col min="7" max="7" width="13.88671875" bestFit="1" customWidth="1"/>
    <col min="8" max="8" width="13.6640625" customWidth="1"/>
    <col min="9" max="9" width="12" bestFit="1" customWidth="1"/>
  </cols>
  <sheetData>
    <row r="1" spans="1:9" ht="66.599999999999994" customHeight="1" thickBot="1" x14ac:dyDescent="0.35">
      <c r="B1" s="17" t="s">
        <v>14</v>
      </c>
      <c r="C1" s="18">
        <v>1</v>
      </c>
      <c r="D1" s="18">
        <v>9</v>
      </c>
      <c r="E1" s="18">
        <v>2</v>
      </c>
      <c r="F1" s="18">
        <v>4</v>
      </c>
      <c r="G1" s="19">
        <v>9</v>
      </c>
      <c r="H1" s="19">
        <v>1</v>
      </c>
      <c r="I1" s="20">
        <v>0</v>
      </c>
    </row>
    <row r="3" spans="1:9" ht="28.8" x14ac:dyDescent="0.3">
      <c r="B3" t="s">
        <v>5</v>
      </c>
      <c r="C3" t="s">
        <v>0</v>
      </c>
      <c r="D3" t="s">
        <v>1</v>
      </c>
      <c r="E3" t="s">
        <v>2</v>
      </c>
      <c r="F3" t="s">
        <v>3</v>
      </c>
      <c r="G3" s="12" t="s">
        <v>6</v>
      </c>
    </row>
    <row r="4" spans="1:9" ht="28.8" x14ac:dyDescent="0.3">
      <c r="B4" s="1" t="s">
        <v>4</v>
      </c>
      <c r="C4">
        <v>0.17</v>
      </c>
      <c r="D4">
        <v>0.38</v>
      </c>
      <c r="E4">
        <v>0.2</v>
      </c>
      <c r="F4">
        <f>A12</f>
        <v>0.25</v>
      </c>
      <c r="G4" s="11">
        <f t="shared" ref="G4" si="0" xml:space="preserve"> 1 - 0.98</f>
        <v>2.0000000000000018E-2</v>
      </c>
    </row>
    <row r="5" spans="1:9" x14ac:dyDescent="0.3">
      <c r="B5" s="1"/>
      <c r="G5" s="21"/>
    </row>
    <row r="6" spans="1:9" x14ac:dyDescent="0.3">
      <c r="B6" s="1"/>
      <c r="G6" s="21"/>
    </row>
    <row r="7" spans="1:9" x14ac:dyDescent="0.3">
      <c r="A7" s="14" t="s">
        <v>7</v>
      </c>
      <c r="B7" s="14"/>
      <c r="C7" s="14"/>
      <c r="D7" s="14"/>
      <c r="E7" s="14"/>
      <c r="F7" s="13"/>
      <c r="H7" s="15" t="s">
        <v>11</v>
      </c>
      <c r="I7" s="16" t="s">
        <v>10</v>
      </c>
    </row>
    <row r="8" spans="1:9" ht="28.8" x14ac:dyDescent="0.3">
      <c r="A8" s="7" t="s">
        <v>4</v>
      </c>
      <c r="B8" s="2"/>
      <c r="C8" s="2" t="s">
        <v>0</v>
      </c>
      <c r="D8" s="2" t="s">
        <v>1</v>
      </c>
      <c r="E8" s="2" t="s">
        <v>2</v>
      </c>
      <c r="F8" s="2"/>
      <c r="H8" s="15"/>
      <c r="I8" s="16"/>
    </row>
    <row r="9" spans="1:9" x14ac:dyDescent="0.3">
      <c r="A9" s="3">
        <v>0.17</v>
      </c>
      <c r="B9" s="2" t="s">
        <v>0</v>
      </c>
      <c r="C9" s="4">
        <v>0.98</v>
      </c>
      <c r="D9" s="4">
        <f>(1 - $C$9) / 3</f>
        <v>6.6666666666666723E-3</v>
      </c>
      <c r="E9" s="4">
        <f>(1 - $C$9) / 3</f>
        <v>6.6666666666666723E-3</v>
      </c>
      <c r="F9" s="4">
        <f>(1 - $C$9) / 3</f>
        <v>6.6666666666666723E-3</v>
      </c>
      <c r="G9" s="6"/>
      <c r="H9" s="4">
        <f>-LOG(C9, 2)</f>
        <v>2.9146345659516508E-2</v>
      </c>
      <c r="I9" s="3">
        <f>H9 * C9</f>
        <v>2.8563418746326178E-2</v>
      </c>
    </row>
    <row r="10" spans="1:9" x14ac:dyDescent="0.3">
      <c r="A10" s="3">
        <v>0.38</v>
      </c>
      <c r="B10" s="2" t="s">
        <v>1</v>
      </c>
      <c r="C10" s="4">
        <f>(1 - $C$9) / 3</f>
        <v>6.6666666666666723E-3</v>
      </c>
      <c r="D10" s="4">
        <v>0.98</v>
      </c>
      <c r="E10" s="4">
        <f>(1 - $C$9) / 3</f>
        <v>6.6666666666666723E-3</v>
      </c>
      <c r="F10" s="4">
        <f>(1 - $C$9) / 3</f>
        <v>6.6666666666666723E-3</v>
      </c>
      <c r="H10" s="4">
        <f>-LOG(C10, 2)</f>
        <v>7.2288186904958796</v>
      </c>
      <c r="I10" s="3">
        <f>H10 * C10</f>
        <v>4.8192124603305901E-2</v>
      </c>
    </row>
    <row r="11" spans="1:9" x14ac:dyDescent="0.3">
      <c r="A11" s="3">
        <v>0.2</v>
      </c>
      <c r="B11" s="2" t="s">
        <v>2</v>
      </c>
      <c r="C11" s="4">
        <f>(1 - $C$9) / 3</f>
        <v>6.6666666666666723E-3</v>
      </c>
      <c r="D11" s="4">
        <f>(1 - $C$9) / 3</f>
        <v>6.6666666666666723E-3</v>
      </c>
      <c r="E11" s="4">
        <v>0.98</v>
      </c>
      <c r="F11" s="4">
        <f>(1 - $C$9) / 3</f>
        <v>6.6666666666666723E-3</v>
      </c>
      <c r="H11" s="4">
        <f>-LOG(C11, 2)</f>
        <v>7.2288186904958796</v>
      </c>
      <c r="I11" s="3">
        <f>H11 * C11</f>
        <v>4.8192124603305901E-2</v>
      </c>
    </row>
    <row r="12" spans="1:9" x14ac:dyDescent="0.3">
      <c r="A12" s="3">
        <f>1 - (SUM(A9:A11))</f>
        <v>0.25</v>
      </c>
      <c r="B12" s="2" t="s">
        <v>3</v>
      </c>
      <c r="C12" s="4">
        <f>(1 - $C$9) / 3</f>
        <v>6.6666666666666723E-3</v>
      </c>
      <c r="D12" s="4">
        <f>(1 - $C$9) / 3</f>
        <v>6.6666666666666723E-3</v>
      </c>
      <c r="E12" s="4">
        <f>(1 - $C$9) / 3</f>
        <v>6.6666666666666723E-3</v>
      </c>
      <c r="F12" s="4">
        <v>0.98</v>
      </c>
      <c r="H12" s="4">
        <f>-LOG(C12, 2)</f>
        <v>7.2288186904958796</v>
      </c>
      <c r="I12" s="3">
        <f>H12 * C12</f>
        <v>4.8192124603305901E-2</v>
      </c>
    </row>
    <row r="13" spans="1:9" ht="32.4" customHeight="1" x14ac:dyDescent="0.3">
      <c r="H13" s="9">
        <f>SUM(H9:H11)</f>
        <v>14.486783726651275</v>
      </c>
      <c r="I13" s="5">
        <f>SUM(I9:I12)</f>
        <v>0.1731397925562439</v>
      </c>
    </row>
    <row r="14" spans="1:9" ht="27.6" customHeight="1" x14ac:dyDescent="0.3">
      <c r="B14" s="14" t="s">
        <v>8</v>
      </c>
      <c r="C14" s="14"/>
      <c r="D14" s="14"/>
      <c r="E14" s="14"/>
      <c r="F14" s="13"/>
    </row>
    <row r="15" spans="1:9" x14ac:dyDescent="0.3">
      <c r="B15" s="2"/>
      <c r="C15" s="2" t="s">
        <v>0</v>
      </c>
      <c r="D15" s="2" t="s">
        <v>1</v>
      </c>
      <c r="E15" s="2" t="s">
        <v>2</v>
      </c>
      <c r="F15" s="2" t="s">
        <v>3</v>
      </c>
    </row>
    <row r="16" spans="1:9" x14ac:dyDescent="0.3">
      <c r="B16" s="2" t="s">
        <v>0</v>
      </c>
      <c r="C16" s="4">
        <f>C9 * $A9</f>
        <v>0.1666</v>
      </c>
      <c r="D16" s="4">
        <f>D9 * $A9</f>
        <v>1.1333333333333343E-3</v>
      </c>
      <c r="E16" s="4">
        <f>E9 * $A9</f>
        <v>1.1333333333333343E-3</v>
      </c>
      <c r="F16" s="4" t="s">
        <v>38</v>
      </c>
      <c r="G16" s="6"/>
    </row>
    <row r="17" spans="2:6" x14ac:dyDescent="0.3">
      <c r="B17" s="2" t="s">
        <v>1</v>
      </c>
      <c r="C17" s="4">
        <f>C10 * $A10</f>
        <v>2.5333333333333354E-3</v>
      </c>
      <c r="D17" s="4">
        <f>D10 * $A10</f>
        <v>0.37240000000000001</v>
      </c>
      <c r="E17" s="4">
        <f>E10 * $A10</f>
        <v>2.5333333333333354E-3</v>
      </c>
      <c r="F17" s="4">
        <f>F10 * $A10</f>
        <v>2.5333333333333354E-3</v>
      </c>
    </row>
    <row r="18" spans="2:6" x14ac:dyDescent="0.3">
      <c r="B18" s="2" t="s">
        <v>2</v>
      </c>
      <c r="C18" s="4">
        <f>C11 * $A11</f>
        <v>1.3333333333333346E-3</v>
      </c>
      <c r="D18" s="4">
        <f>D11 * $A11</f>
        <v>1.3333333333333346E-3</v>
      </c>
      <c r="E18" s="4">
        <f>E11 * $A11</f>
        <v>0.19600000000000001</v>
      </c>
      <c r="F18" s="4">
        <f>F11 * $A11</f>
        <v>1.3333333333333346E-3</v>
      </c>
    </row>
    <row r="19" spans="2:6" x14ac:dyDescent="0.3">
      <c r="B19" s="2" t="s">
        <v>3</v>
      </c>
      <c r="C19" s="4">
        <f>C12 * $A12</f>
        <v>1.6666666666666681E-3</v>
      </c>
      <c r="D19" s="4">
        <f>D12 * $A12</f>
        <v>1.6666666666666681E-3</v>
      </c>
      <c r="E19" s="4">
        <f>E12 * $A12</f>
        <v>1.6666666666666681E-3</v>
      </c>
      <c r="F19" s="4">
        <f>F12 * $A12</f>
        <v>0.245</v>
      </c>
    </row>
    <row r="20" spans="2:6" ht="28.8" x14ac:dyDescent="0.3">
      <c r="B20" s="8" t="s">
        <v>9</v>
      </c>
      <c r="C20" s="10">
        <f>SUM(C16:C18)</f>
        <v>0.17046666666666666</v>
      </c>
      <c r="D20" s="10">
        <f>SUM(D16:D18)</f>
        <v>0.37486666666666668</v>
      </c>
      <c r="E20" s="10">
        <f>SUM(E16:E18)</f>
        <v>0.19966666666666669</v>
      </c>
      <c r="F20" s="10">
        <f>SUM(F16:F18)</f>
        <v>3.8666666666666702E-3</v>
      </c>
    </row>
  </sheetData>
  <mergeCells count="4">
    <mergeCell ref="A7:E7"/>
    <mergeCell ref="B14:E14"/>
    <mergeCell ref="H7:H8"/>
    <mergeCell ref="I7:I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28"/>
  <sheetViews>
    <sheetView tabSelected="1" workbookViewId="0">
      <selection activeCell="A3" sqref="A3:F29"/>
    </sheetView>
  </sheetViews>
  <sheetFormatPr baseColWidth="10" defaultRowHeight="14.4" x14ac:dyDescent="0.3"/>
  <cols>
    <col min="2" max="2" width="4.33203125" customWidth="1"/>
    <col min="3" max="4" width="14" bestFit="1" customWidth="1"/>
  </cols>
  <sheetData>
    <row r="4" spans="2:5" x14ac:dyDescent="0.3">
      <c r="B4" t="s">
        <v>12</v>
      </c>
    </row>
    <row r="5" spans="2:5" x14ac:dyDescent="0.3">
      <c r="B5" t="s">
        <v>13</v>
      </c>
      <c r="C5" t="s">
        <v>36</v>
      </c>
      <c r="D5" t="s">
        <v>37</v>
      </c>
      <c r="E5" t="s">
        <v>10</v>
      </c>
    </row>
    <row r="6" spans="2:5" x14ac:dyDescent="0.3">
      <c r="B6" t="s">
        <v>15</v>
      </c>
      <c r="C6">
        <v>59928</v>
      </c>
      <c r="D6">
        <f>C6 / $C$27</f>
        <v>3.2144730673629711E-2</v>
      </c>
      <c r="E6">
        <f>-LOG(D6, 2) * D6</f>
        <v>0.15941452471011275</v>
      </c>
    </row>
    <row r="7" spans="2:5" x14ac:dyDescent="0.3">
      <c r="B7" t="s">
        <v>16</v>
      </c>
      <c r="C7">
        <v>59929</v>
      </c>
      <c r="D7">
        <f>C7 / $C$27</f>
        <v>3.2145267062807951E-2</v>
      </c>
      <c r="E7">
        <f t="shared" ref="E7:E28" si="0">-LOG(D7, 2) * D7</f>
        <v>0.15941641095851508</v>
      </c>
    </row>
    <row r="8" spans="2:5" x14ac:dyDescent="0.3">
      <c r="B8" t="s">
        <v>17</v>
      </c>
      <c r="C8">
        <v>60316</v>
      </c>
      <c r="D8">
        <f>C8 / $C$27</f>
        <v>3.2352849674787243E-2</v>
      </c>
      <c r="E8">
        <f t="shared" si="0"/>
        <v>0.16014542170424115</v>
      </c>
    </row>
    <row r="9" spans="2:5" x14ac:dyDescent="0.3">
      <c r="B9" t="s">
        <v>18</v>
      </c>
      <c r="C9">
        <v>120814</v>
      </c>
      <c r="D9">
        <f>C9 / $C$27</f>
        <v>6.4803322180014347E-2</v>
      </c>
      <c r="E9">
        <f t="shared" si="0"/>
        <v>0.25582980450187676</v>
      </c>
    </row>
    <row r="10" spans="2:5" x14ac:dyDescent="0.3">
      <c r="B10" t="s">
        <v>19</v>
      </c>
      <c r="C10">
        <v>60025</v>
      </c>
      <c r="D10">
        <f>C10 / $C$27</f>
        <v>3.2196760423919092E-2</v>
      </c>
      <c r="E10">
        <f t="shared" si="0"/>
        <v>0.15959743071528915</v>
      </c>
    </row>
    <row r="11" spans="2:5" x14ac:dyDescent="0.3">
      <c r="B11" t="s">
        <v>20</v>
      </c>
      <c r="C11">
        <v>60033</v>
      </c>
      <c r="D11">
        <f>C11 / $C$27</f>
        <v>3.2201051537345024E-2</v>
      </c>
      <c r="E11">
        <f t="shared" si="0"/>
        <v>0.15961251032929963</v>
      </c>
    </row>
    <row r="12" spans="2:5" x14ac:dyDescent="0.3">
      <c r="B12" t="s">
        <v>21</v>
      </c>
      <c r="C12">
        <v>120317</v>
      </c>
      <c r="D12">
        <f>C12 / $C$27</f>
        <v>6.4536736758428553E-2</v>
      </c>
      <c r="E12">
        <f t="shared" si="0"/>
        <v>0.25516119096246176</v>
      </c>
    </row>
    <row r="13" spans="2:5" x14ac:dyDescent="0.3">
      <c r="B13" t="s">
        <v>22</v>
      </c>
      <c r="C13">
        <v>60137</v>
      </c>
      <c r="D13">
        <f>C13 / $C$27</f>
        <v>3.2256836011882097E-2</v>
      </c>
      <c r="E13">
        <f t="shared" si="0"/>
        <v>0.15980847027805622</v>
      </c>
    </row>
    <row r="14" spans="2:5" x14ac:dyDescent="0.3">
      <c r="B14" t="s">
        <v>23</v>
      </c>
      <c r="C14">
        <v>120309</v>
      </c>
      <c r="D14">
        <f>C14 / $C$27</f>
        <v>6.4532445645002628E-2</v>
      </c>
      <c r="E14">
        <f t="shared" si="0"/>
        <v>0.25515041559696305</v>
      </c>
    </row>
    <row r="15" spans="2:5" x14ac:dyDescent="0.3">
      <c r="B15" t="s">
        <v>24</v>
      </c>
      <c r="C15">
        <v>119627</v>
      </c>
      <c r="D15">
        <f>C15 / $C$27</f>
        <v>6.4166628225442224E-2</v>
      </c>
      <c r="E15">
        <f t="shared" si="0"/>
        <v>0.25423029943247633</v>
      </c>
    </row>
    <row r="16" spans="2:5" x14ac:dyDescent="0.3">
      <c r="B16" t="s">
        <v>25</v>
      </c>
      <c r="C16">
        <v>120048</v>
      </c>
      <c r="D16">
        <f>C16 / $C$27</f>
        <v>6.4392448069481703E-2</v>
      </c>
      <c r="E16">
        <f t="shared" si="0"/>
        <v>0.25479864334156987</v>
      </c>
    </row>
    <row r="17" spans="2:5" x14ac:dyDescent="0.3">
      <c r="B17" t="s">
        <v>26</v>
      </c>
      <c r="C17">
        <v>120748</v>
      </c>
      <c r="D17">
        <f>C17 / $C$27</f>
        <v>6.4767920494250439E-2</v>
      </c>
      <c r="E17">
        <f t="shared" si="0"/>
        <v>0.25574110602025257</v>
      </c>
    </row>
    <row r="18" spans="2:5" x14ac:dyDescent="0.3">
      <c r="B18" t="s">
        <v>27</v>
      </c>
      <c r="C18">
        <v>120423</v>
      </c>
      <c r="D18">
        <f>C18 / $C$27</f>
        <v>6.45935940113221E-2</v>
      </c>
      <c r="E18">
        <f t="shared" si="0"/>
        <v>0.2553039257053758</v>
      </c>
    </row>
    <row r="19" spans="2:5" x14ac:dyDescent="0.3">
      <c r="B19" t="s">
        <v>28</v>
      </c>
      <c r="C19">
        <v>59921</v>
      </c>
      <c r="D19">
        <f>C19 / $C$27</f>
        <v>3.2140975949382027E-2</v>
      </c>
      <c r="E19">
        <f t="shared" si="0"/>
        <v>0.15940132060972226</v>
      </c>
    </row>
    <row r="20" spans="2:5" x14ac:dyDescent="0.3">
      <c r="B20" t="s">
        <v>29</v>
      </c>
      <c r="C20">
        <v>120108</v>
      </c>
      <c r="D20">
        <f>C20 / $C$27</f>
        <v>6.4424631420176168E-2</v>
      </c>
      <c r="E20">
        <f t="shared" si="0"/>
        <v>0.25487954936232532</v>
      </c>
    </row>
    <row r="21" spans="2:5" x14ac:dyDescent="0.3">
      <c r="B21" t="s">
        <v>30</v>
      </c>
      <c r="C21">
        <v>60041</v>
      </c>
      <c r="D21">
        <f>C21 / $C$27</f>
        <v>3.2205342650770949E-2</v>
      </c>
      <c r="E21">
        <f t="shared" si="0"/>
        <v>0.15962758911832811</v>
      </c>
    </row>
    <row r="22" spans="2:5" x14ac:dyDescent="0.3">
      <c r="B22" t="s">
        <v>31</v>
      </c>
      <c r="C22">
        <v>60115</v>
      </c>
      <c r="D22">
        <f>C22 / $C$27</f>
        <v>3.2245035449960789E-2</v>
      </c>
      <c r="E22">
        <f t="shared" si="0"/>
        <v>0.15976702882706911</v>
      </c>
    </row>
    <row r="23" spans="2:5" x14ac:dyDescent="0.3">
      <c r="B23" t="s">
        <v>32</v>
      </c>
      <c r="C23">
        <v>120168</v>
      </c>
      <c r="D23">
        <f>C23 / $C$27</f>
        <v>6.4456814770870632E-2</v>
      </c>
      <c r="E23">
        <f t="shared" si="0"/>
        <v>0.25496043218857467</v>
      </c>
    </row>
    <row r="24" spans="2:5" x14ac:dyDescent="0.3">
      <c r="B24" t="s">
        <v>33</v>
      </c>
      <c r="C24">
        <v>59955</v>
      </c>
      <c r="D24">
        <f>C24 / $C$27</f>
        <v>3.2159213181442221E-2</v>
      </c>
      <c r="E24">
        <f>-LOG(D24, 2) * D24</f>
        <v>0.15946544888524372</v>
      </c>
    </row>
    <row r="25" spans="2:5" x14ac:dyDescent="0.3">
      <c r="B25" t="s">
        <v>34</v>
      </c>
      <c r="C25">
        <v>121127</v>
      </c>
      <c r="D25">
        <f>C25 / $C$27</f>
        <v>6.4971211992803798E-2</v>
      </c>
      <c r="E25">
        <f t="shared" si="0"/>
        <v>0.25625007067111033</v>
      </c>
    </row>
    <row r="26" spans="2:5" x14ac:dyDescent="0.3">
      <c r="B26" t="s">
        <v>35</v>
      </c>
      <c r="C26">
        <v>60229</v>
      </c>
      <c r="D26">
        <f>C26 / $C$27</f>
        <v>3.2306183816280268E-2</v>
      </c>
      <c r="E26">
        <f t="shared" si="0"/>
        <v>0.15998170343737436</v>
      </c>
    </row>
    <row r="27" spans="2:5" x14ac:dyDescent="0.3">
      <c r="C27">
        <f>SUM(C6:C26)</f>
        <v>1864318</v>
      </c>
      <c r="E27">
        <f>SUM(E6:E26)</f>
        <v>4.3085432973562376</v>
      </c>
    </row>
    <row r="28" spans="2:5" x14ac:dyDescent="0.3">
      <c r="E28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Canales</vt:lpstr>
      <vt:lpstr>Árbol jerarquico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2026-03-09T06:19:16Z</dcterms:created>
  <dcterms:modified xsi:type="dcterms:W3CDTF">2026-03-11T01:20:27Z</dcterms:modified>
</cp:coreProperties>
</file>
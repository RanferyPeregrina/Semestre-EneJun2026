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ersonal del laboratorio\1924910\Tareas\Teoría de la información\"/>
    </mc:Choice>
  </mc:AlternateContent>
  <bookViews>
    <workbookView xWindow="-105" yWindow="-105" windowWidth="20370" windowHeight="12210" activeTab="1"/>
  </bookViews>
  <sheets>
    <sheet name="Canales" sheetId="1" r:id="rId1"/>
    <sheet name="Árbol jerarquico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3" i="2" l="1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6" i="2"/>
  <c r="C23" i="2"/>
  <c r="C16" i="1" l="1"/>
  <c r="H4" i="1"/>
  <c r="H5" i="1"/>
  <c r="I9" i="1"/>
  <c r="I10" i="1"/>
  <c r="I13" i="1" s="1"/>
  <c r="I11" i="1"/>
  <c r="J11" i="1" s="1"/>
  <c r="I12" i="1"/>
  <c r="J12" i="1" s="1"/>
  <c r="I8" i="1"/>
  <c r="J8" i="1" s="1"/>
  <c r="J9" i="1"/>
  <c r="J10" i="1" l="1"/>
  <c r="J13" i="1"/>
  <c r="C21" i="1" l="1"/>
  <c r="D21" i="1"/>
  <c r="E21" i="1"/>
  <c r="F21" i="1"/>
  <c r="G21" i="1"/>
  <c r="G4" i="1"/>
  <c r="C9" i="1"/>
  <c r="C10" i="1"/>
  <c r="C11" i="1"/>
  <c r="C12" i="1"/>
  <c r="D12" i="1"/>
  <c r="D11" i="1"/>
  <c r="D10" i="1"/>
  <c r="E9" i="1"/>
  <c r="E11" i="1"/>
  <c r="E12" i="1"/>
  <c r="F10" i="1"/>
  <c r="F12" i="1"/>
  <c r="G11" i="1"/>
  <c r="G10" i="1"/>
  <c r="G9" i="1"/>
  <c r="F9" i="1"/>
  <c r="E8" i="1"/>
  <c r="F8" i="1"/>
  <c r="G8" i="1"/>
  <c r="D8" i="1"/>
  <c r="G20" i="1"/>
  <c r="D17" i="1" l="1"/>
  <c r="E18" i="1"/>
  <c r="G18" i="1"/>
  <c r="E19" i="1"/>
  <c r="F19" i="1"/>
  <c r="C19" i="1"/>
  <c r="F20" i="1"/>
  <c r="G19" i="1"/>
  <c r="G17" i="1"/>
  <c r="G16" i="1"/>
  <c r="E20" i="1"/>
  <c r="D20" i="1"/>
  <c r="C20" i="1"/>
  <c r="F18" i="1"/>
  <c r="C17" i="1"/>
  <c r="C18" i="1"/>
  <c r="D18" i="1"/>
  <c r="D19" i="1"/>
  <c r="F17" i="1"/>
  <c r="E17" i="1"/>
  <c r="E16" i="1"/>
  <c r="F16" i="1"/>
  <c r="D16" i="1"/>
</calcChain>
</file>

<file path=xl/sharedStrings.xml><?xml version="1.0" encoding="utf-8"?>
<sst xmlns="http://schemas.openxmlformats.org/spreadsheetml/2006/main" count="59" uniqueCount="34">
  <si>
    <t>a</t>
  </si>
  <si>
    <t>b</t>
  </si>
  <si>
    <t>c</t>
  </si>
  <si>
    <t>d</t>
  </si>
  <si>
    <t>Suma</t>
  </si>
  <si>
    <t>Probabilidad de aparición</t>
  </si>
  <si>
    <t>Columna1</t>
  </si>
  <si>
    <t>Probabilidad de fallo</t>
  </si>
  <si>
    <t>e</t>
  </si>
  <si>
    <t>Matríz de Trancisción</t>
  </si>
  <si>
    <t>Matríz de Transmisión</t>
  </si>
  <si>
    <t>Frecuencia de salida</t>
  </si>
  <si>
    <t>Voy a poner otra letra (e) para rellenar</t>
  </si>
  <si>
    <t>Entropía</t>
  </si>
  <si>
    <t>Información mutua</t>
  </si>
  <si>
    <t>Una corona di spine</t>
  </si>
  <si>
    <t>Sarà il dress-code per la mia festa</t>
  </si>
  <si>
    <t>Contamos cada letra</t>
  </si>
  <si>
    <t>à</t>
  </si>
  <si>
    <t>f</t>
  </si>
  <si>
    <t>i</t>
  </si>
  <si>
    <t>l</t>
  </si>
  <si>
    <t>m</t>
  </si>
  <si>
    <t>n</t>
  </si>
  <si>
    <t>o</t>
  </si>
  <si>
    <t>p</t>
  </si>
  <si>
    <t>r</t>
  </si>
  <si>
    <t>s</t>
  </si>
  <si>
    <t>t</t>
  </si>
  <si>
    <t>u</t>
  </si>
  <si>
    <t>"-"</t>
  </si>
  <si>
    <t>Letra</t>
  </si>
  <si>
    <t>Frecuencia abs</t>
  </si>
  <si>
    <t>Freciemcoa 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</si>
</sst>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164" fontId="0" fillId="3" borderId="0" xfId="1" applyNumberFormat="1" applyFont="1" applyFill="1"/>
    <xf numFmtId="0" fontId="0" fillId="4" borderId="0" xfId="0" applyFill="1"/>
    <xf numFmtId="164" fontId="0" fillId="0" borderId="0" xfId="0" applyNumberFormat="1"/>
    <xf numFmtId="0" fontId="0" fillId="2" borderId="0" xfId="0" applyFill="1" applyAlignment="1">
      <alignment wrapText="1"/>
    </xf>
    <xf numFmtId="0" fontId="0" fillId="4" borderId="0" xfId="0" applyFill="1" applyAlignment="1">
      <alignment horizontal="center" wrapText="1"/>
    </xf>
    <xf numFmtId="164" fontId="0" fillId="4" borderId="0" xfId="0" applyNumberFormat="1" applyFill="1"/>
    <xf numFmtId="164" fontId="2" fillId="4" borderId="0" xfId="0" applyNumberFormat="1" applyFont="1" applyFill="1"/>
    <xf numFmtId="0" fontId="0" fillId="0" borderId="1" xfId="0" applyFont="1" applyBorder="1" applyAlignment="1">
      <alignment wrapText="1"/>
    </xf>
    <xf numFmtId="0" fontId="3" fillId="5" borderId="1" xfId="0" applyFont="1" applyFill="1" applyBorder="1" applyAlignment="1">
      <alignment wrapText="1"/>
    </xf>
    <xf numFmtId="0" fontId="0" fillId="4" borderId="0" xfId="0" applyFill="1" applyAlignment="1">
      <alignment horizontal="center"/>
    </xf>
    <xf numFmtId="0" fontId="0" fillId="2" borderId="0" xfId="0" quotePrefix="1" applyFill="1" applyAlignment="1">
      <alignment horizontal="center" wrapText="1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orcentaje" xfId="1" builtinId="5"/>
  </cellStyles>
  <dxfs count="2">
    <dxf>
      <numFmt numFmtId="0" formatCode="General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2" name="Tabla2" displayName="Tabla2" ref="B3:H5" totalsRowShown="0">
  <autoFilter ref="B3:H5"/>
  <tableColumns count="7">
    <tableColumn id="1" name="Columna1" dataDxfId="1"/>
    <tableColumn id="2" name="a"/>
    <tableColumn id="3" name="b"/>
    <tableColumn id="4" name="c"/>
    <tableColumn id="5" name="d"/>
    <tableColumn id="6" name="Suma">
      <calculatedColumnFormula>SUM(C4:F5)</calculatedColumnFormula>
    </tableColumn>
    <tableColumn id="7" name="Probabilidad de fallo" dataDxfId="0">
      <calculatedColumnFormula xml:space="preserve"> 1 - 0.95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21"/>
  <sheetViews>
    <sheetView zoomScale="85" zoomScaleNormal="85" workbookViewId="0">
      <selection activeCell="G34" sqref="G34"/>
    </sheetView>
  </sheetViews>
  <sheetFormatPr baseColWidth="10" defaultRowHeight="15" x14ac:dyDescent="0.25"/>
  <cols>
    <col min="8" max="8" width="13.85546875" bestFit="1" customWidth="1"/>
    <col min="9" max="9" width="13.7109375" customWidth="1"/>
    <col min="10" max="10" width="12" bestFit="1" customWidth="1"/>
  </cols>
  <sheetData>
    <row r="3" spans="1:10" ht="30" x14ac:dyDescent="0.2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s="12" t="s">
        <v>7</v>
      </c>
    </row>
    <row r="4" spans="1:10" ht="45" x14ac:dyDescent="0.25">
      <c r="B4" s="1" t="s">
        <v>5</v>
      </c>
      <c r="C4">
        <v>0.17</v>
      </c>
      <c r="D4">
        <v>0.38</v>
      </c>
      <c r="E4">
        <v>0.2</v>
      </c>
      <c r="F4">
        <v>0.05</v>
      </c>
      <c r="G4" s="1" t="str">
        <f>CONCATENATE(SUM(C4:F5), " , debería ser 1")</f>
        <v>0.8 , debería ser 1</v>
      </c>
      <c r="H4" s="11">
        <f t="shared" ref="H4:H5" si="0" xml:space="preserve"> 1 - 0.95</f>
        <v>5.0000000000000044E-2</v>
      </c>
    </row>
    <row r="5" spans="1:10" ht="61.15" customHeight="1" x14ac:dyDescent="0.25">
      <c r="B5" s="1"/>
      <c r="G5" s="1" t="s">
        <v>12</v>
      </c>
      <c r="H5">
        <f t="shared" si="0"/>
        <v>5.0000000000000044E-2</v>
      </c>
    </row>
    <row r="6" spans="1:10" x14ac:dyDescent="0.25">
      <c r="A6" s="13" t="s">
        <v>9</v>
      </c>
      <c r="B6" s="13"/>
      <c r="C6" s="13"/>
      <c r="D6" s="13"/>
      <c r="E6" s="13"/>
      <c r="F6" s="13"/>
      <c r="G6" s="13"/>
      <c r="I6" s="14" t="s">
        <v>14</v>
      </c>
      <c r="J6" s="15" t="s">
        <v>13</v>
      </c>
    </row>
    <row r="7" spans="1:10" ht="45" x14ac:dyDescent="0.25">
      <c r="A7" s="7" t="s">
        <v>5</v>
      </c>
      <c r="B7" s="2"/>
      <c r="C7" s="2" t="s">
        <v>0</v>
      </c>
      <c r="D7" s="2" t="s">
        <v>1</v>
      </c>
      <c r="E7" s="2" t="s">
        <v>2</v>
      </c>
      <c r="F7" s="2" t="s">
        <v>3</v>
      </c>
      <c r="G7" s="2" t="s">
        <v>8</v>
      </c>
      <c r="I7" s="14"/>
      <c r="J7" s="15"/>
    </row>
    <row r="8" spans="1:10" x14ac:dyDescent="0.25">
      <c r="A8" s="3">
        <v>0.17</v>
      </c>
      <c r="B8" s="2" t="s">
        <v>0</v>
      </c>
      <c r="C8" s="4">
        <v>0.95</v>
      </c>
      <c r="D8" s="4">
        <f>(1 - $C$8) / 4</f>
        <v>1.2500000000000011E-2</v>
      </c>
      <c r="E8" s="4">
        <f t="shared" ref="C8:G12" si="1">(1 - $C$8) / 4</f>
        <v>1.2500000000000011E-2</v>
      </c>
      <c r="F8" s="4">
        <f t="shared" si="1"/>
        <v>1.2500000000000011E-2</v>
      </c>
      <c r="G8" s="4">
        <f t="shared" si="1"/>
        <v>1.2500000000000011E-2</v>
      </c>
      <c r="H8" s="6"/>
      <c r="I8" s="4">
        <f>-LOG(C8, 2)</f>
        <v>7.4000581443776928E-2</v>
      </c>
      <c r="J8" s="3">
        <f>I8 * C8</f>
        <v>7.0300552371588082E-2</v>
      </c>
    </row>
    <row r="9" spans="1:10" x14ac:dyDescent="0.25">
      <c r="A9" s="3">
        <v>0.38</v>
      </c>
      <c r="B9" s="2" t="s">
        <v>1</v>
      </c>
      <c r="C9" s="4">
        <f t="shared" si="1"/>
        <v>1.2500000000000011E-2</v>
      </c>
      <c r="D9" s="4">
        <v>0.95</v>
      </c>
      <c r="E9" s="4">
        <f t="shared" si="1"/>
        <v>1.2500000000000011E-2</v>
      </c>
      <c r="F9" s="4">
        <f t="shared" si="1"/>
        <v>1.2500000000000011E-2</v>
      </c>
      <c r="G9" s="4">
        <f t="shared" si="1"/>
        <v>1.2500000000000011E-2</v>
      </c>
      <c r="I9" s="4">
        <f t="shared" ref="I9:I12" si="2">-LOG(C9, 2)</f>
        <v>6.3219280948873608</v>
      </c>
      <c r="J9" s="3">
        <f t="shared" ref="J9:J12" si="3">I9 * C9</f>
        <v>7.9024101186092086E-2</v>
      </c>
    </row>
    <row r="10" spans="1:10" x14ac:dyDescent="0.25">
      <c r="A10" s="3">
        <v>0.2</v>
      </c>
      <c r="B10" s="2" t="s">
        <v>2</v>
      </c>
      <c r="C10" s="4">
        <f t="shared" si="1"/>
        <v>1.2500000000000011E-2</v>
      </c>
      <c r="D10" s="4">
        <f t="shared" si="1"/>
        <v>1.2500000000000011E-2</v>
      </c>
      <c r="E10" s="4">
        <v>0.95</v>
      </c>
      <c r="F10" s="4">
        <f t="shared" si="1"/>
        <v>1.2500000000000011E-2</v>
      </c>
      <c r="G10" s="4">
        <f t="shared" si="1"/>
        <v>1.2500000000000011E-2</v>
      </c>
      <c r="I10" s="4">
        <f t="shared" si="2"/>
        <v>6.3219280948873608</v>
      </c>
      <c r="J10" s="3">
        <f t="shared" si="3"/>
        <v>7.9024101186092086E-2</v>
      </c>
    </row>
    <row r="11" spans="1:10" x14ac:dyDescent="0.25">
      <c r="A11" s="3">
        <v>0.05</v>
      </c>
      <c r="B11" s="2" t="s">
        <v>3</v>
      </c>
      <c r="C11" s="4">
        <f t="shared" si="1"/>
        <v>1.2500000000000011E-2</v>
      </c>
      <c r="D11" s="4">
        <f t="shared" si="1"/>
        <v>1.2500000000000011E-2</v>
      </c>
      <c r="E11" s="4">
        <f t="shared" si="1"/>
        <v>1.2500000000000011E-2</v>
      </c>
      <c r="F11" s="4">
        <v>0.95</v>
      </c>
      <c r="G11" s="4">
        <f t="shared" si="1"/>
        <v>1.2500000000000011E-2</v>
      </c>
      <c r="I11" s="4">
        <f t="shared" si="2"/>
        <v>6.3219280948873608</v>
      </c>
      <c r="J11" s="3">
        <f t="shared" si="3"/>
        <v>7.9024101186092086E-2</v>
      </c>
    </row>
    <row r="12" spans="1:10" x14ac:dyDescent="0.25">
      <c r="A12" s="3">
        <v>0.2</v>
      </c>
      <c r="B12" s="2" t="s">
        <v>8</v>
      </c>
      <c r="C12" s="4">
        <f t="shared" si="1"/>
        <v>1.2500000000000011E-2</v>
      </c>
      <c r="D12" s="4">
        <f t="shared" si="1"/>
        <v>1.2500000000000011E-2</v>
      </c>
      <c r="E12" s="4">
        <f t="shared" si="1"/>
        <v>1.2500000000000011E-2</v>
      </c>
      <c r="F12" s="4">
        <f t="shared" si="1"/>
        <v>1.2500000000000011E-2</v>
      </c>
      <c r="G12" s="4">
        <v>0.95</v>
      </c>
      <c r="H12" s="6"/>
      <c r="I12" s="4">
        <f t="shared" si="2"/>
        <v>6.3219280948873608</v>
      </c>
      <c r="J12" s="3">
        <f t="shared" si="3"/>
        <v>7.9024101186092086E-2</v>
      </c>
    </row>
    <row r="13" spans="1:10" ht="32.450000000000003" customHeight="1" x14ac:dyDescent="0.25">
      <c r="I13" s="9">
        <f>SUM(I8:I12)</f>
        <v>25.36171296099322</v>
      </c>
      <c r="J13" s="5">
        <f>SUM(J8:J12)</f>
        <v>0.38639695711595645</v>
      </c>
    </row>
    <row r="14" spans="1:10" ht="27.6" customHeight="1" x14ac:dyDescent="0.25">
      <c r="B14" s="13" t="s">
        <v>10</v>
      </c>
      <c r="C14" s="13"/>
      <c r="D14" s="13"/>
      <c r="E14" s="13"/>
      <c r="F14" s="13"/>
      <c r="G14" s="13"/>
    </row>
    <row r="15" spans="1:10" x14ac:dyDescent="0.25">
      <c r="B15" s="2"/>
      <c r="C15" s="2" t="s">
        <v>0</v>
      </c>
      <c r="D15" s="2" t="s">
        <v>1</v>
      </c>
      <c r="E15" s="2" t="s">
        <v>2</v>
      </c>
      <c r="F15" s="2" t="s">
        <v>3</v>
      </c>
      <c r="G15" s="2" t="s">
        <v>8</v>
      </c>
    </row>
    <row r="16" spans="1:10" x14ac:dyDescent="0.25">
      <c r="B16" s="2" t="s">
        <v>0</v>
      </c>
      <c r="C16" s="4">
        <f>C8 * $A8</f>
        <v>0.1615</v>
      </c>
      <c r="D16" s="4">
        <f>D8 * $A8</f>
        <v>2.1250000000000019E-3</v>
      </c>
      <c r="E16" s="4">
        <f t="shared" ref="E16:G16" si="4">E8 * $A8</f>
        <v>2.1250000000000019E-3</v>
      </c>
      <c r="F16" s="4">
        <f t="shared" si="4"/>
        <v>2.1250000000000019E-3</v>
      </c>
      <c r="G16" s="4">
        <f t="shared" si="4"/>
        <v>2.1250000000000019E-3</v>
      </c>
      <c r="H16" s="6"/>
    </row>
    <row r="17" spans="2:7" x14ac:dyDescent="0.25">
      <c r="B17" s="2" t="s">
        <v>1</v>
      </c>
      <c r="C17" s="4">
        <f t="shared" ref="C17:G20" si="5">C9 * $A9</f>
        <v>4.7500000000000042E-3</v>
      </c>
      <c r="D17" s="4">
        <f t="shared" si="5"/>
        <v>0.36099999999999999</v>
      </c>
      <c r="E17" s="4">
        <f t="shared" si="5"/>
        <v>4.7500000000000042E-3</v>
      </c>
      <c r="F17" s="4">
        <f t="shared" si="5"/>
        <v>4.7500000000000042E-3</v>
      </c>
      <c r="G17" s="4">
        <f t="shared" si="5"/>
        <v>4.7500000000000042E-3</v>
      </c>
    </row>
    <row r="18" spans="2:7" x14ac:dyDescent="0.25">
      <c r="B18" s="2" t="s">
        <v>2</v>
      </c>
      <c r="C18" s="4">
        <f t="shared" si="5"/>
        <v>2.5000000000000022E-3</v>
      </c>
      <c r="D18" s="4">
        <f t="shared" si="5"/>
        <v>2.5000000000000022E-3</v>
      </c>
      <c r="E18" s="4">
        <f t="shared" si="5"/>
        <v>0.19</v>
      </c>
      <c r="F18" s="4">
        <f t="shared" si="5"/>
        <v>2.5000000000000022E-3</v>
      </c>
      <c r="G18" s="4">
        <f t="shared" si="5"/>
        <v>2.5000000000000022E-3</v>
      </c>
    </row>
    <row r="19" spans="2:7" x14ac:dyDescent="0.25">
      <c r="B19" s="2" t="s">
        <v>3</v>
      </c>
      <c r="C19" s="4">
        <f t="shared" si="5"/>
        <v>6.2500000000000056E-4</v>
      </c>
      <c r="D19" s="4">
        <f t="shared" si="5"/>
        <v>6.2500000000000056E-4</v>
      </c>
      <c r="E19" s="4">
        <f t="shared" si="5"/>
        <v>6.2500000000000056E-4</v>
      </c>
      <c r="F19" s="4">
        <f t="shared" si="5"/>
        <v>4.7500000000000001E-2</v>
      </c>
      <c r="G19" s="4">
        <f t="shared" si="5"/>
        <v>6.2500000000000056E-4</v>
      </c>
    </row>
    <row r="20" spans="2:7" x14ac:dyDescent="0.25">
      <c r="B20" s="2" t="s">
        <v>8</v>
      </c>
      <c r="C20" s="4">
        <f t="shared" si="5"/>
        <v>2.5000000000000022E-3</v>
      </c>
      <c r="D20" s="4">
        <f t="shared" si="5"/>
        <v>2.5000000000000022E-3</v>
      </c>
      <c r="E20" s="4">
        <f t="shared" si="5"/>
        <v>2.5000000000000022E-3</v>
      </c>
      <c r="F20" s="4">
        <f t="shared" si="5"/>
        <v>2.5000000000000022E-3</v>
      </c>
      <c r="G20" s="4">
        <f t="shared" si="5"/>
        <v>0.19</v>
      </c>
    </row>
    <row r="21" spans="2:7" ht="30" x14ac:dyDescent="0.25">
      <c r="B21" s="8" t="s">
        <v>11</v>
      </c>
      <c r="C21" s="10">
        <f>SUM(C16:C20)</f>
        <v>0.171875</v>
      </c>
      <c r="D21" s="10">
        <f>SUM(D16:D20)</f>
        <v>0.36874999999999997</v>
      </c>
      <c r="E21" s="10">
        <f>SUM(E16:E20)</f>
        <v>0.2</v>
      </c>
      <c r="F21" s="10">
        <f>SUM(F16:F20)</f>
        <v>5.9375000000000011E-2</v>
      </c>
      <c r="G21" s="10">
        <f>SUM(G16:G20)</f>
        <v>0.2</v>
      </c>
    </row>
  </sheetData>
  <mergeCells count="4">
    <mergeCell ref="A6:G6"/>
    <mergeCell ref="B14:G14"/>
    <mergeCell ref="I6:I7"/>
    <mergeCell ref="J6:J7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tabSelected="1" workbookViewId="0">
      <selection activeCell="E23" sqref="E23"/>
    </sheetView>
  </sheetViews>
  <sheetFormatPr baseColWidth="10" defaultRowHeight="15" x14ac:dyDescent="0.25"/>
  <cols>
    <col min="2" max="2" width="4.28515625" customWidth="1"/>
    <col min="3" max="4" width="14" bestFit="1" customWidth="1"/>
  </cols>
  <sheetData>
    <row r="1" spans="1:5" x14ac:dyDescent="0.25">
      <c r="A1" t="s">
        <v>15</v>
      </c>
    </row>
    <row r="2" spans="1:5" x14ac:dyDescent="0.25">
      <c r="A2" t="s">
        <v>16</v>
      </c>
    </row>
    <row r="4" spans="1:5" x14ac:dyDescent="0.25">
      <c r="B4" t="s">
        <v>17</v>
      </c>
    </row>
    <row r="5" spans="1:5" x14ac:dyDescent="0.25">
      <c r="B5" t="s">
        <v>31</v>
      </c>
      <c r="C5" t="s">
        <v>32</v>
      </c>
      <c r="D5" t="s">
        <v>33</v>
      </c>
      <c r="E5" t="s">
        <v>13</v>
      </c>
    </row>
    <row r="6" spans="1:5" x14ac:dyDescent="0.25">
      <c r="B6" t="s">
        <v>0</v>
      </c>
      <c r="C6">
        <v>6</v>
      </c>
      <c r="D6">
        <f>C6 / $C$23</f>
        <v>0.13333333333333333</v>
      </c>
      <c r="E6">
        <f>-LOG(D6, 2) * D6</f>
        <v>0.3875854127478025</v>
      </c>
    </row>
    <row r="7" spans="1:5" x14ac:dyDescent="0.25">
      <c r="B7" t="s">
        <v>18</v>
      </c>
      <c r="C7">
        <v>1</v>
      </c>
      <c r="D7">
        <f t="shared" ref="D7:D22" si="0">C7 / $C$23</f>
        <v>2.2222222222222223E-2</v>
      </c>
      <c r="E7">
        <f t="shared" ref="E7:E22" si="1">-LOG(D7, 2) * D7</f>
        <v>0.12204117991843723</v>
      </c>
    </row>
    <row r="8" spans="1:5" x14ac:dyDescent="0.25">
      <c r="B8" t="s">
        <v>2</v>
      </c>
      <c r="C8">
        <v>2</v>
      </c>
      <c r="D8">
        <f t="shared" si="0"/>
        <v>4.4444444444444446E-2</v>
      </c>
      <c r="E8">
        <f t="shared" si="1"/>
        <v>0.19963791539243</v>
      </c>
    </row>
    <row r="9" spans="1:5" x14ac:dyDescent="0.25">
      <c r="B9" t="s">
        <v>3</v>
      </c>
      <c r="C9">
        <v>3</v>
      </c>
      <c r="D9">
        <f t="shared" si="0"/>
        <v>6.6666666666666666E-2</v>
      </c>
      <c r="E9">
        <f t="shared" si="1"/>
        <v>0.26045937304056793</v>
      </c>
    </row>
    <row r="10" spans="1:5" x14ac:dyDescent="0.25">
      <c r="B10" t="s">
        <v>8</v>
      </c>
      <c r="C10">
        <v>5</v>
      </c>
      <c r="D10">
        <f t="shared" si="0"/>
        <v>0.1111111111111111</v>
      </c>
      <c r="E10">
        <f t="shared" si="1"/>
        <v>0.3522138890491458</v>
      </c>
    </row>
    <row r="11" spans="1:5" x14ac:dyDescent="0.25">
      <c r="B11" t="s">
        <v>19</v>
      </c>
      <c r="C11">
        <v>1</v>
      </c>
      <c r="D11">
        <f t="shared" si="0"/>
        <v>2.2222222222222223E-2</v>
      </c>
      <c r="E11">
        <f t="shared" si="1"/>
        <v>0.12204117991843723</v>
      </c>
    </row>
    <row r="12" spans="1:5" x14ac:dyDescent="0.25">
      <c r="B12" t="s">
        <v>20</v>
      </c>
      <c r="C12">
        <v>4</v>
      </c>
      <c r="D12">
        <f t="shared" si="0"/>
        <v>8.8888888888888892E-2</v>
      </c>
      <c r="E12">
        <f t="shared" si="1"/>
        <v>0.31038694189597116</v>
      </c>
    </row>
    <row r="13" spans="1:5" x14ac:dyDescent="0.25">
      <c r="B13" t="s">
        <v>21</v>
      </c>
      <c r="C13">
        <v>2</v>
      </c>
      <c r="D13">
        <f t="shared" si="0"/>
        <v>4.4444444444444446E-2</v>
      </c>
      <c r="E13">
        <f t="shared" si="1"/>
        <v>0.19963791539243</v>
      </c>
    </row>
    <row r="14" spans="1:5" x14ac:dyDescent="0.25">
      <c r="B14" t="s">
        <v>22</v>
      </c>
      <c r="C14">
        <v>1</v>
      </c>
      <c r="D14">
        <f t="shared" si="0"/>
        <v>2.2222222222222223E-2</v>
      </c>
      <c r="E14">
        <f t="shared" si="1"/>
        <v>0.12204117991843723</v>
      </c>
    </row>
    <row r="15" spans="1:5" x14ac:dyDescent="0.25">
      <c r="B15" t="s">
        <v>23</v>
      </c>
      <c r="C15">
        <v>3</v>
      </c>
      <c r="D15">
        <f t="shared" si="0"/>
        <v>6.6666666666666666E-2</v>
      </c>
      <c r="E15">
        <f t="shared" si="1"/>
        <v>0.26045937304056793</v>
      </c>
    </row>
    <row r="16" spans="1:5" x14ac:dyDescent="0.25">
      <c r="B16" t="s">
        <v>24</v>
      </c>
      <c r="C16">
        <v>3</v>
      </c>
      <c r="D16">
        <f t="shared" si="0"/>
        <v>6.6666666666666666E-2</v>
      </c>
      <c r="E16">
        <f t="shared" si="1"/>
        <v>0.26045937304056793</v>
      </c>
    </row>
    <row r="17" spans="2:5" x14ac:dyDescent="0.25">
      <c r="B17" t="s">
        <v>25</v>
      </c>
      <c r="C17">
        <v>2</v>
      </c>
      <c r="D17">
        <f t="shared" si="0"/>
        <v>4.4444444444444446E-2</v>
      </c>
      <c r="E17">
        <f t="shared" si="1"/>
        <v>0.19963791539243</v>
      </c>
    </row>
    <row r="18" spans="2:5" x14ac:dyDescent="0.25">
      <c r="B18" t="s">
        <v>26</v>
      </c>
      <c r="C18">
        <v>4</v>
      </c>
      <c r="D18">
        <f t="shared" si="0"/>
        <v>8.8888888888888892E-2</v>
      </c>
      <c r="E18">
        <f t="shared" si="1"/>
        <v>0.31038694189597116</v>
      </c>
    </row>
    <row r="19" spans="2:5" x14ac:dyDescent="0.25">
      <c r="B19" t="s">
        <v>27</v>
      </c>
      <c r="C19">
        <v>5</v>
      </c>
      <c r="D19">
        <f t="shared" si="0"/>
        <v>0.1111111111111111</v>
      </c>
      <c r="E19">
        <f t="shared" si="1"/>
        <v>0.3522138890491458</v>
      </c>
    </row>
    <row r="20" spans="2:5" x14ac:dyDescent="0.25">
      <c r="B20" t="s">
        <v>28</v>
      </c>
      <c r="C20">
        <v>1</v>
      </c>
      <c r="D20">
        <f t="shared" si="0"/>
        <v>2.2222222222222223E-2</v>
      </c>
      <c r="E20">
        <f t="shared" si="1"/>
        <v>0.12204117991843723</v>
      </c>
    </row>
    <row r="21" spans="2:5" x14ac:dyDescent="0.25">
      <c r="B21" t="s">
        <v>29</v>
      </c>
      <c r="C21">
        <v>1</v>
      </c>
      <c r="D21">
        <f t="shared" si="0"/>
        <v>2.2222222222222223E-2</v>
      </c>
      <c r="E21">
        <f t="shared" si="1"/>
        <v>0.12204117991843723</v>
      </c>
    </row>
    <row r="22" spans="2:5" x14ac:dyDescent="0.25">
      <c r="B22" t="s">
        <v>30</v>
      </c>
      <c r="C22">
        <v>1</v>
      </c>
      <c r="D22">
        <f t="shared" si="0"/>
        <v>2.2222222222222223E-2</v>
      </c>
      <c r="E22">
        <f t="shared" si="1"/>
        <v>0.12204117991843723</v>
      </c>
    </row>
    <row r="23" spans="2:5" x14ac:dyDescent="0.25">
      <c r="C23">
        <f>SUM(C6:C22)</f>
        <v>45</v>
      </c>
      <c r="E23">
        <f>SUM(E6:E22)</f>
        <v>3.8253260194476537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Canales</vt:lpstr>
      <vt:lpstr>Árbol jerarquico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 Morales</dc:creator>
  <cp:lastModifiedBy>LabVR</cp:lastModifiedBy>
  <dcterms:created xsi:type="dcterms:W3CDTF">2026-03-09T06:19:16Z</dcterms:created>
  <dcterms:modified xsi:type="dcterms:W3CDTF">2026-03-10T19:47:42Z</dcterms:modified>
</cp:coreProperties>
</file>
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Repositorios\Semestre-EneJun2026\Teoría de la información\"/>
    </mc:Choice>
  </mc:AlternateContent>
  <xr:revisionPtr revIDLastSave="0" documentId="8_{B8D2BC40-DBA3-4EC8-A750-7C5EAAFD71B4}" xr6:coauthVersionLast="47" xr6:coauthVersionMax="47" xr10:uidLastSave="{00000000-0000-0000-0000-000000000000}"/>
  <bookViews>
    <workbookView xWindow="-108" yWindow="-108" windowWidth="20376" windowHeight="12216" xr2:uid="{1B2D5A58-B732-405D-921E-4B9C3DD4EF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6" i="1" l="1"/>
  <c r="K17" i="1" l="1"/>
  <c r="K18" i="1"/>
  <c r="K19" i="1"/>
  <c r="K20" i="1"/>
  <c r="K16" i="1"/>
  <c r="J17" i="1"/>
  <c r="J18" i="1"/>
  <c r="J19" i="1"/>
  <c r="J20" i="1"/>
  <c r="J16" i="1"/>
  <c r="I20" i="1"/>
  <c r="I19" i="1"/>
  <c r="I18" i="1"/>
  <c r="I17" i="1"/>
  <c r="I16" i="1"/>
  <c r="C21" i="1"/>
  <c r="D21" i="1"/>
  <c r="E21" i="1"/>
  <c r="F21" i="1"/>
  <c r="G21" i="1"/>
  <c r="G4" i="1"/>
  <c r="C9" i="1"/>
  <c r="C10" i="1"/>
  <c r="C11" i="1"/>
  <c r="C12" i="1"/>
  <c r="D12" i="1"/>
  <c r="D11" i="1"/>
  <c r="D10" i="1"/>
  <c r="E9" i="1"/>
  <c r="E11" i="1"/>
  <c r="E12" i="1"/>
  <c r="F10" i="1"/>
  <c r="F12" i="1"/>
  <c r="G11" i="1"/>
  <c r="G10" i="1"/>
  <c r="G9" i="1"/>
  <c r="F9" i="1"/>
  <c r="E8" i="1"/>
  <c r="F8" i="1"/>
  <c r="G8" i="1"/>
  <c r="D8" i="1"/>
  <c r="G20" i="1"/>
  <c r="C16" i="1" l="1"/>
  <c r="D17" i="1"/>
  <c r="E18" i="1"/>
  <c r="G18" i="1"/>
  <c r="E19" i="1"/>
  <c r="F19" i="1"/>
  <c r="C19" i="1"/>
  <c r="F20" i="1"/>
  <c r="G19" i="1"/>
  <c r="G17" i="1"/>
  <c r="G16" i="1"/>
  <c r="E20" i="1"/>
  <c r="D20" i="1"/>
  <c r="C20" i="1"/>
  <c r="F18" i="1"/>
  <c r="C17" i="1"/>
  <c r="C18" i="1"/>
  <c r="D18" i="1"/>
  <c r="D19" i="1"/>
  <c r="F17" i="1"/>
  <c r="E17" i="1"/>
  <c r="E16" i="1"/>
  <c r="F16" i="1"/>
  <c r="D16" i="1"/>
  <c r="I4" i="1"/>
</calcChain>
</file>

<file path=xl/sharedStrings.xml><?xml version="1.0" encoding="utf-8"?>
<sst xmlns="http://schemas.openxmlformats.org/spreadsheetml/2006/main" count="39" uniqueCount="18">
  <si>
    <t>a</t>
  </si>
  <si>
    <t>b</t>
  </si>
  <si>
    <t>c</t>
  </si>
  <si>
    <t>d</t>
  </si>
  <si>
    <t>Suma</t>
  </si>
  <si>
    <t>Probabilidad de aparición</t>
  </si>
  <si>
    <t>Columna1</t>
  </si>
  <si>
    <t>Probabilidad de fallo</t>
  </si>
  <si>
    <t>e</t>
  </si>
  <si>
    <t>Matríz de Trancisción</t>
  </si>
  <si>
    <t>Matríz de Transmisión</t>
  </si>
  <si>
    <t>Frecuencia de salida</t>
  </si>
  <si>
    <t>Autoinformación:</t>
  </si>
  <si>
    <t>Voy a poner otra letra (e) para rellenar</t>
  </si>
  <si>
    <t>Revisen la autoinformación porfa no sé si la estoy sacando de los datos correctos</t>
  </si>
  <si>
    <t>Entropía</t>
  </si>
  <si>
    <t>Por Si las dudas, haré 2 tablas de entropía no sé cúal sea correcta</t>
  </si>
  <si>
    <t>Qué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</si>
</sst>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173" fontId="0" fillId="3" borderId="0" xfId="1" applyNumberFormat="1" applyFont="1" applyFill="1"/>
    <xf numFmtId="0" fontId="0" fillId="4" borderId="0" xfId="0" applyFill="1" applyAlignment="1">
      <alignment horizontal="center"/>
    </xf>
    <xf numFmtId="0" fontId="0" fillId="4" borderId="0" xfId="0" applyFill="1"/>
    <xf numFmtId="173" fontId="0" fillId="0" borderId="0" xfId="0" applyNumberFormat="1"/>
    <xf numFmtId="0" fontId="0" fillId="0" borderId="0" xfId="0" applyAlignment="1">
      <alignment horizontal="center" wrapText="1"/>
    </xf>
    <xf numFmtId="0" fontId="0" fillId="2" borderId="0" xfId="0" applyFill="1" applyAlignment="1">
      <alignment wrapText="1"/>
    </xf>
    <xf numFmtId="0" fontId="0" fillId="4" borderId="0" xfId="0" applyFill="1" applyAlignment="1">
      <alignment horizontal="center" wrapText="1"/>
    </xf>
    <xf numFmtId="173" fontId="0" fillId="4" borderId="0" xfId="0" applyNumberFormat="1" applyFill="1"/>
    <xf numFmtId="173" fontId="2" fillId="4" borderId="0" xfId="0" applyNumberFormat="1" applyFont="1" applyFill="1"/>
  </cellXfs>
  <cellStyles count="2">
    <cellStyle name="Normal" xfId="0" builtinId="0"/>
    <cellStyle name="Porcentaje" xfId="1" builtinId="5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7F4F2A-DE83-4A93-A720-F635F352A5C7}" name="Tabla2" displayName="Tabla2" ref="B3:G5" totalsRowShown="0">
  <autoFilter ref="B3:G5" xr:uid="{797F4F2A-DE83-4A93-A720-F635F352A5C7}"/>
  <tableColumns count="6">
    <tableColumn id="1" xr3:uid="{558271E2-8147-4FF6-A576-81B8AE3DC0C6}" name="Columna1" dataDxfId="0"/>
    <tableColumn id="2" xr3:uid="{9606F360-3E10-49C1-927F-5CE7FBF5E527}" name="a"/>
    <tableColumn id="3" xr3:uid="{6073D23E-82CB-4AB8-A44D-081765527F15}" name="b"/>
    <tableColumn id="4" xr3:uid="{995500E9-C3ED-443B-9E33-D34E0EA48033}" name="c"/>
    <tableColumn id="5" xr3:uid="{AC632472-55EC-4F2C-A210-966C886E61BA}" name="d"/>
    <tableColumn id="6" xr3:uid="{8E4CED38-6B50-4742-BA8B-8089089769D1}" name="Suma">
      <calculatedColumnFormula>SUM(C4:F5)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4CD5B-2086-42F8-A12B-876693EB4F9D}">
  <dimension ref="A3:N21"/>
  <sheetViews>
    <sheetView tabSelected="1" topLeftCell="A7" zoomScale="85" zoomScaleNormal="85" workbookViewId="0">
      <selection activeCell="M22" sqref="M22"/>
    </sheetView>
  </sheetViews>
  <sheetFormatPr baseColWidth="10" defaultRowHeight="14.4" x14ac:dyDescent="0.3"/>
  <cols>
    <col min="10" max="10" width="12" bestFit="1" customWidth="1"/>
  </cols>
  <sheetData>
    <row r="3" spans="1:14" x14ac:dyDescent="0.3">
      <c r="B3" t="s">
        <v>6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I3" t="s">
        <v>7</v>
      </c>
    </row>
    <row r="4" spans="1:14" ht="28.8" x14ac:dyDescent="0.3">
      <c r="B4" s="1" t="s">
        <v>5</v>
      </c>
      <c r="C4">
        <v>0.17</v>
      </c>
      <c r="D4">
        <v>0.38</v>
      </c>
      <c r="E4">
        <v>0.2</v>
      </c>
      <c r="F4">
        <v>0.05</v>
      </c>
      <c r="G4" s="1" t="str">
        <f>CONCATENATE(SUM(C4:F5), " , debería ser 1")</f>
        <v>0.8 , debería ser 1</v>
      </c>
      <c r="I4">
        <f xml:space="preserve"> 1 - 0.95</f>
        <v>5.0000000000000044E-2</v>
      </c>
    </row>
    <row r="5" spans="1:14" ht="43.2" x14ac:dyDescent="0.3">
      <c r="B5" s="1"/>
      <c r="G5" s="1" t="s">
        <v>13</v>
      </c>
    </row>
    <row r="6" spans="1:14" x14ac:dyDescent="0.3">
      <c r="A6" s="5" t="s">
        <v>9</v>
      </c>
      <c r="B6" s="5"/>
      <c r="C6" s="5"/>
      <c r="D6" s="5"/>
      <c r="E6" s="5"/>
      <c r="F6" s="5"/>
      <c r="G6" s="5"/>
    </row>
    <row r="7" spans="1:14" ht="28.8" x14ac:dyDescent="0.3">
      <c r="A7" s="9" t="s">
        <v>5</v>
      </c>
      <c r="B7" s="2"/>
      <c r="C7" s="2" t="s">
        <v>0</v>
      </c>
      <c r="D7" s="2" t="s">
        <v>1</v>
      </c>
      <c r="E7" s="2" t="s">
        <v>2</v>
      </c>
      <c r="F7" s="2" t="s">
        <v>3</v>
      </c>
      <c r="G7" s="2" t="s">
        <v>8</v>
      </c>
    </row>
    <row r="8" spans="1:14" x14ac:dyDescent="0.3">
      <c r="A8" s="3">
        <v>0.17</v>
      </c>
      <c r="B8" s="2" t="s">
        <v>0</v>
      </c>
      <c r="C8" s="4">
        <v>0.95</v>
      </c>
      <c r="D8" s="4">
        <f>(1 - $C$8) / 4</f>
        <v>1.2500000000000011E-2</v>
      </c>
      <c r="E8" s="4">
        <f t="shared" ref="C8:G12" si="0">(1 - $C$8) / 4</f>
        <v>1.2500000000000011E-2</v>
      </c>
      <c r="F8" s="4">
        <f t="shared" si="0"/>
        <v>1.2500000000000011E-2</v>
      </c>
      <c r="G8" s="4">
        <f t="shared" si="0"/>
        <v>1.2500000000000011E-2</v>
      </c>
      <c r="H8" s="7"/>
    </row>
    <row r="9" spans="1:14" x14ac:dyDescent="0.3">
      <c r="A9" s="3">
        <v>0.38</v>
      </c>
      <c r="B9" s="2" t="s">
        <v>1</v>
      </c>
      <c r="C9" s="4">
        <f t="shared" si="0"/>
        <v>1.2500000000000011E-2</v>
      </c>
      <c r="D9" s="4">
        <v>0.95</v>
      </c>
      <c r="E9" s="4">
        <f t="shared" si="0"/>
        <v>1.2500000000000011E-2</v>
      </c>
      <c r="F9" s="4">
        <f t="shared" si="0"/>
        <v>1.2500000000000011E-2</v>
      </c>
      <c r="G9" s="4">
        <f t="shared" si="0"/>
        <v>1.2500000000000011E-2</v>
      </c>
    </row>
    <row r="10" spans="1:14" x14ac:dyDescent="0.3">
      <c r="A10" s="3">
        <v>0.2</v>
      </c>
      <c r="B10" s="2" t="s">
        <v>2</v>
      </c>
      <c r="C10" s="4">
        <f t="shared" si="0"/>
        <v>1.2500000000000011E-2</v>
      </c>
      <c r="D10" s="4">
        <f t="shared" si="0"/>
        <v>1.2500000000000011E-2</v>
      </c>
      <c r="E10" s="4">
        <v>0.95</v>
      </c>
      <c r="F10" s="4">
        <f t="shared" si="0"/>
        <v>1.2500000000000011E-2</v>
      </c>
      <c r="G10" s="4">
        <f t="shared" si="0"/>
        <v>1.2500000000000011E-2</v>
      </c>
    </row>
    <row r="11" spans="1:14" x14ac:dyDescent="0.3">
      <c r="A11" s="3">
        <v>0.05</v>
      </c>
      <c r="B11" s="2" t="s">
        <v>3</v>
      </c>
      <c r="C11" s="4">
        <f t="shared" si="0"/>
        <v>1.2500000000000011E-2</v>
      </c>
      <c r="D11" s="4">
        <f t="shared" si="0"/>
        <v>1.2500000000000011E-2</v>
      </c>
      <c r="E11" s="4">
        <f t="shared" si="0"/>
        <v>1.2500000000000011E-2</v>
      </c>
      <c r="F11" s="4">
        <v>0.95</v>
      </c>
      <c r="G11" s="4">
        <f t="shared" si="0"/>
        <v>1.2500000000000011E-2</v>
      </c>
    </row>
    <row r="12" spans="1:14" x14ac:dyDescent="0.3">
      <c r="A12" s="3">
        <v>0.2</v>
      </c>
      <c r="B12" s="2" t="s">
        <v>8</v>
      </c>
      <c r="C12" s="4">
        <f t="shared" si="0"/>
        <v>1.2500000000000011E-2</v>
      </c>
      <c r="D12" s="4">
        <f t="shared" si="0"/>
        <v>1.2500000000000011E-2</v>
      </c>
      <c r="E12" s="4">
        <f t="shared" si="0"/>
        <v>1.2500000000000011E-2</v>
      </c>
      <c r="F12" s="4">
        <f t="shared" si="0"/>
        <v>1.2500000000000011E-2</v>
      </c>
      <c r="G12" s="4">
        <v>0.95</v>
      </c>
      <c r="H12" s="7"/>
    </row>
    <row r="13" spans="1:14" ht="32.4" customHeight="1" x14ac:dyDescent="0.3">
      <c r="I13" s="8" t="s">
        <v>14</v>
      </c>
      <c r="J13" s="8"/>
      <c r="M13" s="8" t="s">
        <v>16</v>
      </c>
      <c r="N13" s="8"/>
    </row>
    <row r="14" spans="1:14" ht="27.6" customHeight="1" x14ac:dyDescent="0.3">
      <c r="B14" s="5" t="s">
        <v>10</v>
      </c>
      <c r="C14" s="5"/>
      <c r="D14" s="5"/>
      <c r="E14" s="5"/>
      <c r="F14" s="5"/>
      <c r="G14" s="5"/>
      <c r="I14" s="8"/>
      <c r="J14" s="8"/>
      <c r="M14" s="8"/>
      <c r="N14" s="8"/>
    </row>
    <row r="15" spans="1:14" x14ac:dyDescent="0.3">
      <c r="B15" s="2"/>
      <c r="C15" s="2" t="s">
        <v>0</v>
      </c>
      <c r="D15" s="2" t="s">
        <v>1</v>
      </c>
      <c r="E15" s="2" t="s">
        <v>2</v>
      </c>
      <c r="F15" s="2" t="s">
        <v>3</v>
      </c>
      <c r="G15" s="2" t="s">
        <v>8</v>
      </c>
      <c r="I15" s="5" t="s">
        <v>12</v>
      </c>
      <c r="J15" s="5"/>
      <c r="K15" s="6" t="s">
        <v>15</v>
      </c>
      <c r="M15" s="6" t="s">
        <v>15</v>
      </c>
    </row>
    <row r="16" spans="1:14" x14ac:dyDescent="0.3">
      <c r="B16" s="2" t="s">
        <v>0</v>
      </c>
      <c r="C16" s="4">
        <f>C8 * $A8</f>
        <v>0.1615</v>
      </c>
      <c r="D16" s="4">
        <f>D8 * $A8</f>
        <v>2.1250000000000019E-3</v>
      </c>
      <c r="E16" s="4">
        <f t="shared" ref="E16:G16" si="1">E8 * $A8</f>
        <v>2.1250000000000019E-3</v>
      </c>
      <c r="F16" s="4">
        <f t="shared" si="1"/>
        <v>2.1250000000000019E-3</v>
      </c>
      <c r="G16" s="4">
        <f t="shared" si="1"/>
        <v>2.1250000000000019E-3</v>
      </c>
      <c r="H16" s="7"/>
      <c r="I16" s="11">
        <f>C21</f>
        <v>0.171875</v>
      </c>
      <c r="J16" s="2">
        <f>-LOG(I16,2)</f>
        <v>2.5405683813627027</v>
      </c>
      <c r="K16" s="2">
        <f>J16 * I16</f>
        <v>0.43666019054671451</v>
      </c>
      <c r="M16" s="2">
        <f>(-LOG(C8, 2) * C8) - 3*(F8 * LOG(F8,2))</f>
        <v>0.3073728559298643</v>
      </c>
    </row>
    <row r="17" spans="2:13" x14ac:dyDescent="0.3">
      <c r="B17" s="2" t="s">
        <v>1</v>
      </c>
      <c r="C17" s="4">
        <f t="shared" ref="C17:G20" si="2">C9 * $A9</f>
        <v>4.7500000000000042E-3</v>
      </c>
      <c r="D17" s="4">
        <f t="shared" si="2"/>
        <v>0.36099999999999999</v>
      </c>
      <c r="E17" s="4">
        <f t="shared" si="2"/>
        <v>4.7500000000000042E-3</v>
      </c>
      <c r="F17" s="4">
        <f t="shared" si="2"/>
        <v>4.7500000000000042E-3</v>
      </c>
      <c r="G17" s="4">
        <f t="shared" si="2"/>
        <v>4.7500000000000042E-3</v>
      </c>
      <c r="I17" s="11">
        <f>D21</f>
        <v>0.36874999999999997</v>
      </c>
      <c r="J17" s="2">
        <f t="shared" ref="J17:J20" si="3">-LOG(I17,2)</f>
        <v>1.4392850455255213</v>
      </c>
      <c r="K17" s="2">
        <f t="shared" ref="K17:K20" si="4">J17 * I17</f>
        <v>0.53073636053753592</v>
      </c>
      <c r="M17" t="s">
        <v>17</v>
      </c>
    </row>
    <row r="18" spans="2:13" x14ac:dyDescent="0.3">
      <c r="B18" s="2" t="s">
        <v>2</v>
      </c>
      <c r="C18" s="4">
        <f t="shared" si="2"/>
        <v>2.5000000000000022E-3</v>
      </c>
      <c r="D18" s="4">
        <f t="shared" si="2"/>
        <v>2.5000000000000022E-3</v>
      </c>
      <c r="E18" s="4">
        <f t="shared" si="2"/>
        <v>0.19</v>
      </c>
      <c r="F18" s="4">
        <f t="shared" si="2"/>
        <v>2.5000000000000022E-3</v>
      </c>
      <c r="G18" s="4">
        <f t="shared" si="2"/>
        <v>2.5000000000000022E-3</v>
      </c>
      <c r="I18" s="11">
        <f>E21</f>
        <v>0.2</v>
      </c>
      <c r="J18" s="2">
        <f t="shared" si="3"/>
        <v>2.3219280948873622</v>
      </c>
      <c r="K18" s="2">
        <f t="shared" si="4"/>
        <v>0.46438561897747244</v>
      </c>
    </row>
    <row r="19" spans="2:13" x14ac:dyDescent="0.3">
      <c r="B19" s="2" t="s">
        <v>3</v>
      </c>
      <c r="C19" s="4">
        <f t="shared" si="2"/>
        <v>6.2500000000000056E-4</v>
      </c>
      <c r="D19" s="4">
        <f t="shared" si="2"/>
        <v>6.2500000000000056E-4</v>
      </c>
      <c r="E19" s="4">
        <f t="shared" si="2"/>
        <v>6.2500000000000056E-4</v>
      </c>
      <c r="F19" s="4">
        <f t="shared" si="2"/>
        <v>4.7500000000000001E-2</v>
      </c>
      <c r="G19" s="4">
        <f t="shared" si="2"/>
        <v>6.2500000000000056E-4</v>
      </c>
      <c r="I19" s="11">
        <f>F21</f>
        <v>5.9375000000000011E-2</v>
      </c>
      <c r="J19" s="2">
        <f t="shared" si="3"/>
        <v>4.0740005814437765</v>
      </c>
      <c r="K19" s="2">
        <f t="shared" si="4"/>
        <v>0.24189378452322427</v>
      </c>
    </row>
    <row r="20" spans="2:13" x14ac:dyDescent="0.3">
      <c r="B20" s="2" t="s">
        <v>8</v>
      </c>
      <c r="C20" s="4">
        <f t="shared" si="2"/>
        <v>2.5000000000000022E-3</v>
      </c>
      <c r="D20" s="4">
        <f t="shared" si="2"/>
        <v>2.5000000000000022E-3</v>
      </c>
      <c r="E20" s="4">
        <f t="shared" si="2"/>
        <v>2.5000000000000022E-3</v>
      </c>
      <c r="F20" s="4">
        <f t="shared" si="2"/>
        <v>2.5000000000000022E-3</v>
      </c>
      <c r="G20" s="4">
        <f t="shared" si="2"/>
        <v>0.19</v>
      </c>
      <c r="I20" s="11">
        <f>G21</f>
        <v>0.2</v>
      </c>
      <c r="J20" s="2">
        <f t="shared" si="3"/>
        <v>2.3219280948873622</v>
      </c>
      <c r="K20" s="2">
        <f t="shared" si="4"/>
        <v>0.46438561897747244</v>
      </c>
    </row>
    <row r="21" spans="2:13" ht="28.8" x14ac:dyDescent="0.3">
      <c r="B21" s="10" t="s">
        <v>11</v>
      </c>
      <c r="C21" s="12">
        <f>SUM(C16:C20)</f>
        <v>0.171875</v>
      </c>
      <c r="D21" s="12">
        <f>SUM(D16:D20)</f>
        <v>0.36874999999999997</v>
      </c>
      <c r="E21" s="12">
        <f>SUM(E16:E20)</f>
        <v>0.2</v>
      </c>
      <c r="F21" s="12">
        <f>SUM(F16:F20)</f>
        <v>5.9375000000000011E-2</v>
      </c>
      <c r="G21" s="12">
        <f>SUM(G16:G20)</f>
        <v>0.2</v>
      </c>
    </row>
  </sheetData>
  <mergeCells count="5">
    <mergeCell ref="M13:N14"/>
    <mergeCell ref="A6:G6"/>
    <mergeCell ref="B14:G14"/>
    <mergeCell ref="I15:J15"/>
    <mergeCell ref="I13:J14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Ranfery Morales</dc:creator>
  <cp:lastModifiedBy>Ranfery Morales</cp:lastModifiedBy>
  <dcterms:created xsi:type="dcterms:W3CDTF">2026-03-09T06:19:16Z</dcterms:created>
  <dcterms:modified xsi:type="dcterms:W3CDTF">2026-03-09T07:29:47Z</dcterms:modified>
</cp:coreProperties>
</file>
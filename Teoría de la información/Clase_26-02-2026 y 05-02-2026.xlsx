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8vo Semestre_Facultad\Teoria de la Informacion\"/>
    </mc:Choice>
  </mc:AlternateContent>
  <xr:revisionPtr revIDLastSave="0" documentId="13_ncr:1_{3353663C-CAD8-4D4B-9D36-13B30B5806EE}" xr6:coauthVersionLast="47" xr6:coauthVersionMax="47" xr10:uidLastSave="{00000000-0000-0000-0000-000000000000}"/>
  <bookViews>
    <workbookView xWindow="-120" yWindow="-120" windowWidth="29040" windowHeight="15840" activeTab="1" xr2:uid="{5BE889FE-99FC-41EA-9EDF-C86B9DAEABBA}"/>
  </bookViews>
  <sheets>
    <sheet name="INFO" sheetId="1" r:id="rId1"/>
    <sheet name="Huffman Jerarquico" sheetId="2" r:id="rId2"/>
    <sheet name="Huffman Balanceado" sheetId="3" r:id="rId3"/>
    <sheet name="Huffman Ternario" sheetId="4" r:id="rId4"/>
    <sheet name="Shanon Method" sheetId="5" r:id="rId5"/>
    <sheet name="Fanon Method" sheetId="6" r:id="rId6"/>
    <sheet name="Shannon-Fano-Elias Cod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27" i="2"/>
  <c r="H22" i="5"/>
  <c r="BO5" i="2"/>
  <c r="BK6" i="2"/>
  <c r="BG7" i="2"/>
  <c r="BC8" i="2"/>
  <c r="AY9" i="2"/>
  <c r="AU10" i="2"/>
  <c r="AQ11" i="2"/>
  <c r="AM12" i="2"/>
  <c r="AI13" i="2"/>
  <c r="AE14" i="2"/>
  <c r="AA15" i="2"/>
  <c r="W16" i="2"/>
  <c r="S17" i="2"/>
  <c r="O18" i="2"/>
  <c r="K19" i="2"/>
  <c r="N5" i="7"/>
  <c r="O5" i="7" s="1"/>
  <c r="O6" i="7" s="1"/>
  <c r="N6" i="7"/>
  <c r="M6" i="7"/>
  <c r="L6" i="7"/>
  <c r="K6" i="7"/>
  <c r="J5" i="7"/>
  <c r="K5" i="7" s="1"/>
  <c r="L5" i="7" s="1"/>
  <c r="M5" i="7" s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3" i="7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3" i="5"/>
  <c r="I6" i="5"/>
  <c r="E10" i="7"/>
  <c r="E11" i="7"/>
  <c r="E12" i="7"/>
  <c r="E13" i="7"/>
  <c r="E14" i="7"/>
  <c r="E15" i="7"/>
  <c r="E16" i="7"/>
  <c r="E17" i="7"/>
  <c r="E18" i="7"/>
  <c r="E19" i="7"/>
  <c r="E9" i="7"/>
  <c r="E8" i="7"/>
  <c r="E7" i="7"/>
  <c r="E6" i="7"/>
  <c r="E5" i="7"/>
  <c r="E4" i="7"/>
  <c r="E3" i="7"/>
  <c r="C20" i="7"/>
  <c r="D19" i="7" s="1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M23" i="6"/>
  <c r="M22" i="6"/>
  <c r="C20" i="6"/>
  <c r="D19" i="6" s="1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L5" i="5"/>
  <c r="K5" i="5"/>
  <c r="I5" i="5"/>
  <c r="E5" i="5"/>
  <c r="E6" i="5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3" i="5"/>
  <c r="C20" i="5"/>
  <c r="C20" i="4"/>
  <c r="C19" i="3"/>
  <c r="J6" i="7" l="1"/>
  <c r="J5" i="5"/>
  <c r="D5" i="2"/>
  <c r="E5" i="2" s="1"/>
  <c r="D7" i="2"/>
  <c r="E7" i="2" s="1"/>
  <c r="D9" i="2"/>
  <c r="E9" i="2" s="1"/>
  <c r="D10" i="2"/>
  <c r="E10" i="2" s="1"/>
  <c r="D11" i="2"/>
  <c r="E11" i="2" s="1"/>
  <c r="D19" i="2"/>
  <c r="E19" i="2" s="1"/>
  <c r="D4" i="2"/>
  <c r="E4" i="2" s="1"/>
  <c r="C21" i="2"/>
  <c r="D18" i="2" s="1"/>
  <c r="E18" i="2" s="1"/>
  <c r="D17" i="2" l="1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8" i="2"/>
  <c r="E8" i="2" s="1"/>
  <c r="D6" i="2"/>
  <c r="E6" i="2" s="1"/>
  <c r="E21" i="2" s="1"/>
  <c r="D20" i="2"/>
  <c r="E20" i="2" s="1"/>
  <c r="D21" i="2"/>
</calcChain>
</file>

<file path=xl/sharedStrings.xml><?xml version="1.0" encoding="utf-8"?>
<sst xmlns="http://schemas.openxmlformats.org/spreadsheetml/2006/main" count="407" uniqueCount="110">
  <si>
    <t>Libro Boyer-Moore</t>
  </si>
  <si>
    <t>Krus Morris Pratt</t>
  </si>
  <si>
    <t>Antes de hacer acomplamiento hay que preprocesar el patron, revisa el patron para saber que componentes hay.</t>
  </si>
  <si>
    <t>2 Knuth-Morris-Pratt</t>
  </si>
  <si>
    <t>3 Arboles de sufijo</t>
  </si>
  <si>
    <t>1 Boyer Moore</t>
  </si>
  <si>
    <t>Programas:</t>
  </si>
  <si>
    <t>Una corona di spine</t>
  </si>
  <si>
    <t>Sarà il dress-code per la mia festa</t>
  </si>
  <si>
    <t>n</t>
  </si>
  <si>
    <t>a</t>
  </si>
  <si>
    <t>u</t>
  </si>
  <si>
    <t>c</t>
  </si>
  <si>
    <t>o</t>
  </si>
  <si>
    <t>r</t>
  </si>
  <si>
    <t>d</t>
  </si>
  <si>
    <t>i</t>
  </si>
  <si>
    <t>s</t>
  </si>
  <si>
    <t>p</t>
  </si>
  <si>
    <t>à</t>
  </si>
  <si>
    <t>e</t>
  </si>
  <si>
    <t>f</t>
  </si>
  <si>
    <t>l</t>
  </si>
  <si>
    <t>m</t>
  </si>
  <si>
    <t>t</t>
  </si>
  <si>
    <t>"-"</t>
  </si>
  <si>
    <t>Arbol de huffman jerarquico</t>
  </si>
  <si>
    <t>Acabas un arbol cuando llegas a la raiz, lo que serian 2 hijos. Osea 2 resuktados</t>
  </si>
  <si>
    <t>00101</t>
  </si>
  <si>
    <t>0000</t>
  </si>
  <si>
    <t>0001</t>
  </si>
  <si>
    <t>0011</t>
  </si>
  <si>
    <t>0110</t>
  </si>
  <si>
    <t>0111</t>
  </si>
  <si>
    <t>00100</t>
  </si>
  <si>
    <t>1110</t>
  </si>
  <si>
    <t>11010</t>
  </si>
  <si>
    <t>11011</t>
  </si>
  <si>
    <t>11000</t>
  </si>
  <si>
    <t>11001</t>
  </si>
  <si>
    <t>11110</t>
  </si>
  <si>
    <t>11111</t>
  </si>
  <si>
    <t>010</t>
  </si>
  <si>
    <t>bits/carácter</t>
  </si>
  <si>
    <t>Input 1 byte</t>
  </si>
  <si>
    <t>LME</t>
  </si>
  <si>
    <t>LMS</t>
  </si>
  <si>
    <t>RC</t>
  </si>
  <si>
    <t>LME/LMS</t>
  </si>
  <si>
    <t>BITS/SIM</t>
  </si>
  <si>
    <t>Tabla de codificacion</t>
  </si>
  <si>
    <t>S8</t>
  </si>
  <si>
    <t>restar ambos numero que no sean pares</t>
  </si>
  <si>
    <t>S13</t>
  </si>
  <si>
    <t>S14</t>
  </si>
  <si>
    <t>S15</t>
  </si>
  <si>
    <t>ROOT</t>
  </si>
  <si>
    <t>Lonjitud Media de Entrada</t>
  </si>
  <si>
    <t>Lonjitud Media de Salida</t>
  </si>
  <si>
    <t>Radio de Compresion</t>
  </si>
  <si>
    <t>HTREE</t>
  </si>
  <si>
    <t>HENT</t>
  </si>
  <si>
    <t>Entropia Entrada</t>
  </si>
  <si>
    <t>Entropia Arbol</t>
  </si>
  <si>
    <t>H</t>
  </si>
  <si>
    <t>Entropia</t>
  </si>
  <si>
    <t>BITS/RAMA</t>
  </si>
  <si>
    <t>BITS/CARÁCTER</t>
  </si>
  <si>
    <t>Arbol de Huffman Balanceado</t>
  </si>
  <si>
    <t>12,11</t>
  </si>
  <si>
    <t>11,11</t>
  </si>
  <si>
    <t>Debe ir primero el de mayor frecuencia</t>
  </si>
  <si>
    <t>6,6 - 6,5</t>
  </si>
  <si>
    <t>6,5 - 6,5</t>
  </si>
  <si>
    <t>RC es mejor en arbol jerarquico que arbol balanceado, este como mucho puede empatarlo</t>
  </si>
  <si>
    <t>Rama de Carácter Difuso</t>
  </si>
  <si>
    <t>6,5</t>
  </si>
  <si>
    <t>3,3 - 3,2</t>
  </si>
  <si>
    <t>2,1 - 2,1</t>
  </si>
  <si>
    <t>2,1 - 1,1</t>
  </si>
  <si>
    <t>1,1 - "-" --- u -t</t>
  </si>
  <si>
    <t>Facumulada</t>
  </si>
  <si>
    <t>"k-1" por eso no se suma el ultimo</t>
  </si>
  <si>
    <t>lk</t>
  </si>
  <si>
    <t>Frelativa</t>
  </si>
  <si>
    <t>Fraccion Diadica</t>
  </si>
  <si>
    <t>001</t>
  </si>
  <si>
    <t>000</t>
  </si>
  <si>
    <t>1000</t>
  </si>
  <si>
    <t>1001</t>
  </si>
  <si>
    <t>1010</t>
  </si>
  <si>
    <t>1011</t>
  </si>
  <si>
    <t>1100</t>
  </si>
  <si>
    <t>111000</t>
  </si>
  <si>
    <t>111001</t>
  </si>
  <si>
    <t>11101</t>
  </si>
  <si>
    <t>Fx</t>
  </si>
  <si>
    <t>lx</t>
  </si>
  <si>
    <t>Se usa Frelativa</t>
  </si>
  <si>
    <t>S1</t>
  </si>
  <si>
    <t>S2</t>
  </si>
  <si>
    <t>S3</t>
  </si>
  <si>
    <t>S4</t>
  </si>
  <si>
    <t>S5</t>
  </si>
  <si>
    <t>S6</t>
  </si>
  <si>
    <t>S7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</si>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</sst>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12" fontId="0" fillId="0" borderId="0" xfId="0" applyNumberFormat="1"/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291960</xdr:colOff>
      <xdr:row>11</xdr:row>
      <xdr:rowOff>20930</xdr:rowOff>
    </xdr:from>
    <xdr:to>
      <xdr:col>16</xdr:col>
      <xdr:colOff>557954</xdr:colOff>
      <xdr:row>16</xdr:row>
      <xdr:rowOff>12700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214EC205-7497-5F74-FBE4-746C178F6DA2}"/>
                </a:ext>
              </a:extLst>
            </xdr14:cNvPr>
            <xdr14:cNvContentPartPr/>
          </xdr14:nvContentPartPr>
          <xdr14:nvPr macro=""/>
          <xdr14:xfrm>
            <a:off x="10197960" y="2046580"/>
            <a:ext cx="2551994" cy="91252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214EC205-7497-5F74-FBE4-746C178F6D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191839" y="2040458"/>
              <a:ext cx="2564236" cy="9247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425310</xdr:colOff>
      <xdr:row>17</xdr:row>
      <xdr:rowOff>71730</xdr:rowOff>
    </xdr:from>
    <xdr:to>
      <xdr:col>13</xdr:col>
      <xdr:colOff>419100</xdr:colOff>
      <xdr:row>18</xdr:row>
      <xdr:rowOff>157829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E47EFD46-0093-4C01-9AC4-975AF31D87A1}"/>
                </a:ext>
              </a:extLst>
            </xdr14:cNvPr>
            <xdr14:cNvContentPartPr/>
          </xdr14:nvContentPartPr>
          <xdr14:nvPr macro=""/>
          <xdr14:xfrm>
            <a:off x="9569310" y="3202280"/>
            <a:ext cx="755790" cy="270249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E47EFD46-0093-4C01-9AC4-975AF31D87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563192" y="3196163"/>
              <a:ext cx="768027" cy="2824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412750</xdr:colOff>
      <xdr:row>17</xdr:row>
      <xdr:rowOff>38100</xdr:rowOff>
    </xdr:from>
    <xdr:to>
      <xdr:col>17</xdr:col>
      <xdr:colOff>407920</xdr:colOff>
      <xdr:row>18</xdr:row>
      <xdr:rowOff>124692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7DF1A24E-DEC3-49B2-A557-230FF700736B}"/>
                </a:ext>
              </a:extLst>
            </xdr14:cNvPr>
            <xdr14:cNvContentPartPr/>
          </xdr14:nvContentPartPr>
          <xdr14:nvPr macro=""/>
          <xdr14:xfrm>
            <a:off x="12604750" y="3168650"/>
            <a:ext cx="757170" cy="270742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7DF1A24E-DEC3-49B2-A557-230FF700736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598632" y="3162530"/>
              <a:ext cx="769406" cy="282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742810</xdr:colOff>
      <xdr:row>20</xdr:row>
      <xdr:rowOff>84430</xdr:rowOff>
    </xdr:from>
    <xdr:to>
      <xdr:col>11</xdr:col>
      <xdr:colOff>736600</xdr:colOff>
      <xdr:row>21</xdr:row>
      <xdr:rowOff>170529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E92265CE-FA96-4B7F-8354-5096491A31B1}"/>
                </a:ext>
              </a:extLst>
            </xdr14:cNvPr>
            <xdr14:cNvContentPartPr/>
          </xdr14:nvContentPartPr>
          <xdr14:nvPr macro=""/>
          <xdr14:xfrm>
            <a:off x="8362810" y="3767430"/>
            <a:ext cx="755790" cy="270249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E92265CE-FA96-4B7F-8354-5096491A31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356692" y="3761313"/>
              <a:ext cx="768027" cy="2824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381000</xdr:colOff>
      <xdr:row>20</xdr:row>
      <xdr:rowOff>50800</xdr:rowOff>
    </xdr:from>
    <xdr:to>
      <xdr:col>14</xdr:col>
      <xdr:colOff>374790</xdr:colOff>
      <xdr:row>21</xdr:row>
      <xdr:rowOff>136899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7130E023-2E27-4866-B5ED-48799EA22905}"/>
                </a:ext>
              </a:extLst>
            </xdr14:cNvPr>
            <xdr14:cNvContentPartPr/>
          </xdr14:nvContentPartPr>
          <xdr14:nvPr macro=""/>
          <xdr14:xfrm>
            <a:off x="10287000" y="3733800"/>
            <a:ext cx="755790" cy="270249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7130E023-2E27-4866-B5ED-48799EA2290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280882" y="3727683"/>
              <a:ext cx="768027" cy="28248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47:06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2560 24575,'18'-13'0,"0"-2"0,27-31 0,-5 5 0,965-913 0,-911 860 0,-58 56 0,1 1 0,2 3 0,84-59 0,46-21 0,2-4 0,-146 104 0,84-51 0,169-129 0,-229 156 0,3 4 0,83-44 0,-74 47 0,93-68 0,-136 88 0,0-1 0,1 3 0,34-15 0,-11 6 0,64-18 0,-89 33 0,-1 0 0,0-2 0,-2-1 0,2 0 0,-1 0 0,0-2 0,-1 0 0,0-2 0,0 2 0,24-24 0,-15 6 0,-15 16 0,0 0 0,1 0 0,0 2 0,1-2 0,0 3 0,0-2 0,-1 2 0,23-11 0,41-20 0,-58 28 0,1 1 0,0 1 0,30-10 0,-40 16 0,1 1 0,0-1 0,-2 2 0,2-1 0,0 1 0,0 0 0,0 1 0,-1-1 0,1 1 0,0 0 0,-1 1 0,1 0 0,11 6 0,11 9 0,0 1 0,0 2 0,-2 1 0,-1 1 0,28 30 0,33 27 0,152 112 0,-31-30 0,-110-83 0,-59-50 0,57 54 0,-55-42 0,1-3 0,3-1 0,85 51 0,-118-80 0,-3 1 0,2 1 0,-1 0 0,0 1 0,9 12 0,-11-12 0,0-2 0,0 2 0,1-2 0,0 0 0,1-1 0,0 0 0,11 6 0,271 159 0,-290-171 0,12 10 0,1-1 0,1-1 0,0 0 0,1-2 0,29 10 0,-32-12 0,0 1 0,0 1 0,0 0 0,-1 1 0,0 0 0,0 2 0,-1-1 0,-1 1 0,12 13 0,-5-7 0,0 0 0,39 25 0,19 7 0,-3 1 0,132 121 0,-186-152 0,0 0 0,1-2 0,1 0 0,0-2 0,29 14 0,-38-20 0,-1-1 0,-1 1 0,0 0 0,1 2 0,-1-1 0,-1 1 0,15 19 0,-15-17 0,0-1 0,1-1 0,0 1 0,1-2 0,0 1 0,0-2 0,15 9 0,8 5 0,-1 2 0,-1 1 0,57 57 0,-76-68 0,1-2 0,1 1 0,-1-3 0,2 1 0,-1-1 0,0 0 0,2-3 0,28 12 0,-37-16 0,-1 2 0,0-2 0,0 2 0,0-1 0,-1 2 0,0-2 0,1 2 0,-2-1 0,1 2 0,7 9 0,-7-9 0,0 0 0,0 0 0,0-1 0,1 1 0,0-1 0,0-1 0,1 0 0,10 6 0,35 15 0,63 42 0,-104-59 0,0 0 0,-1 1 0,12 13 0,-14-13 0,1 0 0,0-2 0,1 1 0,14 9 0,-6-8-1365,-2-1-5461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47:52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0 717 24575,'6'-4'0,"-1"0"0,8-9 0,-1 2 0,287-256 0,-271 240 0,-17 17 0,0-1 0,1 2 0,24-17 0,14-6 0,1-1 0,-43 29 0,24-14 0,51-37 0,-69 45 0,2 0 0,24-12 0,-22 13 0,28-18 0,-41 24 0,1-1 0,-1 2 0,11-5 0,-3 2 0,18-5 0,-26 9 0,0 0 0,0 0 0,-1-1 0,1 1 0,-1-1 0,1 0 0,-1-1 0,0 1 0,0-1 0,7-5 0,-4 0 0,-4 5 0,-1 0 0,1 1 0,-1-1 0,1 1 0,0 0 0,0-1 0,0 1 0,7-3 0,11-6 0,-16 9 0,-1-1 0,1 1 0,9-3 0,-12 4 0,0 1 0,0 0 0,0 0 0,0-1 0,0 1 0,0 0 0,0 0 0,0 1 0,0-1 0,0 0 0,0 1 0,-1-1 0,5 2 0,3 3 0,-1 0 0,1 1 0,-1 0 0,0 0 0,8 9 0,9 7 0,46 31 0,-9-8 0,-32-23 0,-19-14 0,18 15 0,-17-12 0,1-1 0,0 0 0,26 15 0,-36-23 0,0 0 0,0 1 0,0-1 0,0 1 0,3 3 0,-4-3 0,0-1 0,1 1 0,0-1 0,-1 0 0,1 0 0,0 0 0,3 2 0,81 44 0,-86-48 0,3 3 0,1 0 0,-1 0 0,1-1 0,0 0 0,9 3 0,-10-4 0,0 1 0,0 0 0,0 0 0,0 0 0,0 1 0,0-1 0,-1 1 0,1 0 0,3 3 0,-2-1 0,0-1 0,12 7 0,6 3 0,-1 0 0,39 33 0,-56-41 0,1-2 0,0 1 0,0-1 0,0 0 0,9 4 0,-11-6 0,-1 0 0,0 1 0,0-1 0,0 0 0,0 1 0,0 0 0,4 5 0,-4-5 0,0 0 0,-1 0 0,2 0 0,-1 0 0,0-1 0,0 1 0,5 2 0,2 1 0,0 0 0,0 2 0,16 15 0,-22-20 0,0 1 0,0-1 0,1 0 0,-1 0 0,1 0 0,-1 0 0,1-1 0,9 3 0,-12-4 0,0 0 0,0 0 0,0 1 0,0-1 0,0 0 0,0 1 0,0-1 0,0 1 0,-1-1 0,3 4 0,-2-3 0,0 0 0,-1 0 0,1 0 0,0 0 0,0-1 0,1 1 0,-1-1 0,3 2 0,11 5 0,19 11 0,-32-17 0,0 0 0,1 1 0,3 4 0,-4-4 0,0-1 0,0 1 0,0-1 0,4 3 0,-1-2-1365,-1-1-5461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47:56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0 718 24575,'6'-4'0,"-1"0"0,8-8 0,-1 0 0,288-256 0,-272 242 0,-17 15 0,0 1 0,0 0 0,26-16 0,13-6 0,1-1 0,-43 29 0,24-14 0,51-37 0,-68 45 0,0 0 0,25-11 0,-22 12 0,28-19 0,-40 25 0,-1 0 0,1 0 0,10-4 0,-4 2 0,20-5 0,-27 9 0,-1 0 0,1 0 0,0 0 0,-1-1 0,1 0 0,-1 0 0,1-1 0,-1 1 0,0-1 0,7-5 0,-4 0 0,-5 5 0,1 1 0,-1-1 0,1 0 0,0 1 0,0 0 0,0-1 0,0 1 0,6-3 0,13-5 0,-17 7 0,-1 0 0,1 1 0,9-3 0,-12 4 0,0 1 0,-1 0 0,1 0 0,0-1 0,1 1 0,-1 0 0,0 0 0,0 1 0,0-1 0,-1 0 0,1 1 0,0-1 0,4 2 0,2 3 0,1 0 0,0 1 0,-1 0 0,0 0 0,8 9 0,10 7 0,45 31 0,-9-7 0,-33-25 0,-17-13 0,16 15 0,-16-12 0,1 0 0,0-1 0,26 14 0,-36-22 0,1 1 0,-1-1 0,0 1 0,0-1 0,2 5 0,-2-5 0,-1 1 0,1-1 0,-1 1 0,1-1 0,0 0 0,0 0 0,3 2 0,81 44 0,-87-48 0,5 3 0,-1 0 0,1-1 0,0 1 0,0-1 0,8 3 0,-8-4 0,-1 1 0,0 0 0,0 0 0,0 0 0,0 0 0,0 1 0,-1 0 0,1-1 0,3 5 0,-2-3 0,0 1 0,12 6 0,6 2 0,-1 2 0,39 32 0,-55-42 0,-1 0 0,1 0 0,0-1 0,1 0 0,7 4 0,-10-6 0,-1 0 0,0 1 0,1-1 0,-1 0 0,0 1 0,-1 0 0,6 5 0,-6-5 0,1 0 0,0 0 0,0 0 0,0 0 0,0 0 0,1-1 0,3 3 0,3 1 0,0 1 0,0 0 0,16 16 0,-22-20 0,0 1 0,1-1 0,-1 1 0,1-2 0,-1 1 0,1 0 0,0-1 0,8 3 0,-10-4 0,-1 0 0,0 1 0,0-1 0,0 0 0,0 0 0,0 1 0,-1-1 0,1 1 0,0 0 0,2 2 0,-3-2 0,1 0 0,0 0 0,0 0 0,0 0 0,0-1 0,0 1 0,0-1 0,4 3 0,10 3 0,18 12 0,-30-17 0,-1 1 0,0-1 0,5 5 0,-5-4 0,-1 0 0,1-1 0,1 1 0,3 1 0,-1-1-1365,-1 0-5461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48:53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0 717 24575,'6'-4'0,"-1"0"0,8-9 0,-1 2 0,287-256 0,-271 240 0,-17 17 0,0-1 0,1 2 0,24-17 0,14-6 0,1-1 0,-43 29 0,24-14 0,51-37 0,-69 45 0,2 0 0,24-12 0,-22 13 0,28-18 0,-41 24 0,1-1 0,-1 2 0,11-5 0,-3 2 0,18-5 0,-26 9 0,0 0 0,0 0 0,-1-1 0,1 1 0,-1-1 0,1 0 0,-1-1 0,0 1 0,0-1 0,7-5 0,-4 0 0,-4 5 0,-1 0 0,1 1 0,-1-1 0,1 1 0,0 0 0,0-1 0,0 1 0,7-3 0,11-6 0,-16 9 0,-1-1 0,1 1 0,9-3 0,-12 4 0,0 1 0,0 0 0,0 0 0,0-1 0,0 1 0,0 0 0,0 0 0,0 1 0,0-1 0,0 0 0,0 1 0,-1-1 0,5 2 0,3 3 0,-1 0 0,1 1 0,-1 0 0,0 0 0,8 9 0,9 7 0,46 31 0,-9-8 0,-32-23 0,-19-14 0,18 15 0,-17-12 0,1-1 0,0 0 0,26 15 0,-36-23 0,0 0 0,0 1 0,0-1 0,0 1 0,3 3 0,-4-3 0,0-1 0,1 1 0,0-1 0,-1 0 0,1 0 0,0 0 0,3 2 0,81 44 0,-86-48 0,3 3 0,1 0 0,-1 0 0,1-1 0,0 0 0,9 3 0,-10-4 0,0 1 0,0 0 0,0 0 0,0 0 0,0 1 0,0-1 0,-1 1 0,1 0 0,3 3 0,-2-1 0,0-1 0,12 7 0,6 3 0,-1 0 0,39 33 0,-56-41 0,1-2 0,0 1 0,0-1 0,0 0 0,9 4 0,-11-6 0,-1 0 0,0 1 0,0-1 0,0 0 0,0 1 0,0 0 0,4 5 0,-4-5 0,0 0 0,-1 0 0,2 0 0,-1 0 0,0-1 0,0 1 0,5 2 0,2 1 0,0 0 0,0 2 0,16 15 0,-22-20 0,0 1 0,0-1 0,1 0 0,-1 0 0,1 0 0,-1 0 0,1-1 0,9 3 0,-12-4 0,0 0 0,0 0 0,0 1 0,0-1 0,0 0 0,0 1 0,0-1 0,0 1 0,-1-1 0,3 4 0,-2-3 0,0 0 0,-1 0 0,1 0 0,0 0 0,0-1 0,1 1 0,-1-1 0,3 2 0,11 5 0,19 11 0,-32-17 0,0 0 0,1 1 0,3 4 0,-4-4 0,0-1 0,0 1 0,0-1 0,4 3 0,-1-2-1365,-1-1-5461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50:13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0 717 24575,'6'-4'0,"-1"0"0,8-9 0,-1 2 0,287-256 0,-271 240 0,-17 17 0,0-1 0,1 2 0,24-17 0,14-6 0,1-1 0,-43 29 0,24-14 0,51-37 0,-69 45 0,2 0 0,24-12 0,-22 13 0,28-18 0,-41 24 0,1-1 0,-1 2 0,11-5 0,-3 2 0,18-5 0,-26 9 0,0 0 0,0 0 0,-1-1 0,1 1 0,-1-1 0,1 0 0,-1-1 0,0 1 0,0-1 0,7-5 0,-4 0 0,-4 5 0,-1 0 0,1 1 0,-1-1 0,1 1 0,0 0 0,0-1 0,0 1 0,7-3 0,11-6 0,-16 9 0,-1-1 0,1 1 0,9-3 0,-12 4 0,0 1 0,0 0 0,0 0 0,0-1 0,0 1 0,0 0 0,0 0 0,0 1 0,0-1 0,0 0 0,0 1 0,-1-1 0,5 2 0,3 3 0,-1 0 0,1 1 0,-1 0 0,0 0 0,8 9 0,9 7 0,46 31 0,-9-8 0,-32-23 0,-19-14 0,18 15 0,-17-12 0,1-1 0,0 0 0,26 15 0,-36-23 0,0 0 0,0 1 0,0-1 0,0 1 0,3 3 0,-4-3 0,0-1 0,1 1 0,0-1 0,-1 0 0,1 0 0,0 0 0,3 2 0,81 44 0,-86-48 0,3 3 0,1 0 0,-1 0 0,1-1 0,0 0 0,9 3 0,-10-4 0,0 1 0,0 0 0,0 0 0,0 0 0,0 1 0,0-1 0,-1 1 0,1 0 0,3 3 0,-2-1 0,0-1 0,12 7 0,6 3 0,-1 0 0,39 33 0,-56-41 0,1-2 0,0 1 0,0-1 0,0 0 0,9 4 0,-11-6 0,-1 0 0,0 1 0,0-1 0,0 0 0,0 1 0,0 0 0,4 5 0,-4-5 0,0 0 0,-1 0 0,2 0 0,-1 0 0,0-1 0,0 1 0,5 2 0,2 1 0,0 0 0,0 2 0,16 15 0,-22-20 0,0 1 0,0-1 0,1 0 0,-1 0 0,1 0 0,-1 0 0,1-1 0,9 3 0,-12-4 0,0 0 0,0 0 0,0 1 0,0-1 0,0 0 0,0 1 0,0-1 0,0 1 0,-1-1 0,3 4 0,-2-3 0,0 0 0,-1 0 0,1 0 0,0 0 0,0-1 0,1 1 0,-1-1 0,3 2 0,11 5 0,19 11 0,-32-17 0,0 0 0,1 1 0,3 4 0,-4-4 0,0-1 0,0 1 0,0-1 0,4 3 0,-1-2-1365,-1-1-5461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AB1E-8478-42B2-8B49-EFDDE88CE6AB}">
  <dimension ref="A1:A11"/>
  <sheetViews>
    <sheetView workbookViewId="0">
      <selection activeCell="A11" sqref="A11"/>
    </sheetView>
  </sheetViews>
  <sheetFormatPr baseColWidth="10" defaultRowHeight="15" x14ac:dyDescent="0.25"/>
  <cols>
    <col min="1" max="1" width="50.570312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3</v>
      </c>
    </row>
    <row r="9" spans="1:1" x14ac:dyDescent="0.25">
      <c r="A9" t="s">
        <v>4</v>
      </c>
    </row>
    <row r="11" spans="1:1" x14ac:dyDescent="0.25">
      <c r="A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5845-3040-4F2F-9522-DABF4F0E8A28}">
  <dimension ref="A1:BQ46"/>
  <sheetViews>
    <sheetView tabSelected="1" workbookViewId="0">
      <selection activeCell="H30" sqref="H30"/>
    </sheetView>
  </sheetViews>
  <sheetFormatPr baseColWidth="10" defaultRowHeight="15" x14ac:dyDescent="0.25"/>
  <cols>
    <col min="1" max="1" width="28.140625" bestFit="1" customWidth="1"/>
    <col min="3" max="3" width="12.28515625" bestFit="1" customWidth="1"/>
    <col min="4" max="4" width="11.85546875" bestFit="1" customWidth="1"/>
  </cols>
  <sheetData>
    <row r="1" spans="1:69" x14ac:dyDescent="0.25">
      <c r="A1" t="s">
        <v>7</v>
      </c>
      <c r="E1" t="s">
        <v>26</v>
      </c>
    </row>
    <row r="2" spans="1:69" x14ac:dyDescent="0.25">
      <c r="A2" t="s">
        <v>8</v>
      </c>
    </row>
    <row r="4" spans="1:69" x14ac:dyDescent="0.25">
      <c r="B4" t="s">
        <v>10</v>
      </c>
      <c r="C4">
        <v>6</v>
      </c>
      <c r="D4">
        <f>C4/C$21</f>
        <v>0.13333333333333333</v>
      </c>
      <c r="E4">
        <f>-D4*LOG(D4,2)</f>
        <v>0.3875854127478025</v>
      </c>
      <c r="F4">
        <v>3</v>
      </c>
      <c r="H4" t="s">
        <v>10</v>
      </c>
      <c r="I4">
        <v>0.13333333333333333</v>
      </c>
      <c r="L4" t="s">
        <v>10</v>
      </c>
      <c r="M4">
        <v>0.13333333333333333</v>
      </c>
      <c r="P4" t="s">
        <v>10</v>
      </c>
      <c r="Q4">
        <v>0.13333333333333333</v>
      </c>
      <c r="T4" t="s">
        <v>10</v>
      </c>
      <c r="U4">
        <v>0.13333333333333333</v>
      </c>
      <c r="X4" t="s">
        <v>10</v>
      </c>
      <c r="Y4">
        <v>0.13333333333333333</v>
      </c>
      <c r="AB4" t="s">
        <v>10</v>
      </c>
      <c r="AC4">
        <v>0.13333333333333333</v>
      </c>
      <c r="AF4" t="s">
        <v>10</v>
      </c>
      <c r="AG4">
        <v>0.13333333333333333</v>
      </c>
      <c r="AJ4" t="s">
        <v>10</v>
      </c>
      <c r="AK4">
        <v>0.13333333333333333</v>
      </c>
      <c r="AN4" t="s">
        <v>51</v>
      </c>
      <c r="AO4">
        <v>0.15555555555555556</v>
      </c>
      <c r="AR4" t="s">
        <v>51</v>
      </c>
      <c r="AS4">
        <v>0.15555555555555556</v>
      </c>
      <c r="AV4" t="s">
        <v>106</v>
      </c>
      <c r="AW4">
        <v>0.17777777777777778</v>
      </c>
      <c r="AZ4" t="s">
        <v>106</v>
      </c>
      <c r="BA4">
        <v>0.17777777777777778</v>
      </c>
      <c r="BD4" t="s">
        <v>109</v>
      </c>
      <c r="BE4">
        <v>0.35555555555555551</v>
      </c>
      <c r="BH4" t="s">
        <v>109</v>
      </c>
      <c r="BI4">
        <v>0.35555555555555551</v>
      </c>
      <c r="BL4" t="s">
        <v>54</v>
      </c>
      <c r="BM4">
        <v>0.35555555555555557</v>
      </c>
      <c r="BP4" t="s">
        <v>55</v>
      </c>
      <c r="BQ4">
        <v>0.64444444444444438</v>
      </c>
    </row>
    <row r="5" spans="1:69" x14ac:dyDescent="0.25">
      <c r="B5" t="s">
        <v>19</v>
      </c>
      <c r="C5">
        <v>1</v>
      </c>
      <c r="D5">
        <f t="shared" ref="D5:D20" si="0">C5/C$21</f>
        <v>2.2222222222222223E-2</v>
      </c>
      <c r="E5">
        <f t="shared" ref="E5:E20" si="1">-D5*LOG(D5,2)</f>
        <v>0.12204117991843723</v>
      </c>
      <c r="F5">
        <v>5</v>
      </c>
      <c r="H5" t="s">
        <v>20</v>
      </c>
      <c r="I5">
        <v>0.1111111111111111</v>
      </c>
      <c r="L5" t="s">
        <v>20</v>
      </c>
      <c r="M5">
        <v>0.1111111111111111</v>
      </c>
      <c r="P5" t="s">
        <v>20</v>
      </c>
      <c r="Q5">
        <v>0.1111111111111111</v>
      </c>
      <c r="T5" t="s">
        <v>20</v>
      </c>
      <c r="U5">
        <v>0.1111111111111111</v>
      </c>
      <c r="X5" t="s">
        <v>20</v>
      </c>
      <c r="Y5">
        <v>0.1111111111111111</v>
      </c>
      <c r="AB5" t="s">
        <v>20</v>
      </c>
      <c r="AC5">
        <v>0.1111111111111111</v>
      </c>
      <c r="AF5" t="s">
        <v>20</v>
      </c>
      <c r="AG5">
        <v>0.1111111111111111</v>
      </c>
      <c r="AJ5" t="s">
        <v>105</v>
      </c>
      <c r="AK5">
        <v>0.13333333333333333</v>
      </c>
      <c r="AN5" t="s">
        <v>10</v>
      </c>
      <c r="AO5">
        <v>0.13333333333333333</v>
      </c>
      <c r="AR5" t="s">
        <v>106</v>
      </c>
      <c r="AS5">
        <v>0.17777777777777778</v>
      </c>
      <c r="AV5" t="s">
        <v>107</v>
      </c>
      <c r="AW5">
        <v>0.17777777777777778</v>
      </c>
      <c r="AZ5" t="s">
        <v>107</v>
      </c>
      <c r="BA5">
        <v>0.17777777777777778</v>
      </c>
      <c r="BD5" t="s">
        <v>106</v>
      </c>
      <c r="BE5">
        <v>0.17777777777777778</v>
      </c>
      <c r="BH5" t="s">
        <v>53</v>
      </c>
      <c r="BI5">
        <v>0.28888888888888886</v>
      </c>
      <c r="BL5" t="s">
        <v>109</v>
      </c>
      <c r="BM5">
        <v>0.35555555555555551</v>
      </c>
      <c r="BN5" t="s">
        <v>55</v>
      </c>
      <c r="BO5">
        <f>BM5+BM6</f>
        <v>0.64444444444444438</v>
      </c>
      <c r="BP5" t="s">
        <v>54</v>
      </c>
      <c r="BQ5">
        <v>0.35555555555555557</v>
      </c>
    </row>
    <row r="6" spans="1:69" x14ac:dyDescent="0.25">
      <c r="B6" t="s">
        <v>12</v>
      </c>
      <c r="C6">
        <v>2</v>
      </c>
      <c r="D6">
        <f t="shared" si="0"/>
        <v>4.4444444444444446E-2</v>
      </c>
      <c r="E6">
        <f t="shared" si="1"/>
        <v>0.19963791539243</v>
      </c>
      <c r="F6">
        <v>5</v>
      </c>
      <c r="H6" t="s">
        <v>17</v>
      </c>
      <c r="I6">
        <v>0.1111111111111111</v>
      </c>
      <c r="L6" t="s">
        <v>17</v>
      </c>
      <c r="M6">
        <v>0.1111111111111111</v>
      </c>
      <c r="P6" t="s">
        <v>17</v>
      </c>
      <c r="Q6">
        <v>0.1111111111111111</v>
      </c>
      <c r="T6" t="s">
        <v>17</v>
      </c>
      <c r="U6">
        <v>0.1111111111111111</v>
      </c>
      <c r="X6" t="s">
        <v>17</v>
      </c>
      <c r="Y6">
        <v>0.1111111111111111</v>
      </c>
      <c r="AB6" t="s">
        <v>17</v>
      </c>
      <c r="AC6">
        <v>0.1111111111111111</v>
      </c>
      <c r="AF6" t="s">
        <v>17</v>
      </c>
      <c r="AG6">
        <v>0.1111111111111111</v>
      </c>
      <c r="AJ6" t="s">
        <v>20</v>
      </c>
      <c r="AK6">
        <v>0.1111111111111111</v>
      </c>
      <c r="AN6" t="s">
        <v>105</v>
      </c>
      <c r="AO6">
        <v>0.13333333333333333</v>
      </c>
      <c r="AR6" t="s">
        <v>10</v>
      </c>
      <c r="AS6">
        <v>0.13333333333333333</v>
      </c>
      <c r="AV6" t="s">
        <v>51</v>
      </c>
      <c r="AW6">
        <v>0.15555555555555556</v>
      </c>
      <c r="AZ6" t="s">
        <v>51</v>
      </c>
      <c r="BA6">
        <v>0.15555555555555556</v>
      </c>
      <c r="BD6" t="s">
        <v>107</v>
      </c>
      <c r="BE6">
        <v>0.17777777777777778</v>
      </c>
      <c r="BH6" t="s">
        <v>106</v>
      </c>
      <c r="BI6">
        <v>0.17777777777777778</v>
      </c>
      <c r="BJ6" t="s">
        <v>54</v>
      </c>
      <c r="BK6">
        <f>BI6+BI7</f>
        <v>0.35555555555555557</v>
      </c>
      <c r="BL6" t="s">
        <v>53</v>
      </c>
      <c r="BM6">
        <v>0.28888888888888886</v>
      </c>
    </row>
    <row r="7" spans="1:69" x14ac:dyDescent="0.25">
      <c r="B7" t="s">
        <v>15</v>
      </c>
      <c r="C7">
        <v>3</v>
      </c>
      <c r="D7">
        <f t="shared" si="0"/>
        <v>6.6666666666666666E-2</v>
      </c>
      <c r="E7">
        <f t="shared" si="1"/>
        <v>0.26045937304056793</v>
      </c>
      <c r="F7">
        <v>4</v>
      </c>
      <c r="H7" t="s">
        <v>16</v>
      </c>
      <c r="I7">
        <v>8.8888888888888892E-2</v>
      </c>
      <c r="L7" t="s">
        <v>16</v>
      </c>
      <c r="M7">
        <v>8.8888888888888892E-2</v>
      </c>
      <c r="P7" t="s">
        <v>16</v>
      </c>
      <c r="Q7">
        <v>8.8888888888888892E-2</v>
      </c>
      <c r="T7" t="s">
        <v>16</v>
      </c>
      <c r="U7">
        <v>8.8888888888888892E-2</v>
      </c>
      <c r="X7" t="s">
        <v>16</v>
      </c>
      <c r="Y7">
        <v>8.8888888888888892E-2</v>
      </c>
      <c r="AB7" t="s">
        <v>16</v>
      </c>
      <c r="AC7">
        <v>8.8888888888888892E-2</v>
      </c>
      <c r="AF7" t="s">
        <v>16</v>
      </c>
      <c r="AG7">
        <v>8.8888888888888892E-2</v>
      </c>
      <c r="AJ7" t="s">
        <v>17</v>
      </c>
      <c r="AK7">
        <v>0.1111111111111111</v>
      </c>
      <c r="AN7" t="s">
        <v>20</v>
      </c>
      <c r="AO7">
        <v>0.1111111111111111</v>
      </c>
      <c r="AR7" t="s">
        <v>105</v>
      </c>
      <c r="AS7">
        <v>0.13333333333333333</v>
      </c>
      <c r="AV7" t="s">
        <v>10</v>
      </c>
      <c r="AW7">
        <v>0.13333333333333333</v>
      </c>
      <c r="AZ7" t="s">
        <v>10</v>
      </c>
      <c r="BA7">
        <v>0.13333333333333333</v>
      </c>
      <c r="BD7" t="s">
        <v>51</v>
      </c>
      <c r="BE7">
        <v>0.15555555555555556</v>
      </c>
      <c r="BF7" t="s">
        <v>53</v>
      </c>
      <c r="BG7">
        <f>BE7+BE8</f>
        <v>0.28888888888888886</v>
      </c>
      <c r="BH7" t="s">
        <v>107</v>
      </c>
      <c r="BI7">
        <v>0.17777777777777778</v>
      </c>
    </row>
    <row r="8" spans="1:69" x14ac:dyDescent="0.25">
      <c r="B8" t="s">
        <v>20</v>
      </c>
      <c r="C8">
        <v>5</v>
      </c>
      <c r="D8">
        <f t="shared" si="0"/>
        <v>0.1111111111111111</v>
      </c>
      <c r="E8">
        <f t="shared" si="1"/>
        <v>0.3522138890491458</v>
      </c>
      <c r="F8">
        <v>3</v>
      </c>
      <c r="H8" t="s">
        <v>14</v>
      </c>
      <c r="I8">
        <v>8.8888888888888892E-2</v>
      </c>
      <c r="L8" t="s">
        <v>14</v>
      </c>
      <c r="M8">
        <v>8.8888888888888892E-2</v>
      </c>
      <c r="P8" t="s">
        <v>14</v>
      </c>
      <c r="Q8">
        <v>8.8888888888888892E-2</v>
      </c>
      <c r="T8" t="s">
        <v>14</v>
      </c>
      <c r="U8">
        <v>8.8888888888888892E-2</v>
      </c>
      <c r="X8" t="s">
        <v>14</v>
      </c>
      <c r="Y8">
        <v>8.8888888888888892E-2</v>
      </c>
      <c r="AB8" t="s">
        <v>14</v>
      </c>
      <c r="AC8">
        <v>8.8888888888888892E-2</v>
      </c>
      <c r="AF8" t="s">
        <v>14</v>
      </c>
      <c r="AG8">
        <v>8.8888888888888892E-2</v>
      </c>
      <c r="AJ8" t="s">
        <v>16</v>
      </c>
      <c r="AK8">
        <v>8.8888888888888892E-2</v>
      </c>
      <c r="AN8" t="s">
        <v>17</v>
      </c>
      <c r="AO8">
        <v>0.1111111111111111</v>
      </c>
      <c r="AR8" t="s">
        <v>20</v>
      </c>
      <c r="AS8">
        <v>0.1111111111111111</v>
      </c>
      <c r="AV8" t="s">
        <v>105</v>
      </c>
      <c r="AW8">
        <v>0.13333333333333333</v>
      </c>
      <c r="AZ8" t="s">
        <v>105</v>
      </c>
      <c r="BA8">
        <v>0.13333333333333333</v>
      </c>
      <c r="BB8" t="s">
        <v>109</v>
      </c>
      <c r="BC8">
        <f>BA9+BA8</f>
        <v>0.35555555555555551</v>
      </c>
      <c r="BD8" t="s">
        <v>10</v>
      </c>
      <c r="BE8">
        <v>0.13333333333333333</v>
      </c>
    </row>
    <row r="9" spans="1:69" x14ac:dyDescent="0.25">
      <c r="B9" t="s">
        <v>21</v>
      </c>
      <c r="C9">
        <v>1</v>
      </c>
      <c r="D9">
        <f t="shared" si="0"/>
        <v>2.2222222222222223E-2</v>
      </c>
      <c r="E9">
        <f t="shared" si="1"/>
        <v>0.12204117991843723</v>
      </c>
      <c r="F9">
        <v>5</v>
      </c>
      <c r="H9" t="s">
        <v>15</v>
      </c>
      <c r="I9">
        <v>6.6666666666666666E-2</v>
      </c>
      <c r="L9" t="s">
        <v>15</v>
      </c>
      <c r="M9">
        <v>6.6666666666666666E-2</v>
      </c>
      <c r="P9" t="s">
        <v>15</v>
      </c>
      <c r="Q9">
        <v>6.6666666666666666E-2</v>
      </c>
      <c r="T9" t="s">
        <v>15</v>
      </c>
      <c r="U9">
        <v>6.6666666666666666E-2</v>
      </c>
      <c r="X9" t="s">
        <v>102</v>
      </c>
      <c r="Y9">
        <v>8.8888888888888892E-2</v>
      </c>
      <c r="AB9" t="s">
        <v>102</v>
      </c>
      <c r="AC9">
        <v>8.8888888888888892E-2</v>
      </c>
      <c r="AF9" t="s">
        <v>102</v>
      </c>
      <c r="AG9">
        <v>8.8888888888888892E-2</v>
      </c>
      <c r="AJ9" t="s">
        <v>14</v>
      </c>
      <c r="AK9">
        <v>8.8888888888888892E-2</v>
      </c>
      <c r="AN9" t="s">
        <v>16</v>
      </c>
      <c r="AO9">
        <v>8.8888888888888892E-2</v>
      </c>
      <c r="AR9" t="s">
        <v>17</v>
      </c>
      <c r="AS9">
        <v>0.1111111111111111</v>
      </c>
      <c r="AV9" t="s">
        <v>20</v>
      </c>
      <c r="AW9">
        <v>0.1111111111111111</v>
      </c>
      <c r="AX9" t="s">
        <v>108</v>
      </c>
      <c r="AY9">
        <f>AW9+AW10</f>
        <v>0.22222222222222221</v>
      </c>
      <c r="AZ9" t="s">
        <v>108</v>
      </c>
      <c r="BA9">
        <v>0.22222222222222221</v>
      </c>
    </row>
    <row r="10" spans="1:69" x14ac:dyDescent="0.25">
      <c r="B10" t="s">
        <v>16</v>
      </c>
      <c r="C10">
        <v>4</v>
      </c>
      <c r="D10">
        <f t="shared" si="0"/>
        <v>8.8888888888888892E-2</v>
      </c>
      <c r="E10">
        <f t="shared" si="1"/>
        <v>0.31038694189597116</v>
      </c>
      <c r="F10">
        <v>4</v>
      </c>
      <c r="H10" t="s">
        <v>9</v>
      </c>
      <c r="I10">
        <v>6.6666666666666666E-2</v>
      </c>
      <c r="L10" t="s">
        <v>9</v>
      </c>
      <c r="M10">
        <v>6.6666666666666666E-2</v>
      </c>
      <c r="P10" t="s">
        <v>9</v>
      </c>
      <c r="Q10">
        <v>6.6666666666666666E-2</v>
      </c>
      <c r="T10" t="s">
        <v>9</v>
      </c>
      <c r="U10">
        <v>6.6666666666666666E-2</v>
      </c>
      <c r="X10" t="s">
        <v>15</v>
      </c>
      <c r="Y10">
        <v>6.6666666666666666E-2</v>
      </c>
      <c r="AB10" t="s">
        <v>103</v>
      </c>
      <c r="AC10">
        <v>8.8888888888888892E-2</v>
      </c>
      <c r="AF10" t="s">
        <v>103</v>
      </c>
      <c r="AG10">
        <v>8.8888888888888892E-2</v>
      </c>
      <c r="AJ10" t="s">
        <v>102</v>
      </c>
      <c r="AK10">
        <v>8.8888888888888892E-2</v>
      </c>
      <c r="AN10" t="s">
        <v>14</v>
      </c>
      <c r="AO10">
        <v>8.8888888888888892E-2</v>
      </c>
      <c r="AR10" t="s">
        <v>16</v>
      </c>
      <c r="AS10">
        <v>8.8888888888888892E-2</v>
      </c>
      <c r="AT10" t="s">
        <v>107</v>
      </c>
      <c r="AU10">
        <f>AS10+AS11</f>
        <v>0.17777777777777778</v>
      </c>
      <c r="AV10" t="s">
        <v>17</v>
      </c>
      <c r="AW10">
        <v>0.1111111111111111</v>
      </c>
    </row>
    <row r="11" spans="1:69" x14ac:dyDescent="0.25">
      <c r="B11" t="s">
        <v>22</v>
      </c>
      <c r="C11">
        <v>2</v>
      </c>
      <c r="D11">
        <f t="shared" si="0"/>
        <v>4.4444444444444446E-2</v>
      </c>
      <c r="E11">
        <f t="shared" si="1"/>
        <v>0.19963791539243</v>
      </c>
      <c r="F11">
        <v>5</v>
      </c>
      <c r="H11" t="s">
        <v>13</v>
      </c>
      <c r="I11">
        <v>6.6666666666666666E-2</v>
      </c>
      <c r="L11" t="s">
        <v>13</v>
      </c>
      <c r="M11">
        <v>6.6666666666666666E-2</v>
      </c>
      <c r="P11" t="s">
        <v>13</v>
      </c>
      <c r="Q11">
        <v>6.6666666666666666E-2</v>
      </c>
      <c r="T11" t="s">
        <v>13</v>
      </c>
      <c r="U11">
        <v>6.6666666666666666E-2</v>
      </c>
      <c r="X11" t="s">
        <v>9</v>
      </c>
      <c r="Y11">
        <v>6.6666666666666666E-2</v>
      </c>
      <c r="AB11" t="s">
        <v>15</v>
      </c>
      <c r="AC11">
        <v>6.6666666666666666E-2</v>
      </c>
      <c r="AF11" t="s">
        <v>104</v>
      </c>
      <c r="AG11">
        <v>8.8888888888888892E-2</v>
      </c>
      <c r="AJ11" t="s">
        <v>103</v>
      </c>
      <c r="AK11">
        <v>8.8888888888888892E-2</v>
      </c>
      <c r="AN11" t="s">
        <v>102</v>
      </c>
      <c r="AO11">
        <v>8.8888888888888892E-2</v>
      </c>
      <c r="AP11" t="s">
        <v>106</v>
      </c>
      <c r="AQ11">
        <f>AO11+AO12</f>
        <v>0.17777777777777778</v>
      </c>
      <c r="AR11" t="s">
        <v>14</v>
      </c>
      <c r="AS11">
        <v>8.8888888888888892E-2</v>
      </c>
    </row>
    <row r="12" spans="1:69" x14ac:dyDescent="0.25">
      <c r="B12" t="s">
        <v>23</v>
      </c>
      <c r="C12">
        <v>1</v>
      </c>
      <c r="D12">
        <f t="shared" si="0"/>
        <v>2.2222222222222223E-2</v>
      </c>
      <c r="E12">
        <f t="shared" si="1"/>
        <v>0.12204117991843723</v>
      </c>
      <c r="F12">
        <v>5</v>
      </c>
      <c r="H12" t="s">
        <v>12</v>
      </c>
      <c r="I12">
        <v>4.4444444444444446E-2</v>
      </c>
      <c r="L12" t="s">
        <v>12</v>
      </c>
      <c r="M12">
        <v>4.4444444444444446E-2</v>
      </c>
      <c r="P12" t="s">
        <v>12</v>
      </c>
      <c r="Q12">
        <v>4.4444444444444446E-2</v>
      </c>
      <c r="T12" t="s">
        <v>12</v>
      </c>
      <c r="U12">
        <v>4.4444444444444446E-2</v>
      </c>
      <c r="X12" t="s">
        <v>13</v>
      </c>
      <c r="Y12">
        <v>6.6666666666666666E-2</v>
      </c>
      <c r="AB12" t="s">
        <v>9</v>
      </c>
      <c r="AC12">
        <v>6.6666666666666666E-2</v>
      </c>
      <c r="AF12" t="s">
        <v>15</v>
      </c>
      <c r="AG12">
        <v>6.6666666666666666E-2</v>
      </c>
      <c r="AJ12" t="s">
        <v>104</v>
      </c>
      <c r="AK12">
        <v>8.8888888888888892E-2</v>
      </c>
      <c r="AL12" t="s">
        <v>51</v>
      </c>
      <c r="AM12">
        <f>AK12+AK13</f>
        <v>0.15555555555555556</v>
      </c>
      <c r="AN12" t="s">
        <v>103</v>
      </c>
      <c r="AO12">
        <v>8.8888888888888892E-2</v>
      </c>
    </row>
    <row r="13" spans="1:69" x14ac:dyDescent="0.25">
      <c r="B13" t="s">
        <v>9</v>
      </c>
      <c r="C13">
        <v>3</v>
      </c>
      <c r="D13">
        <f t="shared" si="0"/>
        <v>6.6666666666666666E-2</v>
      </c>
      <c r="E13">
        <f t="shared" si="1"/>
        <v>0.26045937304056793</v>
      </c>
      <c r="F13">
        <v>4</v>
      </c>
      <c r="H13" t="s">
        <v>22</v>
      </c>
      <c r="I13">
        <v>4.4444444444444446E-2</v>
      </c>
      <c r="L13" t="s">
        <v>22</v>
      </c>
      <c r="M13">
        <v>4.4444444444444446E-2</v>
      </c>
      <c r="P13" t="s">
        <v>22</v>
      </c>
      <c r="Q13">
        <v>4.4444444444444446E-2</v>
      </c>
      <c r="T13" t="s">
        <v>22</v>
      </c>
      <c r="U13">
        <v>4.4444444444444446E-2</v>
      </c>
      <c r="X13" t="s">
        <v>12</v>
      </c>
      <c r="Y13">
        <v>4.4444444444444446E-2</v>
      </c>
      <c r="AB13" t="s">
        <v>13</v>
      </c>
      <c r="AC13">
        <v>6.6666666666666666E-2</v>
      </c>
      <c r="AF13" t="s">
        <v>9</v>
      </c>
      <c r="AG13">
        <v>6.6666666666666666E-2</v>
      </c>
      <c r="AH13" t="s">
        <v>105</v>
      </c>
      <c r="AI13">
        <f>AG13+AG14</f>
        <v>0.13333333333333333</v>
      </c>
      <c r="AJ13" t="s">
        <v>15</v>
      </c>
      <c r="AK13">
        <v>6.6666666666666666E-2</v>
      </c>
    </row>
    <row r="14" spans="1:69" x14ac:dyDescent="0.25">
      <c r="B14" t="s">
        <v>13</v>
      </c>
      <c r="C14">
        <v>3</v>
      </c>
      <c r="D14">
        <f t="shared" si="0"/>
        <v>6.6666666666666666E-2</v>
      </c>
      <c r="E14">
        <f t="shared" si="1"/>
        <v>0.26045937304056793</v>
      </c>
      <c r="F14">
        <v>4</v>
      </c>
      <c r="H14" t="s">
        <v>18</v>
      </c>
      <c r="I14">
        <v>4.4444444444444446E-2</v>
      </c>
      <c r="L14" t="s">
        <v>18</v>
      </c>
      <c r="M14">
        <v>4.4444444444444446E-2</v>
      </c>
      <c r="P14" t="s">
        <v>18</v>
      </c>
      <c r="Q14">
        <v>4.4444444444444446E-2</v>
      </c>
      <c r="T14" t="s">
        <v>18</v>
      </c>
      <c r="U14">
        <v>4.4444444444444446E-2</v>
      </c>
      <c r="X14" t="s">
        <v>22</v>
      </c>
      <c r="Y14">
        <v>4.4444444444444446E-2</v>
      </c>
      <c r="AB14" t="s">
        <v>12</v>
      </c>
      <c r="AC14">
        <v>4.4444444444444446E-2</v>
      </c>
      <c r="AD14" t="s">
        <v>104</v>
      </c>
      <c r="AE14">
        <f>AC14+AC15</f>
        <v>8.8888888888888892E-2</v>
      </c>
      <c r="AF14" t="s">
        <v>13</v>
      </c>
      <c r="AG14">
        <v>6.6666666666666666E-2</v>
      </c>
    </row>
    <row r="15" spans="1:69" x14ac:dyDescent="0.25">
      <c r="B15" t="s">
        <v>18</v>
      </c>
      <c r="C15">
        <v>2</v>
      </c>
      <c r="D15">
        <f t="shared" si="0"/>
        <v>4.4444444444444446E-2</v>
      </c>
      <c r="E15">
        <f t="shared" si="1"/>
        <v>0.19963791539243</v>
      </c>
      <c r="F15">
        <v>4</v>
      </c>
      <c r="H15" t="s">
        <v>19</v>
      </c>
      <c r="I15">
        <v>2.2222222222222223E-2</v>
      </c>
      <c r="L15" t="s">
        <v>99</v>
      </c>
      <c r="M15">
        <v>4.4444444444444446E-2</v>
      </c>
      <c r="P15" t="s">
        <v>99</v>
      </c>
      <c r="Q15">
        <v>4.4444444444444446E-2</v>
      </c>
      <c r="T15" t="s">
        <v>99</v>
      </c>
      <c r="U15">
        <v>4.4444444444444446E-2</v>
      </c>
      <c r="X15" t="s">
        <v>18</v>
      </c>
      <c r="Y15">
        <v>4.4444444444444446E-2</v>
      </c>
      <c r="Z15" t="s">
        <v>103</v>
      </c>
      <c r="AA15">
        <f>Y15+Y16</f>
        <v>8.8888888888888892E-2</v>
      </c>
      <c r="AB15" t="s">
        <v>22</v>
      </c>
      <c r="AC15">
        <v>4.4444444444444446E-2</v>
      </c>
    </row>
    <row r="16" spans="1:69" x14ac:dyDescent="0.25">
      <c r="B16" t="s">
        <v>14</v>
      </c>
      <c r="C16">
        <v>4</v>
      </c>
      <c r="D16">
        <f t="shared" si="0"/>
        <v>8.8888888888888892E-2</v>
      </c>
      <c r="E16">
        <f t="shared" si="1"/>
        <v>0.31038694189597116</v>
      </c>
      <c r="F16">
        <v>4</v>
      </c>
      <c r="H16" t="s">
        <v>21</v>
      </c>
      <c r="I16">
        <v>2.2222222222222223E-2</v>
      </c>
      <c r="L16" t="s">
        <v>19</v>
      </c>
      <c r="M16">
        <v>2.2222222222222223E-2</v>
      </c>
      <c r="P16" t="s">
        <v>100</v>
      </c>
      <c r="Q16">
        <v>4.4444444444444446E-2</v>
      </c>
      <c r="T16" t="s">
        <v>100</v>
      </c>
      <c r="U16">
        <v>4.4444444444444446E-2</v>
      </c>
      <c r="V16" t="s">
        <v>102</v>
      </c>
      <c r="W16">
        <f>U16+U17</f>
        <v>8.8888888888888892E-2</v>
      </c>
      <c r="X16" t="s">
        <v>99</v>
      </c>
      <c r="Y16">
        <v>4.4444444444444446E-2</v>
      </c>
    </row>
    <row r="17" spans="2:21" x14ac:dyDescent="0.25">
      <c r="B17" t="s">
        <v>17</v>
      </c>
      <c r="C17">
        <v>5</v>
      </c>
      <c r="D17">
        <f t="shared" si="0"/>
        <v>0.1111111111111111</v>
      </c>
      <c r="E17">
        <f t="shared" si="1"/>
        <v>0.3522138890491458</v>
      </c>
      <c r="F17">
        <v>3</v>
      </c>
      <c r="H17" t="s">
        <v>23</v>
      </c>
      <c r="I17">
        <v>2.2222222222222223E-2</v>
      </c>
      <c r="L17" t="s">
        <v>25</v>
      </c>
      <c r="M17">
        <v>2.2222222222222223E-2</v>
      </c>
      <c r="P17" t="s">
        <v>19</v>
      </c>
      <c r="Q17">
        <v>2.2222222222222223E-2</v>
      </c>
      <c r="R17" t="s">
        <v>101</v>
      </c>
      <c r="S17">
        <f>Q17+Q18</f>
        <v>4.4444444444444446E-2</v>
      </c>
      <c r="T17" t="s">
        <v>101</v>
      </c>
      <c r="U17">
        <v>4.4444444444444446E-2</v>
      </c>
    </row>
    <row r="18" spans="2:21" x14ac:dyDescent="0.25">
      <c r="B18" t="s">
        <v>24</v>
      </c>
      <c r="C18">
        <v>1</v>
      </c>
      <c r="D18">
        <f t="shared" si="0"/>
        <v>2.2222222222222223E-2</v>
      </c>
      <c r="E18">
        <f t="shared" si="1"/>
        <v>0.12204117991843723</v>
      </c>
      <c r="F18">
        <v>5</v>
      </c>
      <c r="H18" t="s">
        <v>25</v>
      </c>
      <c r="I18">
        <v>2.2222222222222223E-2</v>
      </c>
      <c r="L18" t="s">
        <v>21</v>
      </c>
      <c r="M18">
        <v>2.2222222222222223E-2</v>
      </c>
      <c r="N18" t="s">
        <v>100</v>
      </c>
      <c r="O18">
        <f>M18+M19</f>
        <v>4.4444444444444446E-2</v>
      </c>
      <c r="P18" t="s">
        <v>25</v>
      </c>
      <c r="Q18">
        <v>2.2222222222222223E-2</v>
      </c>
    </row>
    <row r="19" spans="2:21" x14ac:dyDescent="0.25">
      <c r="B19" t="s">
        <v>11</v>
      </c>
      <c r="C19">
        <v>1</v>
      </c>
      <c r="D19">
        <f t="shared" si="0"/>
        <v>2.2222222222222223E-2</v>
      </c>
      <c r="E19">
        <f t="shared" si="1"/>
        <v>0.12204117991843723</v>
      </c>
      <c r="F19">
        <v>5</v>
      </c>
      <c r="H19" t="s">
        <v>11</v>
      </c>
      <c r="I19">
        <v>2.2222222222222223E-2</v>
      </c>
      <c r="J19" t="s">
        <v>99</v>
      </c>
      <c r="K19">
        <f>I19+I20</f>
        <v>4.4444444444444446E-2</v>
      </c>
      <c r="L19" t="s">
        <v>23</v>
      </c>
      <c r="M19">
        <v>2.2222222222222223E-2</v>
      </c>
    </row>
    <row r="20" spans="2:21" x14ac:dyDescent="0.25">
      <c r="B20" t="s">
        <v>25</v>
      </c>
      <c r="C20">
        <v>1</v>
      </c>
      <c r="D20">
        <f t="shared" si="0"/>
        <v>2.2222222222222223E-2</v>
      </c>
      <c r="E20">
        <f t="shared" si="1"/>
        <v>0.12204117991843723</v>
      </c>
      <c r="F20">
        <v>5</v>
      </c>
      <c r="H20" t="s">
        <v>24</v>
      </c>
      <c r="I20">
        <v>2.2222222222222223E-2</v>
      </c>
    </row>
    <row r="21" spans="2:21" x14ac:dyDescent="0.25">
      <c r="C21">
        <f>SUM(C4:C20)</f>
        <v>45</v>
      </c>
      <c r="D21">
        <f>SUM(D4:D20)</f>
        <v>1</v>
      </c>
      <c r="E21">
        <f>SUM(E4:E20)</f>
        <v>3.8253260194476537</v>
      </c>
    </row>
    <row r="24" spans="2:21" x14ac:dyDescent="0.25">
      <c r="B24" s="2" t="s">
        <v>44</v>
      </c>
      <c r="C24" s="2" t="s">
        <v>43</v>
      </c>
    </row>
    <row r="25" spans="2:21" x14ac:dyDescent="0.25">
      <c r="B25" t="s">
        <v>10</v>
      </c>
      <c r="C25" s="1" t="s">
        <v>42</v>
      </c>
      <c r="D25">
        <v>3</v>
      </c>
      <c r="G25" t="s">
        <v>45</v>
      </c>
      <c r="H25">
        <v>8</v>
      </c>
    </row>
    <row r="26" spans="2:21" x14ac:dyDescent="0.25">
      <c r="B26" t="s">
        <v>20</v>
      </c>
      <c r="C26" s="1">
        <v>100</v>
      </c>
      <c r="D26">
        <v>3</v>
      </c>
      <c r="J26" t="s">
        <v>49</v>
      </c>
    </row>
    <row r="27" spans="2:21" x14ac:dyDescent="0.25">
      <c r="B27" t="s">
        <v>17</v>
      </c>
      <c r="C27" s="1">
        <v>101</v>
      </c>
      <c r="D27">
        <v>3</v>
      </c>
      <c r="G27" t="s">
        <v>46</v>
      </c>
      <c r="H27">
        <f>SUMPRODUCT(D4:D20,F4:F20)</f>
        <v>3.8666666666666667</v>
      </c>
    </row>
    <row r="28" spans="2:21" x14ac:dyDescent="0.25">
      <c r="B28" t="s">
        <v>16</v>
      </c>
      <c r="C28" s="1" t="s">
        <v>29</v>
      </c>
      <c r="D28">
        <v>4</v>
      </c>
    </row>
    <row r="29" spans="2:21" x14ac:dyDescent="0.25">
      <c r="B29" t="s">
        <v>14</v>
      </c>
      <c r="C29" s="1" t="s">
        <v>30</v>
      </c>
      <c r="D29">
        <v>4</v>
      </c>
      <c r="G29" t="s">
        <v>47</v>
      </c>
      <c r="H29">
        <f>H25/H27</f>
        <v>2.0689655172413794</v>
      </c>
      <c r="I29" t="s">
        <v>48</v>
      </c>
    </row>
    <row r="30" spans="2:21" x14ac:dyDescent="0.25">
      <c r="B30" t="s">
        <v>15</v>
      </c>
      <c r="C30" s="1" t="s">
        <v>31</v>
      </c>
      <c r="D30">
        <v>4</v>
      </c>
    </row>
    <row r="31" spans="2:21" x14ac:dyDescent="0.25">
      <c r="B31" t="s">
        <v>9</v>
      </c>
      <c r="C31" s="1" t="s">
        <v>32</v>
      </c>
      <c r="D31">
        <v>4</v>
      </c>
      <c r="G31" t="s">
        <v>51</v>
      </c>
      <c r="H31" t="s">
        <v>52</v>
      </c>
    </row>
    <row r="32" spans="2:21" x14ac:dyDescent="0.25">
      <c r="B32" t="s">
        <v>13</v>
      </c>
      <c r="C32" s="1" t="s">
        <v>33</v>
      </c>
      <c r="D32">
        <v>4</v>
      </c>
      <c r="G32" t="s">
        <v>53</v>
      </c>
    </row>
    <row r="33" spans="2:10" x14ac:dyDescent="0.25">
      <c r="B33" t="s">
        <v>12</v>
      </c>
      <c r="C33" s="1" t="s">
        <v>34</v>
      </c>
      <c r="D33">
        <v>5</v>
      </c>
      <c r="G33" t="s">
        <v>54</v>
      </c>
    </row>
    <row r="34" spans="2:10" x14ac:dyDescent="0.25">
      <c r="B34" t="s">
        <v>22</v>
      </c>
      <c r="C34" s="1" t="s">
        <v>28</v>
      </c>
      <c r="D34">
        <v>5</v>
      </c>
      <c r="G34" t="s">
        <v>55</v>
      </c>
    </row>
    <row r="35" spans="2:10" x14ac:dyDescent="0.25">
      <c r="B35" t="s">
        <v>18</v>
      </c>
      <c r="C35" s="1" t="s">
        <v>35</v>
      </c>
      <c r="D35">
        <v>4</v>
      </c>
      <c r="G35" t="s">
        <v>56</v>
      </c>
    </row>
    <row r="36" spans="2:10" x14ac:dyDescent="0.25">
      <c r="B36" t="s">
        <v>25</v>
      </c>
      <c r="C36" s="1" t="s">
        <v>36</v>
      </c>
      <c r="D36">
        <v>5</v>
      </c>
    </row>
    <row r="37" spans="2:10" x14ac:dyDescent="0.25">
      <c r="B37" t="s">
        <v>19</v>
      </c>
      <c r="C37" s="1" t="s">
        <v>37</v>
      </c>
      <c r="D37">
        <v>5</v>
      </c>
    </row>
    <row r="38" spans="2:10" x14ac:dyDescent="0.25">
      <c r="B38" t="s">
        <v>21</v>
      </c>
      <c r="C38" s="1" t="s">
        <v>38</v>
      </c>
      <c r="D38">
        <v>5</v>
      </c>
    </row>
    <row r="39" spans="2:10" x14ac:dyDescent="0.25">
      <c r="B39" t="s">
        <v>23</v>
      </c>
      <c r="C39" s="1" t="s">
        <v>39</v>
      </c>
      <c r="D39">
        <v>5</v>
      </c>
    </row>
    <row r="40" spans="2:10" x14ac:dyDescent="0.25">
      <c r="B40" t="s">
        <v>24</v>
      </c>
      <c r="C40" s="1" t="s">
        <v>40</v>
      </c>
      <c r="D40">
        <v>5</v>
      </c>
      <c r="G40" t="s">
        <v>45</v>
      </c>
      <c r="H40" t="s">
        <v>57</v>
      </c>
      <c r="J40" t="s">
        <v>49</v>
      </c>
    </row>
    <row r="41" spans="2:10" x14ac:dyDescent="0.25">
      <c r="B41" t="s">
        <v>11</v>
      </c>
      <c r="C41" s="1" t="s">
        <v>41</v>
      </c>
      <c r="D41">
        <v>5</v>
      </c>
      <c r="G41" t="s">
        <v>46</v>
      </c>
      <c r="H41" t="s">
        <v>58</v>
      </c>
      <c r="J41" t="s">
        <v>49</v>
      </c>
    </row>
    <row r="42" spans="2:10" x14ac:dyDescent="0.25">
      <c r="C42" s="1" t="s">
        <v>50</v>
      </c>
      <c r="G42" t="s">
        <v>47</v>
      </c>
      <c r="H42" t="s">
        <v>59</v>
      </c>
      <c r="J42" t="s">
        <v>49</v>
      </c>
    </row>
    <row r="43" spans="2:10" x14ac:dyDescent="0.25">
      <c r="G43" t="s">
        <v>60</v>
      </c>
      <c r="H43" t="s">
        <v>63</v>
      </c>
      <c r="J43" t="s">
        <v>66</v>
      </c>
    </row>
    <row r="44" spans="2:10" x14ac:dyDescent="0.25">
      <c r="G44" t="s">
        <v>61</v>
      </c>
      <c r="H44" t="s">
        <v>62</v>
      </c>
      <c r="J44" t="s">
        <v>67</v>
      </c>
    </row>
    <row r="45" spans="2:10" x14ac:dyDescent="0.25">
      <c r="G45" t="s">
        <v>64</v>
      </c>
      <c r="H45" t="s">
        <v>65</v>
      </c>
    </row>
    <row r="46" spans="2:10" x14ac:dyDescent="0.25">
      <c r="F46" t="s">
        <v>74</v>
      </c>
    </row>
  </sheetData>
  <sortState xmlns:xlrd2="http://schemas.microsoft.com/office/spreadsheetml/2017/richdata2" ref="BP4:BQ5">
    <sortCondition descending="1" ref="BQ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AF14-E412-4197-8F62-A2149CD2BF53}">
  <dimension ref="B1:K21"/>
  <sheetViews>
    <sheetView workbookViewId="0">
      <selection activeCell="H32" sqref="H32"/>
    </sheetView>
  </sheetViews>
  <sheetFormatPr baseColWidth="10" defaultRowHeight="15" x14ac:dyDescent="0.25"/>
  <cols>
    <col min="2" max="2" width="2.7109375" bestFit="1" customWidth="1"/>
    <col min="3" max="3" width="2.85546875" bestFit="1" customWidth="1"/>
  </cols>
  <sheetData>
    <row r="1" spans="2:11" x14ac:dyDescent="0.25">
      <c r="D1" t="s">
        <v>68</v>
      </c>
    </row>
    <row r="2" spans="2:11" x14ac:dyDescent="0.25">
      <c r="B2" t="s">
        <v>10</v>
      </c>
      <c r="C2">
        <v>6</v>
      </c>
      <c r="J2">
        <v>45</v>
      </c>
    </row>
    <row r="3" spans="2:11" x14ac:dyDescent="0.25">
      <c r="B3" t="s">
        <v>19</v>
      </c>
      <c r="C3">
        <v>1</v>
      </c>
      <c r="I3">
        <v>23</v>
      </c>
      <c r="K3">
        <v>22</v>
      </c>
    </row>
    <row r="4" spans="2:11" x14ac:dyDescent="0.25">
      <c r="B4" t="s">
        <v>12</v>
      </c>
      <c r="C4">
        <v>2</v>
      </c>
      <c r="I4" t="s">
        <v>69</v>
      </c>
      <c r="K4" t="s">
        <v>70</v>
      </c>
    </row>
    <row r="5" spans="2:11" x14ac:dyDescent="0.25">
      <c r="B5" t="s">
        <v>15</v>
      </c>
      <c r="C5">
        <v>3</v>
      </c>
      <c r="I5" t="s">
        <v>72</v>
      </c>
      <c r="K5" t="s">
        <v>73</v>
      </c>
    </row>
    <row r="6" spans="2:11" x14ac:dyDescent="0.25">
      <c r="B6" t="s">
        <v>20</v>
      </c>
      <c r="C6">
        <v>5</v>
      </c>
      <c r="F6" t="s">
        <v>10</v>
      </c>
      <c r="G6">
        <v>6</v>
      </c>
    </row>
    <row r="7" spans="2:11" x14ac:dyDescent="0.25">
      <c r="B7" t="s">
        <v>21</v>
      </c>
      <c r="C7">
        <v>1</v>
      </c>
    </row>
    <row r="8" spans="2:11" x14ac:dyDescent="0.25">
      <c r="B8" t="s">
        <v>16</v>
      </c>
      <c r="C8">
        <v>4</v>
      </c>
    </row>
    <row r="9" spans="2:11" x14ac:dyDescent="0.25">
      <c r="B9" t="s">
        <v>22</v>
      </c>
      <c r="C9">
        <v>2</v>
      </c>
    </row>
    <row r="10" spans="2:11" x14ac:dyDescent="0.25">
      <c r="B10" t="s">
        <v>23</v>
      </c>
      <c r="C10">
        <v>1</v>
      </c>
    </row>
    <row r="11" spans="2:11" x14ac:dyDescent="0.25">
      <c r="B11" t="s">
        <v>9</v>
      </c>
      <c r="C11">
        <v>3</v>
      </c>
    </row>
    <row r="12" spans="2:11" x14ac:dyDescent="0.25">
      <c r="B12" t="s">
        <v>13</v>
      </c>
      <c r="C12">
        <v>3</v>
      </c>
    </row>
    <row r="13" spans="2:11" x14ac:dyDescent="0.25">
      <c r="B13" t="s">
        <v>18</v>
      </c>
      <c r="C13">
        <v>2</v>
      </c>
    </row>
    <row r="14" spans="2:11" x14ac:dyDescent="0.25">
      <c r="B14" t="s">
        <v>14</v>
      </c>
      <c r="C14">
        <v>4</v>
      </c>
    </row>
    <row r="15" spans="2:11" x14ac:dyDescent="0.25">
      <c r="B15" t="s">
        <v>17</v>
      </c>
      <c r="C15">
        <v>5</v>
      </c>
    </row>
    <row r="16" spans="2:11" x14ac:dyDescent="0.25">
      <c r="B16" t="s">
        <v>24</v>
      </c>
      <c r="C16">
        <v>1</v>
      </c>
    </row>
    <row r="17" spans="2:4" x14ac:dyDescent="0.25">
      <c r="B17" t="s">
        <v>11</v>
      </c>
      <c r="C17">
        <v>1</v>
      </c>
    </row>
    <row r="18" spans="2:4" x14ac:dyDescent="0.25">
      <c r="B18" t="s">
        <v>25</v>
      </c>
      <c r="C18">
        <v>1</v>
      </c>
    </row>
    <row r="19" spans="2:4" x14ac:dyDescent="0.25">
      <c r="C19">
        <f>SUM(C2:C18)</f>
        <v>45</v>
      </c>
    </row>
    <row r="21" spans="2:4" x14ac:dyDescent="0.25">
      <c r="D2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2063-3014-4B8A-A700-E43625F22355}">
  <dimension ref="B2:Q22"/>
  <sheetViews>
    <sheetView zoomScale="93" workbookViewId="0">
      <selection activeCell="B3" sqref="B3:C20"/>
    </sheetView>
  </sheetViews>
  <sheetFormatPr baseColWidth="10" defaultRowHeight="15" x14ac:dyDescent="0.25"/>
  <sheetData>
    <row r="2" spans="2:15" x14ac:dyDescent="0.25">
      <c r="D2" t="s">
        <v>68</v>
      </c>
    </row>
    <row r="3" spans="2:15" x14ac:dyDescent="0.25">
      <c r="B3" t="s">
        <v>10</v>
      </c>
      <c r="C3">
        <v>6</v>
      </c>
      <c r="M3">
        <v>44</v>
      </c>
      <c r="O3" t="s">
        <v>75</v>
      </c>
    </row>
    <row r="4" spans="2:15" x14ac:dyDescent="0.25">
      <c r="B4" t="s">
        <v>20</v>
      </c>
      <c r="C4">
        <v>5</v>
      </c>
      <c r="L4">
        <v>22</v>
      </c>
      <c r="N4">
        <v>22</v>
      </c>
    </row>
    <row r="5" spans="2:15" x14ac:dyDescent="0.25">
      <c r="B5" t="s">
        <v>17</v>
      </c>
      <c r="C5">
        <v>5</v>
      </c>
      <c r="L5" t="s">
        <v>70</v>
      </c>
      <c r="N5" t="s">
        <v>70</v>
      </c>
    </row>
    <row r="6" spans="2:15" x14ac:dyDescent="0.25">
      <c r="B6" t="s">
        <v>16</v>
      </c>
      <c r="C6">
        <v>4</v>
      </c>
      <c r="K6" t="s">
        <v>76</v>
      </c>
      <c r="L6" t="s">
        <v>76</v>
      </c>
      <c r="N6" t="s">
        <v>76</v>
      </c>
      <c r="O6" t="s">
        <v>76</v>
      </c>
    </row>
    <row r="7" spans="2:15" x14ac:dyDescent="0.25">
      <c r="B7" t="s">
        <v>14</v>
      </c>
      <c r="C7">
        <v>4</v>
      </c>
      <c r="J7" t="s">
        <v>77</v>
      </c>
      <c r="L7" t="s">
        <v>77</v>
      </c>
    </row>
    <row r="8" spans="2:15" x14ac:dyDescent="0.25">
      <c r="B8" t="s">
        <v>15</v>
      </c>
      <c r="C8">
        <v>3</v>
      </c>
      <c r="I8" t="s">
        <v>78</v>
      </c>
      <c r="J8" t="s">
        <v>79</v>
      </c>
    </row>
    <row r="9" spans="2:15" x14ac:dyDescent="0.25">
      <c r="B9" t="s">
        <v>9</v>
      </c>
      <c r="C9">
        <v>3</v>
      </c>
      <c r="J9" t="s">
        <v>80</v>
      </c>
    </row>
    <row r="10" spans="2:15" x14ac:dyDescent="0.25">
      <c r="B10" t="s">
        <v>13</v>
      </c>
      <c r="C10">
        <v>3</v>
      </c>
    </row>
    <row r="11" spans="2:15" x14ac:dyDescent="0.25">
      <c r="B11" t="s">
        <v>12</v>
      </c>
      <c r="C11">
        <v>2</v>
      </c>
      <c r="O11">
        <v>44</v>
      </c>
    </row>
    <row r="12" spans="2:15" x14ac:dyDescent="0.25">
      <c r="B12" t="s">
        <v>22</v>
      </c>
      <c r="C12">
        <v>2</v>
      </c>
    </row>
    <row r="13" spans="2:15" x14ac:dyDescent="0.25">
      <c r="B13" t="s">
        <v>18</v>
      </c>
      <c r="C13">
        <v>2</v>
      </c>
    </row>
    <row r="14" spans="2:15" x14ac:dyDescent="0.25">
      <c r="B14" t="s">
        <v>19</v>
      </c>
      <c r="C14">
        <v>1</v>
      </c>
    </row>
    <row r="15" spans="2:15" x14ac:dyDescent="0.25">
      <c r="B15" t="s">
        <v>21</v>
      </c>
      <c r="C15">
        <v>1</v>
      </c>
    </row>
    <row r="16" spans="2:15" x14ac:dyDescent="0.25">
      <c r="B16" t="s">
        <v>23</v>
      </c>
      <c r="C16">
        <v>1</v>
      </c>
    </row>
    <row r="17" spans="2:17" x14ac:dyDescent="0.25">
      <c r="B17" t="s">
        <v>24</v>
      </c>
      <c r="C17">
        <v>1</v>
      </c>
      <c r="M17">
        <v>22</v>
      </c>
      <c r="Q17">
        <v>22</v>
      </c>
    </row>
    <row r="18" spans="2:17" x14ac:dyDescent="0.25">
      <c r="B18" t="s">
        <v>11</v>
      </c>
      <c r="C18">
        <v>1</v>
      </c>
    </row>
    <row r="19" spans="2:17" x14ac:dyDescent="0.25">
      <c r="B19" t="s">
        <v>25</v>
      </c>
      <c r="C19">
        <v>1</v>
      </c>
    </row>
    <row r="20" spans="2:17" x14ac:dyDescent="0.25">
      <c r="C20">
        <f>SUM(C3:C19)</f>
        <v>45</v>
      </c>
      <c r="L20">
        <v>11</v>
      </c>
      <c r="N20">
        <v>11</v>
      </c>
    </row>
    <row r="22" spans="2:17" x14ac:dyDescent="0.25">
      <c r="D22" t="s">
        <v>71</v>
      </c>
    </row>
  </sheetData>
  <sortState xmlns:xlrd2="http://schemas.microsoft.com/office/spreadsheetml/2017/richdata2" ref="B3:C19">
    <sortCondition descending="1" ref="C19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B945-D7F2-4FCF-992A-70CB2B7D0652}">
  <dimension ref="B2:L23"/>
  <sheetViews>
    <sheetView workbookViewId="0">
      <selection activeCell="G7" sqref="G7"/>
    </sheetView>
  </sheetViews>
  <sheetFormatPr baseColWidth="10" defaultRowHeight="15" x14ac:dyDescent="0.25"/>
  <sheetData>
    <row r="2" spans="2:12" x14ac:dyDescent="0.25">
      <c r="C2" t="s">
        <v>9</v>
      </c>
      <c r="D2" t="s">
        <v>84</v>
      </c>
      <c r="E2" t="s">
        <v>81</v>
      </c>
      <c r="F2" t="s">
        <v>83</v>
      </c>
      <c r="H2" t="s">
        <v>85</v>
      </c>
    </row>
    <row r="3" spans="2:12" x14ac:dyDescent="0.25">
      <c r="B3" t="s">
        <v>10</v>
      </c>
      <c r="C3">
        <v>6</v>
      </c>
      <c r="D3">
        <f>C3/C$20</f>
        <v>0.13333333333333333</v>
      </c>
      <c r="E3">
        <v>0</v>
      </c>
      <c r="F3" s="3">
        <f>ROUNDUP(LOG(1/D3,2),0)</f>
        <v>3</v>
      </c>
      <c r="H3" t="s">
        <v>14</v>
      </c>
      <c r="I3" s="3">
        <v>7.1428571428571425E-2</v>
      </c>
    </row>
    <row r="4" spans="2:12" x14ac:dyDescent="0.25">
      <c r="B4" t="s">
        <v>20</v>
      </c>
      <c r="C4">
        <v>5</v>
      </c>
      <c r="D4">
        <f t="shared" ref="D4:D19" si="0">C4/C$20</f>
        <v>0.1111111111111111</v>
      </c>
      <c r="E4">
        <f>D3+E3</f>
        <v>0.13333333333333333</v>
      </c>
      <c r="F4" s="3">
        <f t="shared" ref="F4:F19" si="1">ROUNDUP(LOG(1/D4,2),0)</f>
        <v>4</v>
      </c>
    </row>
    <row r="5" spans="2:12" x14ac:dyDescent="0.25">
      <c r="B5" t="s">
        <v>17</v>
      </c>
      <c r="C5">
        <v>5</v>
      </c>
      <c r="D5">
        <f t="shared" si="0"/>
        <v>0.1111111111111111</v>
      </c>
      <c r="E5">
        <f t="shared" ref="E5:E19" si="2">D4+E4</f>
        <v>0.24444444444444444</v>
      </c>
      <c r="F5" s="3">
        <f t="shared" si="1"/>
        <v>4</v>
      </c>
      <c r="I5" s="4">
        <f>I3*2</f>
        <v>0.14285714285714285</v>
      </c>
      <c r="J5" s="4">
        <f>I5*2</f>
        <v>0.2857142857142857</v>
      </c>
      <c r="K5" s="4">
        <f>J5*2</f>
        <v>0.5714285714285714</v>
      </c>
      <c r="L5" s="4">
        <f>K5*2</f>
        <v>1.1428571428571428</v>
      </c>
    </row>
    <row r="6" spans="2:12" x14ac:dyDescent="0.25">
      <c r="B6" t="s">
        <v>16</v>
      </c>
      <c r="C6">
        <v>4</v>
      </c>
      <c r="D6">
        <f t="shared" si="0"/>
        <v>8.8888888888888892E-2</v>
      </c>
      <c r="E6">
        <f t="shared" si="2"/>
        <v>0.35555555555555551</v>
      </c>
      <c r="F6" s="3">
        <f t="shared" si="1"/>
        <v>4</v>
      </c>
      <c r="I6">
        <f>IF(I5&gt;=1,1,0)</f>
        <v>0</v>
      </c>
      <c r="J6">
        <v>0</v>
      </c>
      <c r="K6">
        <v>0</v>
      </c>
      <c r="L6">
        <v>1</v>
      </c>
    </row>
    <row r="7" spans="2:12" x14ac:dyDescent="0.25">
      <c r="B7" t="s">
        <v>14</v>
      </c>
      <c r="C7">
        <v>4</v>
      </c>
      <c r="D7">
        <f t="shared" si="0"/>
        <v>8.8888888888888892E-2</v>
      </c>
      <c r="E7">
        <f t="shared" si="2"/>
        <v>0.44444444444444442</v>
      </c>
      <c r="F7" s="3">
        <f t="shared" si="1"/>
        <v>4</v>
      </c>
    </row>
    <row r="8" spans="2:12" x14ac:dyDescent="0.25">
      <c r="B8" t="s">
        <v>15</v>
      </c>
      <c r="C8">
        <v>3</v>
      </c>
      <c r="D8">
        <f t="shared" si="0"/>
        <v>6.6666666666666666E-2</v>
      </c>
      <c r="E8">
        <f t="shared" si="2"/>
        <v>0.53333333333333333</v>
      </c>
      <c r="F8" s="3">
        <f t="shared" si="1"/>
        <v>4</v>
      </c>
    </row>
    <row r="9" spans="2:12" x14ac:dyDescent="0.25">
      <c r="B9" t="s">
        <v>9</v>
      </c>
      <c r="C9">
        <v>3</v>
      </c>
      <c r="D9">
        <f t="shared" si="0"/>
        <v>6.6666666666666666E-2</v>
      </c>
      <c r="E9">
        <f t="shared" si="2"/>
        <v>0.6</v>
      </c>
      <c r="F9" s="3">
        <f t="shared" si="1"/>
        <v>4</v>
      </c>
    </row>
    <row r="10" spans="2:12" x14ac:dyDescent="0.25">
      <c r="B10" t="s">
        <v>13</v>
      </c>
      <c r="C10">
        <v>3</v>
      </c>
      <c r="D10">
        <f t="shared" si="0"/>
        <v>6.6666666666666666E-2</v>
      </c>
      <c r="E10">
        <f t="shared" si="2"/>
        <v>0.66666666666666663</v>
      </c>
      <c r="F10" s="3">
        <f t="shared" si="1"/>
        <v>4</v>
      </c>
    </row>
    <row r="11" spans="2:12" x14ac:dyDescent="0.25">
      <c r="B11" t="s">
        <v>12</v>
      </c>
      <c r="C11">
        <v>2</v>
      </c>
      <c r="D11">
        <f t="shared" si="0"/>
        <v>4.4444444444444446E-2</v>
      </c>
      <c r="E11">
        <f t="shared" si="2"/>
        <v>0.73333333333333328</v>
      </c>
      <c r="F11" s="3">
        <f t="shared" si="1"/>
        <v>5</v>
      </c>
    </row>
    <row r="12" spans="2:12" x14ac:dyDescent="0.25">
      <c r="B12" t="s">
        <v>22</v>
      </c>
      <c r="C12">
        <v>2</v>
      </c>
      <c r="D12">
        <f t="shared" si="0"/>
        <v>4.4444444444444446E-2</v>
      </c>
      <c r="E12">
        <f t="shared" si="2"/>
        <v>0.77777777777777768</v>
      </c>
      <c r="F12" s="3">
        <f t="shared" si="1"/>
        <v>5</v>
      </c>
    </row>
    <row r="13" spans="2:12" x14ac:dyDescent="0.25">
      <c r="B13" t="s">
        <v>18</v>
      </c>
      <c r="C13">
        <v>2</v>
      </c>
      <c r="D13">
        <f t="shared" si="0"/>
        <v>4.4444444444444446E-2</v>
      </c>
      <c r="E13">
        <f t="shared" si="2"/>
        <v>0.82222222222222208</v>
      </c>
      <c r="F13" s="3">
        <f t="shared" si="1"/>
        <v>5</v>
      </c>
    </row>
    <row r="14" spans="2:12" x14ac:dyDescent="0.25">
      <c r="B14" t="s">
        <v>19</v>
      </c>
      <c r="C14">
        <v>1</v>
      </c>
      <c r="D14">
        <f t="shared" si="0"/>
        <v>2.2222222222222223E-2</v>
      </c>
      <c r="E14">
        <f t="shared" si="2"/>
        <v>0.86666666666666647</v>
      </c>
      <c r="F14" s="3">
        <f t="shared" si="1"/>
        <v>6</v>
      </c>
    </row>
    <row r="15" spans="2:12" x14ac:dyDescent="0.25">
      <c r="B15" t="s">
        <v>21</v>
      </c>
      <c r="C15">
        <v>1</v>
      </c>
      <c r="D15">
        <f t="shared" si="0"/>
        <v>2.2222222222222223E-2</v>
      </c>
      <c r="E15">
        <f t="shared" si="2"/>
        <v>0.88888888888888873</v>
      </c>
      <c r="F15" s="3">
        <f t="shared" si="1"/>
        <v>6</v>
      </c>
    </row>
    <row r="16" spans="2:12" x14ac:dyDescent="0.25">
      <c r="B16" t="s">
        <v>23</v>
      </c>
      <c r="C16">
        <v>1</v>
      </c>
      <c r="D16">
        <f t="shared" si="0"/>
        <v>2.2222222222222223E-2</v>
      </c>
      <c r="E16">
        <f t="shared" si="2"/>
        <v>0.91111111111111098</v>
      </c>
      <c r="F16" s="3">
        <f t="shared" si="1"/>
        <v>6</v>
      </c>
    </row>
    <row r="17" spans="2:9" x14ac:dyDescent="0.25">
      <c r="B17" t="s">
        <v>24</v>
      </c>
      <c r="C17">
        <v>1</v>
      </c>
      <c r="D17">
        <f t="shared" si="0"/>
        <v>2.2222222222222223E-2</v>
      </c>
      <c r="E17">
        <f t="shared" si="2"/>
        <v>0.93333333333333324</v>
      </c>
      <c r="F17" s="3">
        <f t="shared" si="1"/>
        <v>6</v>
      </c>
    </row>
    <row r="18" spans="2:9" x14ac:dyDescent="0.25">
      <c r="B18" t="s">
        <v>11</v>
      </c>
      <c r="C18">
        <v>1</v>
      </c>
      <c r="D18">
        <f t="shared" si="0"/>
        <v>2.2222222222222223E-2</v>
      </c>
      <c r="E18">
        <f t="shared" si="2"/>
        <v>0.95555555555555549</v>
      </c>
      <c r="F18" s="3">
        <f t="shared" si="1"/>
        <v>6</v>
      </c>
    </row>
    <row r="19" spans="2:9" x14ac:dyDescent="0.25">
      <c r="B19" t="s">
        <v>25</v>
      </c>
      <c r="C19">
        <v>1</v>
      </c>
      <c r="D19">
        <f t="shared" si="0"/>
        <v>2.2222222222222223E-2</v>
      </c>
      <c r="E19">
        <f t="shared" si="2"/>
        <v>0.97777777777777775</v>
      </c>
      <c r="F19" s="3">
        <f t="shared" si="1"/>
        <v>6</v>
      </c>
    </row>
    <row r="20" spans="2:9" x14ac:dyDescent="0.25">
      <c r="C20">
        <f>SUM(C3:C19)</f>
        <v>45</v>
      </c>
      <c r="E20" t="s">
        <v>82</v>
      </c>
    </row>
    <row r="22" spans="2:9" x14ac:dyDescent="0.25">
      <c r="G22" t="s">
        <v>46</v>
      </c>
      <c r="H22">
        <f>SUMPRODUCT(D3:D19,F3:F19)</f>
        <v>4.2666666666666675</v>
      </c>
      <c r="I22" t="s">
        <v>67</v>
      </c>
    </row>
    <row r="23" spans="2:9" x14ac:dyDescent="0.25">
      <c r="G23" t="s">
        <v>47</v>
      </c>
      <c r="H23">
        <v>1.875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6FF7-8C4A-4D93-97F4-B04D351E6A03}">
  <dimension ref="B2:M23"/>
  <sheetViews>
    <sheetView topLeftCell="A2" workbookViewId="0">
      <selection activeCell="B2" sqref="B2:D20"/>
    </sheetView>
  </sheetViews>
  <sheetFormatPr baseColWidth="10" defaultRowHeight="15" x14ac:dyDescent="0.25"/>
  <sheetData>
    <row r="2" spans="2:13" x14ac:dyDescent="0.25">
      <c r="C2" t="s">
        <v>9</v>
      </c>
      <c r="D2" t="s">
        <v>84</v>
      </c>
      <c r="M2" t="s">
        <v>83</v>
      </c>
    </row>
    <row r="3" spans="2:13" x14ac:dyDescent="0.25">
      <c r="B3" t="s">
        <v>10</v>
      </c>
      <c r="C3">
        <v>6</v>
      </c>
      <c r="D3">
        <f>C3/C$20</f>
        <v>0.13333333333333333</v>
      </c>
      <c r="E3" s="21">
        <v>0</v>
      </c>
      <c r="F3" s="22">
        <v>0</v>
      </c>
      <c r="G3" s="8">
        <v>0</v>
      </c>
      <c r="L3" s="1" t="s">
        <v>87</v>
      </c>
      <c r="M3">
        <v>3</v>
      </c>
    </row>
    <row r="4" spans="2:13" x14ac:dyDescent="0.25">
      <c r="B4" t="s">
        <v>20</v>
      </c>
      <c r="C4">
        <v>5</v>
      </c>
      <c r="D4">
        <f t="shared" ref="D4:D19" si="0">C4/C$20</f>
        <v>0.1111111111111111</v>
      </c>
      <c r="E4" s="21"/>
      <c r="F4" s="22"/>
      <c r="G4" s="9">
        <v>1</v>
      </c>
      <c r="L4" s="1" t="s">
        <v>86</v>
      </c>
      <c r="M4">
        <v>3</v>
      </c>
    </row>
    <row r="5" spans="2:13" x14ac:dyDescent="0.25">
      <c r="B5" t="s">
        <v>17</v>
      </c>
      <c r="C5">
        <v>5</v>
      </c>
      <c r="D5">
        <f t="shared" si="0"/>
        <v>0.1111111111111111</v>
      </c>
      <c r="E5" s="21"/>
      <c r="F5" s="23">
        <v>1</v>
      </c>
      <c r="G5" s="7">
        <v>0</v>
      </c>
      <c r="L5" s="1" t="s">
        <v>42</v>
      </c>
      <c r="M5">
        <v>3</v>
      </c>
    </row>
    <row r="6" spans="2:13" x14ac:dyDescent="0.25">
      <c r="B6" t="s">
        <v>16</v>
      </c>
      <c r="C6">
        <v>4</v>
      </c>
      <c r="D6">
        <f t="shared" si="0"/>
        <v>8.8888888888888892E-2</v>
      </c>
      <c r="E6" s="21"/>
      <c r="F6" s="23"/>
      <c r="G6" s="16">
        <v>1</v>
      </c>
      <c r="H6" s="10">
        <v>0</v>
      </c>
      <c r="L6" s="1" t="s">
        <v>32</v>
      </c>
      <c r="M6">
        <v>4</v>
      </c>
    </row>
    <row r="7" spans="2:13" x14ac:dyDescent="0.25">
      <c r="B7" t="s">
        <v>14</v>
      </c>
      <c r="C7">
        <v>4</v>
      </c>
      <c r="D7">
        <f t="shared" si="0"/>
        <v>8.8888888888888892E-2</v>
      </c>
      <c r="E7" s="21"/>
      <c r="F7" s="23"/>
      <c r="G7" s="16"/>
      <c r="H7" s="5">
        <v>1</v>
      </c>
      <c r="L7" s="1" t="s">
        <v>33</v>
      </c>
      <c r="M7">
        <v>4</v>
      </c>
    </row>
    <row r="8" spans="2:13" x14ac:dyDescent="0.25">
      <c r="B8" t="s">
        <v>15</v>
      </c>
      <c r="C8">
        <v>3</v>
      </c>
      <c r="D8">
        <f t="shared" si="0"/>
        <v>6.6666666666666666E-2</v>
      </c>
      <c r="E8" s="18">
        <v>1</v>
      </c>
      <c r="F8" s="22">
        <v>0</v>
      </c>
      <c r="G8" s="17">
        <v>0</v>
      </c>
      <c r="H8" s="11">
        <v>0</v>
      </c>
      <c r="L8" s="1" t="s">
        <v>88</v>
      </c>
      <c r="M8">
        <v>4</v>
      </c>
    </row>
    <row r="9" spans="2:13" x14ac:dyDescent="0.25">
      <c r="B9" t="s">
        <v>9</v>
      </c>
      <c r="C9">
        <v>3</v>
      </c>
      <c r="D9">
        <f t="shared" si="0"/>
        <v>6.6666666666666666E-2</v>
      </c>
      <c r="E9" s="18"/>
      <c r="F9" s="22"/>
      <c r="G9" s="17"/>
      <c r="H9" s="9">
        <v>1</v>
      </c>
      <c r="L9" s="1" t="s">
        <v>89</v>
      </c>
      <c r="M9">
        <v>4</v>
      </c>
    </row>
    <row r="10" spans="2:13" x14ac:dyDescent="0.25">
      <c r="B10" t="s">
        <v>13</v>
      </c>
      <c r="C10">
        <v>3</v>
      </c>
      <c r="D10">
        <f t="shared" si="0"/>
        <v>6.6666666666666666E-2</v>
      </c>
      <c r="E10" s="18"/>
      <c r="F10" s="22"/>
      <c r="G10" s="18">
        <v>1</v>
      </c>
      <c r="H10" s="11">
        <v>0</v>
      </c>
      <c r="L10" s="1" t="s">
        <v>90</v>
      </c>
      <c r="M10">
        <v>4</v>
      </c>
    </row>
    <row r="11" spans="2:13" x14ac:dyDescent="0.25">
      <c r="B11" t="s">
        <v>12</v>
      </c>
      <c r="C11">
        <v>2</v>
      </c>
      <c r="D11">
        <f t="shared" si="0"/>
        <v>4.4444444444444446E-2</v>
      </c>
      <c r="E11" s="18"/>
      <c r="F11" s="22"/>
      <c r="G11" s="18"/>
      <c r="H11" s="9">
        <v>1</v>
      </c>
      <c r="L11" s="1" t="s">
        <v>91</v>
      </c>
      <c r="M11">
        <v>4</v>
      </c>
    </row>
    <row r="12" spans="2:13" x14ac:dyDescent="0.25">
      <c r="B12" t="s">
        <v>22</v>
      </c>
      <c r="C12">
        <v>2</v>
      </c>
      <c r="D12">
        <f t="shared" si="0"/>
        <v>4.4444444444444446E-2</v>
      </c>
      <c r="E12" s="18"/>
      <c r="F12" s="23">
        <v>1</v>
      </c>
      <c r="G12" s="17">
        <v>0</v>
      </c>
      <c r="H12" s="11">
        <v>0</v>
      </c>
      <c r="L12" s="1" t="s">
        <v>92</v>
      </c>
      <c r="M12">
        <v>4</v>
      </c>
    </row>
    <row r="13" spans="2:13" x14ac:dyDescent="0.25">
      <c r="B13" t="s">
        <v>18</v>
      </c>
      <c r="C13">
        <v>2</v>
      </c>
      <c r="D13">
        <f t="shared" si="0"/>
        <v>4.4444444444444446E-2</v>
      </c>
      <c r="E13" s="18"/>
      <c r="F13" s="23"/>
      <c r="G13" s="17"/>
      <c r="H13" s="19">
        <v>1</v>
      </c>
      <c r="I13" s="8">
        <v>0</v>
      </c>
      <c r="J13" s="8"/>
      <c r="K13" s="8"/>
      <c r="L13" s="1" t="s">
        <v>36</v>
      </c>
      <c r="M13">
        <v>5</v>
      </c>
    </row>
    <row r="14" spans="2:13" x14ac:dyDescent="0.25">
      <c r="B14" t="s">
        <v>19</v>
      </c>
      <c r="C14">
        <v>1</v>
      </c>
      <c r="D14">
        <f t="shared" si="0"/>
        <v>2.2222222222222223E-2</v>
      </c>
      <c r="E14" s="18"/>
      <c r="F14" s="23"/>
      <c r="G14" s="17"/>
      <c r="H14" s="19"/>
      <c r="I14" s="6">
        <v>1</v>
      </c>
      <c r="J14" s="8"/>
      <c r="K14" s="8"/>
      <c r="L14" s="1" t="s">
        <v>37</v>
      </c>
      <c r="M14">
        <v>5</v>
      </c>
    </row>
    <row r="15" spans="2:13" x14ac:dyDescent="0.25">
      <c r="B15" t="s">
        <v>21</v>
      </c>
      <c r="C15">
        <v>1</v>
      </c>
      <c r="D15">
        <f t="shared" si="0"/>
        <v>2.2222222222222223E-2</v>
      </c>
      <c r="E15" s="18"/>
      <c r="F15" s="23"/>
      <c r="G15" s="18">
        <v>1</v>
      </c>
      <c r="H15" s="20">
        <v>0</v>
      </c>
      <c r="I15" s="15">
        <v>0</v>
      </c>
      <c r="J15" s="8">
        <v>0</v>
      </c>
      <c r="K15" s="8"/>
      <c r="L15" s="1" t="s">
        <v>93</v>
      </c>
      <c r="M15">
        <v>6</v>
      </c>
    </row>
    <row r="16" spans="2:13" x14ac:dyDescent="0.25">
      <c r="B16" t="s">
        <v>23</v>
      </c>
      <c r="C16">
        <v>1</v>
      </c>
      <c r="D16">
        <f t="shared" si="0"/>
        <v>2.2222222222222223E-2</v>
      </c>
      <c r="E16" s="18"/>
      <c r="F16" s="23"/>
      <c r="G16" s="18"/>
      <c r="H16" s="20"/>
      <c r="I16" s="15"/>
      <c r="J16" s="12">
        <v>1</v>
      </c>
      <c r="K16" s="8"/>
      <c r="L16" s="1" t="s">
        <v>94</v>
      </c>
      <c r="M16">
        <v>6</v>
      </c>
    </row>
    <row r="17" spans="2:13" x14ac:dyDescent="0.25">
      <c r="B17" t="s">
        <v>24</v>
      </c>
      <c r="C17">
        <v>1</v>
      </c>
      <c r="D17">
        <f t="shared" si="0"/>
        <v>2.2222222222222223E-2</v>
      </c>
      <c r="E17" s="18"/>
      <c r="F17" s="23"/>
      <c r="G17" s="18"/>
      <c r="H17" s="20"/>
      <c r="I17" s="6">
        <v>1</v>
      </c>
      <c r="L17" s="1" t="s">
        <v>95</v>
      </c>
      <c r="M17">
        <v>5</v>
      </c>
    </row>
    <row r="18" spans="2:13" x14ac:dyDescent="0.25">
      <c r="B18" t="s">
        <v>11</v>
      </c>
      <c r="C18">
        <v>1</v>
      </c>
      <c r="D18">
        <f t="shared" si="0"/>
        <v>2.2222222222222223E-2</v>
      </c>
      <c r="E18" s="18"/>
      <c r="F18" s="23"/>
      <c r="G18" s="18"/>
      <c r="H18" s="19">
        <v>1</v>
      </c>
      <c r="I18" s="8">
        <v>0</v>
      </c>
      <c r="L18" s="1" t="s">
        <v>40</v>
      </c>
      <c r="M18">
        <v>5</v>
      </c>
    </row>
    <row r="19" spans="2:13" x14ac:dyDescent="0.25">
      <c r="B19" t="s">
        <v>25</v>
      </c>
      <c r="C19">
        <v>1</v>
      </c>
      <c r="D19">
        <f t="shared" si="0"/>
        <v>2.2222222222222223E-2</v>
      </c>
      <c r="E19" s="18"/>
      <c r="F19" s="23"/>
      <c r="G19" s="18"/>
      <c r="H19" s="19"/>
      <c r="I19" s="6">
        <v>1</v>
      </c>
      <c r="L19" s="1" t="s">
        <v>41</v>
      </c>
      <c r="M19">
        <v>5</v>
      </c>
    </row>
    <row r="20" spans="2:13" x14ac:dyDescent="0.25">
      <c r="C20">
        <f>SUM(C3:C19)</f>
        <v>45</v>
      </c>
    </row>
    <row r="22" spans="2:13" x14ac:dyDescent="0.25">
      <c r="L22" s="1" t="s">
        <v>46</v>
      </c>
      <c r="M22">
        <f>SUMPRODUCT(D3:D19,M3:M19)</f>
        <v>3.8666666666666667</v>
      </c>
    </row>
    <row r="23" spans="2:13" x14ac:dyDescent="0.25">
      <c r="L23" s="1" t="s">
        <v>47</v>
      </c>
      <c r="M23">
        <f>8/M22</f>
        <v>2.0689655172413794</v>
      </c>
    </row>
  </sheetData>
  <mergeCells count="15">
    <mergeCell ref="E3:E7"/>
    <mergeCell ref="E8:E19"/>
    <mergeCell ref="F3:F4"/>
    <mergeCell ref="F5:F7"/>
    <mergeCell ref="F8:F11"/>
    <mergeCell ref="F12:F19"/>
    <mergeCell ref="I15:I16"/>
    <mergeCell ref="G6:G7"/>
    <mergeCell ref="G12:G14"/>
    <mergeCell ref="G15:G19"/>
    <mergeCell ref="G8:G9"/>
    <mergeCell ref="G10:G11"/>
    <mergeCell ref="H18:H19"/>
    <mergeCell ref="H15:H17"/>
    <mergeCell ref="H13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42A5-FB62-462F-9C9D-37009A32D43D}">
  <dimension ref="B2:O20"/>
  <sheetViews>
    <sheetView topLeftCell="C1" workbookViewId="0">
      <selection activeCell="N9" sqref="N9"/>
    </sheetView>
  </sheetViews>
  <sheetFormatPr baseColWidth="10" defaultRowHeight="15" x14ac:dyDescent="0.25"/>
  <sheetData>
    <row r="2" spans="2:15" x14ac:dyDescent="0.25">
      <c r="C2" t="s">
        <v>9</v>
      </c>
      <c r="D2" t="s">
        <v>84</v>
      </c>
      <c r="E2" t="s">
        <v>96</v>
      </c>
      <c r="F2" t="s">
        <v>97</v>
      </c>
      <c r="G2" s="13"/>
      <c r="I2" t="s">
        <v>85</v>
      </c>
    </row>
    <row r="3" spans="2:15" x14ac:dyDescent="0.25">
      <c r="B3" t="s">
        <v>10</v>
      </c>
      <c r="C3">
        <v>6</v>
      </c>
      <c r="D3">
        <f>C3/C$20</f>
        <v>0.13333333333333333</v>
      </c>
      <c r="E3">
        <f>D3/2</f>
        <v>6.6666666666666666E-2</v>
      </c>
      <c r="F3">
        <f>ROUNDDOWN(LOG(1/D3,2),0)+1</f>
        <v>3</v>
      </c>
      <c r="G3" s="14" t="s">
        <v>87</v>
      </c>
      <c r="I3" t="s">
        <v>14</v>
      </c>
      <c r="J3">
        <v>0.3</v>
      </c>
    </row>
    <row r="4" spans="2:15" x14ac:dyDescent="0.25">
      <c r="B4" t="s">
        <v>20</v>
      </c>
      <c r="C4">
        <v>5</v>
      </c>
      <c r="D4">
        <f t="shared" ref="D4:D19" si="0">C4/C$20</f>
        <v>0.1111111111111111</v>
      </c>
      <c r="E4">
        <f>D3+D4/2</f>
        <v>0.18888888888888888</v>
      </c>
      <c r="F4">
        <f t="shared" ref="F4:F19" si="1">ROUNDDOWN(LOG(1/D4,2),0)+1</f>
        <v>4</v>
      </c>
      <c r="G4" s="14" t="s">
        <v>30</v>
      </c>
    </row>
    <row r="5" spans="2:15" x14ac:dyDescent="0.25">
      <c r="B5" t="s">
        <v>17</v>
      </c>
      <c r="C5">
        <v>5</v>
      </c>
      <c r="D5">
        <f t="shared" si="0"/>
        <v>0.1111111111111111</v>
      </c>
      <c r="E5">
        <f>SUM(D3:D4)+D5/2</f>
        <v>0.3</v>
      </c>
      <c r="F5">
        <f t="shared" si="1"/>
        <v>4</v>
      </c>
      <c r="G5" s="14" t="s">
        <v>30</v>
      </c>
      <c r="J5" s="4">
        <f>J3*2</f>
        <v>0.6</v>
      </c>
      <c r="K5" s="4">
        <f>IF(J5&gt;=1,(J5-1)*2,(J5*2))</f>
        <v>1.2</v>
      </c>
      <c r="L5" s="4">
        <f t="shared" ref="L5:O5" si="2">IF(K5&gt;=1,(K5-1)*2,(K5*2))</f>
        <v>0.39999999999999991</v>
      </c>
      <c r="M5" s="4">
        <f t="shared" si="2"/>
        <v>0.79999999999999982</v>
      </c>
      <c r="N5" s="4">
        <f t="shared" si="2"/>
        <v>1.5999999999999996</v>
      </c>
      <c r="O5" s="4">
        <f t="shared" si="2"/>
        <v>1.1999999999999993</v>
      </c>
    </row>
    <row r="6" spans="2:15" x14ac:dyDescent="0.25">
      <c r="B6" t="s">
        <v>16</v>
      </c>
      <c r="C6">
        <v>4</v>
      </c>
      <c r="D6">
        <f t="shared" si="0"/>
        <v>8.8888888888888892E-2</v>
      </c>
      <c r="E6">
        <f>SUM(D3:D5)+D6/2</f>
        <v>0.39999999999999997</v>
      </c>
      <c r="F6">
        <f t="shared" si="1"/>
        <v>4</v>
      </c>
      <c r="G6" s="14"/>
      <c r="J6">
        <f t="shared" ref="J6:O6" si="3">IF(J5&gt;=1,1,0)</f>
        <v>0</v>
      </c>
      <c r="K6">
        <f t="shared" si="3"/>
        <v>1</v>
      </c>
      <c r="L6">
        <f t="shared" si="3"/>
        <v>0</v>
      </c>
      <c r="M6">
        <f t="shared" si="3"/>
        <v>0</v>
      </c>
      <c r="N6">
        <f t="shared" si="3"/>
        <v>1</v>
      </c>
      <c r="O6">
        <f t="shared" si="3"/>
        <v>1</v>
      </c>
    </row>
    <row r="7" spans="2:15" x14ac:dyDescent="0.25">
      <c r="B7" t="s">
        <v>14</v>
      </c>
      <c r="C7">
        <v>4</v>
      </c>
      <c r="D7">
        <f t="shared" si="0"/>
        <v>8.8888888888888892E-2</v>
      </c>
      <c r="E7">
        <f>SUM(D3:D6)+D7/2</f>
        <v>0.48888888888888887</v>
      </c>
      <c r="F7">
        <f t="shared" si="1"/>
        <v>4</v>
      </c>
      <c r="G7" s="14"/>
    </row>
    <row r="8" spans="2:15" x14ac:dyDescent="0.25">
      <c r="B8" t="s">
        <v>15</v>
      </c>
      <c r="C8">
        <v>3</v>
      </c>
      <c r="D8">
        <f t="shared" si="0"/>
        <v>6.6666666666666666E-2</v>
      </c>
      <c r="E8">
        <f>SUM(D3:D7)+D8/2</f>
        <v>0.56666666666666665</v>
      </c>
      <c r="F8">
        <f t="shared" si="1"/>
        <v>4</v>
      </c>
      <c r="G8" s="14"/>
    </row>
    <row r="9" spans="2:15" x14ac:dyDescent="0.25">
      <c r="B9" t="s">
        <v>9</v>
      </c>
      <c r="C9">
        <v>3</v>
      </c>
      <c r="D9">
        <f t="shared" si="0"/>
        <v>6.6666666666666666E-2</v>
      </c>
      <c r="E9">
        <f>SUM(D$3:D8)+D9/2</f>
        <v>0.6333333333333333</v>
      </c>
      <c r="F9">
        <f t="shared" si="1"/>
        <v>4</v>
      </c>
      <c r="G9" s="14"/>
    </row>
    <row r="10" spans="2:15" x14ac:dyDescent="0.25">
      <c r="B10" t="s">
        <v>13</v>
      </c>
      <c r="C10">
        <v>3</v>
      </c>
      <c r="D10">
        <f t="shared" si="0"/>
        <v>6.6666666666666666E-2</v>
      </c>
      <c r="E10">
        <f>SUM(D$3:D9)+D10/2</f>
        <v>0.7</v>
      </c>
      <c r="F10">
        <f t="shared" si="1"/>
        <v>4</v>
      </c>
      <c r="G10" s="14"/>
    </row>
    <row r="11" spans="2:15" x14ac:dyDescent="0.25">
      <c r="B11" t="s">
        <v>12</v>
      </c>
      <c r="C11">
        <v>2</v>
      </c>
      <c r="D11">
        <f t="shared" si="0"/>
        <v>4.4444444444444446E-2</v>
      </c>
      <c r="E11">
        <f>SUM(D$3:D10)+D11/2</f>
        <v>0.75555555555555554</v>
      </c>
      <c r="F11">
        <f t="shared" si="1"/>
        <v>5</v>
      </c>
      <c r="G11" s="14"/>
    </row>
    <row r="12" spans="2:15" x14ac:dyDescent="0.25">
      <c r="B12" t="s">
        <v>22</v>
      </c>
      <c r="C12">
        <v>2</v>
      </c>
      <c r="D12">
        <f t="shared" si="0"/>
        <v>4.4444444444444446E-2</v>
      </c>
      <c r="E12">
        <f>SUM(D$3:D11)+D12/2</f>
        <v>0.79999999999999993</v>
      </c>
      <c r="F12">
        <f t="shared" si="1"/>
        <v>5</v>
      </c>
      <c r="G12" s="14"/>
    </row>
    <row r="13" spans="2:15" x14ac:dyDescent="0.25">
      <c r="B13" t="s">
        <v>18</v>
      </c>
      <c r="C13">
        <v>2</v>
      </c>
      <c r="D13">
        <f t="shared" si="0"/>
        <v>4.4444444444444446E-2</v>
      </c>
      <c r="E13">
        <f>SUM(D$3:D12)+D13/2</f>
        <v>0.84444444444444433</v>
      </c>
      <c r="F13">
        <f t="shared" si="1"/>
        <v>5</v>
      </c>
      <c r="G13" s="14"/>
    </row>
    <row r="14" spans="2:15" x14ac:dyDescent="0.25">
      <c r="B14" t="s">
        <v>19</v>
      </c>
      <c r="C14">
        <v>1</v>
      </c>
      <c r="D14">
        <f t="shared" si="0"/>
        <v>2.2222222222222223E-2</v>
      </c>
      <c r="E14">
        <f>SUM(D$3:D13)+D14/2</f>
        <v>0.87777777777777755</v>
      </c>
      <c r="F14">
        <f t="shared" si="1"/>
        <v>6</v>
      </c>
      <c r="G14" s="14"/>
    </row>
    <row r="15" spans="2:15" x14ac:dyDescent="0.25">
      <c r="B15" t="s">
        <v>21</v>
      </c>
      <c r="C15">
        <v>1</v>
      </c>
      <c r="D15">
        <f t="shared" si="0"/>
        <v>2.2222222222222223E-2</v>
      </c>
      <c r="E15">
        <f>SUM(D$3:D14)+D15/2</f>
        <v>0.8999999999999998</v>
      </c>
      <c r="F15">
        <f t="shared" si="1"/>
        <v>6</v>
      </c>
      <c r="G15" s="14"/>
    </row>
    <row r="16" spans="2:15" x14ac:dyDescent="0.25">
      <c r="B16" t="s">
        <v>23</v>
      </c>
      <c r="C16">
        <v>1</v>
      </c>
      <c r="D16">
        <f t="shared" si="0"/>
        <v>2.2222222222222223E-2</v>
      </c>
      <c r="E16">
        <f>SUM(D$3:D15)+D16/2</f>
        <v>0.92222222222222205</v>
      </c>
      <c r="F16">
        <f t="shared" si="1"/>
        <v>6</v>
      </c>
      <c r="G16" s="14"/>
    </row>
    <row r="17" spans="2:7" x14ac:dyDescent="0.25">
      <c r="B17" t="s">
        <v>24</v>
      </c>
      <c r="C17">
        <v>1</v>
      </c>
      <c r="D17">
        <f t="shared" si="0"/>
        <v>2.2222222222222223E-2</v>
      </c>
      <c r="E17">
        <f>SUM(D$3:D16)+D17/2</f>
        <v>0.94444444444444431</v>
      </c>
      <c r="F17">
        <f t="shared" si="1"/>
        <v>6</v>
      </c>
      <c r="G17" s="14"/>
    </row>
    <row r="18" spans="2:7" x14ac:dyDescent="0.25">
      <c r="B18" t="s">
        <v>11</v>
      </c>
      <c r="C18">
        <v>1</v>
      </c>
      <c r="D18">
        <f t="shared" si="0"/>
        <v>2.2222222222222223E-2</v>
      </c>
      <c r="E18">
        <f>SUM(D$3:D17)+D18/2</f>
        <v>0.96666666666666656</v>
      </c>
      <c r="F18">
        <f t="shared" si="1"/>
        <v>6</v>
      </c>
      <c r="G18" s="14"/>
    </row>
    <row r="19" spans="2:7" x14ac:dyDescent="0.25">
      <c r="B19" t="s">
        <v>25</v>
      </c>
      <c r="C19">
        <v>1</v>
      </c>
      <c r="D19">
        <f t="shared" si="0"/>
        <v>2.2222222222222223E-2</v>
      </c>
      <c r="E19">
        <f>SUM(D$3:D18)+D19/2</f>
        <v>0.98888888888888882</v>
      </c>
      <c r="F19">
        <f t="shared" si="1"/>
        <v>6</v>
      </c>
      <c r="G19" s="14"/>
    </row>
    <row r="20" spans="2:7" x14ac:dyDescent="0.25">
      <c r="C20">
        <f>SUM(C3:C19)</f>
        <v>45</v>
      </c>
      <c r="F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</vt:lpstr>
      <vt:lpstr>Huffman Jerarquico</vt:lpstr>
      <vt:lpstr>Huffman Balanceado</vt:lpstr>
      <vt:lpstr>Huffman Ternario</vt:lpstr>
      <vt:lpstr>Shanon Method</vt:lpstr>
      <vt:lpstr>Fanon Method</vt:lpstr>
      <vt:lpstr>Shannon-Fano-Elias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JARED NAVARRO PLATAS</dc:creator>
  <cp:lastModifiedBy>MIST_Rarin91234 Acosta Flores</cp:lastModifiedBy>
  <dcterms:created xsi:type="dcterms:W3CDTF">2026-02-26T23:17:03Z</dcterms:created>
  <dcterms:modified xsi:type="dcterms:W3CDTF">2026-03-10T06:24:40Z</dcterms:modified>
</cp:coreProperties>
</file>
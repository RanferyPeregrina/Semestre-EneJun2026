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"/>
    </mc:Choice>
  </mc:AlternateContent>
  <xr:revisionPtr revIDLastSave="0" documentId="13_ncr:1_{81772694-A725-4382-B364-8FBB38EA995E}" xr6:coauthVersionLast="47" xr6:coauthVersionMax="47" xr10:uidLastSave="{00000000-0000-0000-0000-000000000000}"/>
  <bookViews>
    <workbookView xWindow="-108" yWindow="-108" windowWidth="23256" windowHeight="12456" activeTab="6" xr2:uid="{3326E009-E0F1-4399-BE4C-2311BE797611}"/>
  </bookViews>
  <sheets>
    <sheet name="Problema 1" sheetId="1" r:id="rId1"/>
    <sheet name="Problema 2" sheetId="2" r:id="rId2"/>
    <sheet name="Problema 3" sheetId="3" r:id="rId3"/>
    <sheet name="Hoja4" sheetId="4" r:id="rId4"/>
    <sheet name="Hoja1" sheetId="5" r:id="rId5"/>
    <sheet name="Hoja2" sheetId="6" r:id="rId6"/>
    <sheet name="Hoja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G7" i="5"/>
  <c r="G8" i="5"/>
  <c r="G9" i="5"/>
  <c r="G10" i="5" s="1"/>
  <c r="G11" i="5" s="1"/>
  <c r="G6" i="5"/>
  <c r="G2" i="3"/>
  <c r="G3" i="3"/>
  <c r="G4" i="3"/>
  <c r="G5" i="3"/>
  <c r="C20" i="1"/>
  <c r="C19" i="1"/>
  <c r="F17" i="1"/>
  <c r="E17" i="1"/>
  <c r="F7" i="1"/>
  <c r="F8" i="1"/>
  <c r="F9" i="1"/>
  <c r="F10" i="1"/>
  <c r="F11" i="1"/>
  <c r="F12" i="1"/>
  <c r="F13" i="1"/>
  <c r="F14" i="1"/>
  <c r="F15" i="1"/>
  <c r="F16" i="1"/>
  <c r="F6" i="1"/>
  <c r="E7" i="1"/>
  <c r="E8" i="1"/>
  <c r="E9" i="1"/>
  <c r="E10" i="1"/>
  <c r="E11" i="1"/>
  <c r="E12" i="1"/>
  <c r="E13" i="1"/>
  <c r="E14" i="1"/>
  <c r="E15" i="1"/>
  <c r="E16" i="1"/>
  <c r="E6" i="1"/>
  <c r="D7" i="1"/>
  <c r="D8" i="1"/>
  <c r="D9" i="1"/>
  <c r="D10" i="1"/>
  <c r="D11" i="1"/>
  <c r="D12" i="1"/>
  <c r="D13" i="1"/>
  <c r="D14" i="1"/>
  <c r="D15" i="1"/>
  <c r="D16" i="1"/>
  <c r="D6" i="1"/>
</calcChain>
</file>

<file path=xl/sharedStrings.xml><?xml version="1.0" encoding="utf-8"?>
<sst xmlns="http://schemas.openxmlformats.org/spreadsheetml/2006/main" count="131" uniqueCount="91">
  <si>
    <t>Calcular la información mutua y entropía de</t>
  </si>
  <si>
    <t>A: Lanzar 2 dados</t>
  </si>
  <si>
    <t>B: Lanzar dos dados de diferente color.</t>
  </si>
  <si>
    <t>los dados caen en:</t>
  </si>
  <si>
    <t>Numero de veces</t>
  </si>
  <si>
    <t>Probabilidad</t>
  </si>
  <si>
    <t>I(E) = - Log(10) P(E)</t>
  </si>
  <si>
    <t>H(E) = P(E) * Log(10) P(E)</t>
  </si>
  <si>
    <t xml:space="preserve">Información mutua de Lanzar 2 dados: </t>
  </si>
  <si>
    <t xml:space="preserve">Entropía de Lanzar 2 dados: </t>
  </si>
  <si>
    <t>N</t>
  </si>
  <si>
    <t>S</t>
  </si>
  <si>
    <t>E</t>
  </si>
  <si>
    <t>O</t>
  </si>
  <si>
    <t>Columna1</t>
  </si>
  <si>
    <t>Probabilidad de ir desde A</t>
  </si>
  <si>
    <t>Probabilidad entera</t>
  </si>
  <si>
    <t>VERIFICAR LOS PUNTOS PORQUE SE ME HACE QUE ESTÁ MAL ESCRITA LA MATRíZ</t>
  </si>
  <si>
    <t>Si da 1, todo correcto</t>
  </si>
  <si>
    <t>Según una fuente sin memoria.</t>
  </si>
  <si>
    <t>Encontrar la velocidad que genera información mutua y entropía si se transmiten 100 simbolos/simbolo</t>
  </si>
  <si>
    <t>Si los simbolos fueran equiprobables ¿Cómo cambiaría su respuesta?</t>
  </si>
  <si>
    <t>s1</t>
  </si>
  <si>
    <t>s2</t>
  </si>
  <si>
    <t>s3</t>
  </si>
  <si>
    <t>s4</t>
  </si>
  <si>
    <t>s5</t>
  </si>
  <si>
    <t>s6</t>
  </si>
  <si>
    <t>s7</t>
  </si>
  <si>
    <t>s8</t>
  </si>
  <si>
    <t>En los problemas anteriores se hace una sola respuesta porque hay un solo 1.</t>
  </si>
  <si>
    <t>Pero ahora hay 4 "1"s</t>
  </si>
  <si>
    <t>Para determinar esto tenemos los elementos de A, B que se pueden recibir</t>
  </si>
  <si>
    <t>A</t>
  </si>
  <si>
    <t>nA</t>
  </si>
  <si>
    <t>B</t>
  </si>
  <si>
    <t>nB</t>
  </si>
  <si>
    <t>0, 1</t>
  </si>
  <si>
    <t>0, 1, *</t>
  </si>
  <si>
    <t>00, 01, 10, 11</t>
  </si>
  <si>
    <t xml:space="preserve">Para esta traducción de alfabeto, encontramos la relación numérica entre alfabetos, en este caso es elevar </t>
  </si>
  <si>
    <t xml:space="preserve">Cuando L Vale 1, qué puedo enviar de A </t>
  </si>
  <si>
    <t>l</t>
  </si>
  <si>
    <t>A^</t>
  </si>
  <si>
    <t>Tenemos en nuestro alfabeto sólo 2 caracteres:</t>
  </si>
  <si>
    <t>Cuatro 0s</t>
  </si>
  <si>
    <t>B^</t>
  </si>
  <si>
    <t>-</t>
  </si>
  <si>
    <t>0000, 1111</t>
  </si>
  <si>
    <t>3^4 = 81</t>
  </si>
  <si>
    <t>0000…****</t>
  </si>
  <si>
    <t>0000, 0000, 0000, 1111</t>
  </si>
  <si>
    <t>3^8 = 6561</t>
  </si>
  <si>
    <t>0000.****</t>
  </si>
  <si>
    <t>Hankerdon 1</t>
  </si>
  <si>
    <t>Problema del libro</t>
  </si>
  <si>
    <t xml:space="preserve">Alfabeto de entrada: </t>
  </si>
  <si>
    <t xml:space="preserve">A = </t>
  </si>
  <si>
    <t>!, @, $, %, &amp;</t>
  </si>
  <si>
    <t xml:space="preserve">B = </t>
  </si>
  <si>
    <t>!, ##, $$, %%%, &amp;&amp;&amp;&amp;</t>
  </si>
  <si>
    <t>!</t>
  </si>
  <si>
    <t>q</t>
  </si>
  <si>
    <t>!!, ##, $$</t>
  </si>
  <si>
    <t>!!!, !##, ##!, !$$, $$!, %%%</t>
  </si>
  <si>
    <t>!!...&amp;&amp;</t>
  </si>
  <si>
    <t>!!!...&amp;&amp;&amp;</t>
  </si>
  <si>
    <t>Entendí que nB se van sumando entre ellos</t>
  </si>
  <si>
    <t>Pero el primer sumado se multiplica por 2, por alguna razón</t>
  </si>
  <si>
    <t>A =</t>
  </si>
  <si>
    <t>0 , 1</t>
  </si>
  <si>
    <t xml:space="preserve">B ? </t>
  </si>
  <si>
    <t>Q</t>
  </si>
  <si>
    <t>q00</t>
  </si>
  <si>
    <t>q01</t>
  </si>
  <si>
    <t>q10</t>
  </si>
  <si>
    <t>q11</t>
  </si>
  <si>
    <t>Esta es la matríz de probabilidad</t>
  </si>
  <si>
    <t>qij</t>
  </si>
  <si>
    <t>Ejercicio de tarea</t>
  </si>
  <si>
    <t>*</t>
  </si>
  <si>
    <t>p</t>
  </si>
  <si>
    <t>r</t>
  </si>
  <si>
    <t>Inciso A</t>
  </si>
  <si>
    <t>Inciso C</t>
  </si>
  <si>
    <t>p + r/2</t>
  </si>
  <si>
    <t>q + r/2</t>
  </si>
  <si>
    <t>Ahora pusimos "r/2" porque la probabilidad de r ahora se agrega como una posibilidad del 50% de que se transforme en difuso (Que no ocurre)</t>
  </si>
  <si>
    <t>Inciso D</t>
  </si>
  <si>
    <t>q + r</t>
  </si>
  <si>
    <t>p +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</si>
</sst>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5A0C5-1B1B-40F4-98E6-A81E8D65F153}" name="Tabla1" displayName="Tabla1" ref="B1:F5" totalsRowShown="0">
  <autoFilter ref="B1:F5" xr:uid="{F7D5A0C5-1B1B-40F4-98E6-A81E8D65F153}"/>
  <tableColumns count="5">
    <tableColumn id="1" xr3:uid="{BC27485C-8C77-4DDA-804F-A6D111C278BF}" name="Columna1"/>
    <tableColumn id="2" xr3:uid="{FC276628-228B-4DDF-BD0A-90E0AE4B408C}" name="N"/>
    <tableColumn id="3" xr3:uid="{C7141515-6E59-430E-8EE9-8D1DB287A398}" name="S"/>
    <tableColumn id="4" xr3:uid="{468C7A07-7F32-42AB-ADAE-B175266C0F3E}" name="E"/>
    <tableColumn id="5" xr3:uid="{E38115A8-FE06-40D4-9A5D-DDF33B83FDDE}" name="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9CE7-A7AC-402D-A004-899378562ADF}">
  <dimension ref="A1:F20"/>
  <sheetViews>
    <sheetView workbookViewId="0">
      <selection activeCell="H8" sqref="H8"/>
    </sheetView>
  </sheetViews>
  <sheetFormatPr baseColWidth="10" defaultRowHeight="14.4" x14ac:dyDescent="0.3"/>
  <cols>
    <col min="5" max="5" width="15.6640625" bestFit="1" customWidth="1"/>
    <col min="6" max="6" width="20.5546875" bestFit="1" customWidth="1"/>
  </cols>
  <sheetData>
    <row r="1" spans="1:6" x14ac:dyDescent="0.3">
      <c r="A1" s="1"/>
      <c r="B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5" spans="1:6" x14ac:dyDescent="0.3"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 x14ac:dyDescent="0.3">
      <c r="B6">
        <v>2</v>
      </c>
      <c r="C6">
        <v>1</v>
      </c>
      <c r="D6" s="2">
        <f>C6/36</f>
        <v>2.7777777777777776E-2</v>
      </c>
      <c r="E6">
        <f>-LOG(D6, 10)</f>
        <v>1.556302500767287</v>
      </c>
      <c r="F6" s="3">
        <f>D6 * E6</f>
        <v>4.3230625021313529E-2</v>
      </c>
    </row>
    <row r="7" spans="1:6" x14ac:dyDescent="0.3">
      <c r="B7">
        <v>3</v>
      </c>
      <c r="C7">
        <v>2</v>
      </c>
      <c r="D7" s="2">
        <f t="shared" ref="D7:D16" si="0">C7/36</f>
        <v>5.5555555555555552E-2</v>
      </c>
      <c r="E7">
        <f t="shared" ref="E7:E16" si="1">-LOG(D7, 10)</f>
        <v>1.255272505103306</v>
      </c>
      <c r="F7" s="3">
        <f t="shared" ref="F7:F16" si="2">D7 * E7</f>
        <v>6.9737361394628106E-2</v>
      </c>
    </row>
    <row r="8" spans="1:6" x14ac:dyDescent="0.3">
      <c r="B8">
        <v>4</v>
      </c>
      <c r="C8">
        <v>3</v>
      </c>
      <c r="D8" s="2">
        <f t="shared" si="0"/>
        <v>8.3333333333333329E-2</v>
      </c>
      <c r="E8">
        <f t="shared" si="1"/>
        <v>1.0791812460476247</v>
      </c>
      <c r="F8" s="3">
        <f t="shared" si="2"/>
        <v>8.9931770503968722E-2</v>
      </c>
    </row>
    <row r="9" spans="1:6" x14ac:dyDescent="0.3">
      <c r="B9">
        <v>5</v>
      </c>
      <c r="C9">
        <v>4</v>
      </c>
      <c r="D9" s="2">
        <f t="shared" si="0"/>
        <v>0.1111111111111111</v>
      </c>
      <c r="E9">
        <f t="shared" si="1"/>
        <v>0.95424250943932487</v>
      </c>
      <c r="F9" s="3">
        <f t="shared" si="2"/>
        <v>0.10602694549325831</v>
      </c>
    </row>
    <row r="10" spans="1:6" x14ac:dyDescent="0.3">
      <c r="B10">
        <v>6</v>
      </c>
      <c r="C10">
        <v>5</v>
      </c>
      <c r="D10" s="2">
        <f t="shared" si="0"/>
        <v>0.1388888888888889</v>
      </c>
      <c r="E10">
        <f t="shared" si="1"/>
        <v>0.85733249643126841</v>
      </c>
      <c r="F10" s="3">
        <f t="shared" si="2"/>
        <v>0.11907395783767617</v>
      </c>
    </row>
    <row r="11" spans="1:6" x14ac:dyDescent="0.3">
      <c r="B11">
        <v>7</v>
      </c>
      <c r="C11">
        <v>6</v>
      </c>
      <c r="D11" s="2">
        <f t="shared" si="0"/>
        <v>0.16666666666666666</v>
      </c>
      <c r="E11">
        <f t="shared" si="1"/>
        <v>0.77815125038364352</v>
      </c>
      <c r="F11" s="3">
        <f t="shared" si="2"/>
        <v>0.12969187506394059</v>
      </c>
    </row>
    <row r="12" spans="1:6" x14ac:dyDescent="0.3">
      <c r="B12">
        <v>8</v>
      </c>
      <c r="C12">
        <v>5</v>
      </c>
      <c r="D12" s="2">
        <f t="shared" si="0"/>
        <v>0.1388888888888889</v>
      </c>
      <c r="E12">
        <f t="shared" si="1"/>
        <v>0.85733249643126841</v>
      </c>
      <c r="F12" s="3">
        <f t="shared" si="2"/>
        <v>0.11907395783767617</v>
      </c>
    </row>
    <row r="13" spans="1:6" x14ac:dyDescent="0.3">
      <c r="B13">
        <v>9</v>
      </c>
      <c r="C13">
        <v>4</v>
      </c>
      <c r="D13" s="2">
        <f t="shared" si="0"/>
        <v>0.1111111111111111</v>
      </c>
      <c r="E13">
        <f t="shared" si="1"/>
        <v>0.95424250943932487</v>
      </c>
      <c r="F13" s="3">
        <f t="shared" si="2"/>
        <v>0.10602694549325831</v>
      </c>
    </row>
    <row r="14" spans="1:6" x14ac:dyDescent="0.3">
      <c r="B14">
        <v>10</v>
      </c>
      <c r="C14">
        <v>3</v>
      </c>
      <c r="D14" s="2">
        <f t="shared" si="0"/>
        <v>8.3333333333333329E-2</v>
      </c>
      <c r="E14">
        <f t="shared" si="1"/>
        <v>1.0791812460476247</v>
      </c>
      <c r="F14" s="3">
        <f t="shared" si="2"/>
        <v>8.9931770503968722E-2</v>
      </c>
    </row>
    <row r="15" spans="1:6" x14ac:dyDescent="0.3">
      <c r="B15">
        <v>11</v>
      </c>
      <c r="C15">
        <v>2</v>
      </c>
      <c r="D15" s="2">
        <f t="shared" si="0"/>
        <v>5.5555555555555552E-2</v>
      </c>
      <c r="E15">
        <f t="shared" si="1"/>
        <v>1.255272505103306</v>
      </c>
      <c r="F15" s="3">
        <f t="shared" si="2"/>
        <v>6.9737361394628106E-2</v>
      </c>
    </row>
    <row r="16" spans="1:6" x14ac:dyDescent="0.3">
      <c r="B16">
        <v>12</v>
      </c>
      <c r="C16">
        <v>1</v>
      </c>
      <c r="D16" s="2">
        <f t="shared" si="0"/>
        <v>2.7777777777777776E-2</v>
      </c>
      <c r="E16">
        <f t="shared" si="1"/>
        <v>1.556302500767287</v>
      </c>
      <c r="F16" s="3">
        <f t="shared" si="2"/>
        <v>4.3230625021313529E-2</v>
      </c>
    </row>
    <row r="17" spans="2:6" x14ac:dyDescent="0.3">
      <c r="E17">
        <f>SUM(E6:E16)</f>
        <v>12.182813765961267</v>
      </c>
      <c r="F17">
        <f>SUM(F6:F16)</f>
        <v>0.98569319556563029</v>
      </c>
    </row>
    <row r="19" spans="2:6" ht="57.6" x14ac:dyDescent="0.3">
      <c r="B19" s="4" t="s">
        <v>8</v>
      </c>
      <c r="C19" s="7">
        <f>E17</f>
        <v>12.182813765961267</v>
      </c>
    </row>
    <row r="20" spans="2:6" ht="43.2" x14ac:dyDescent="0.3">
      <c r="B20" s="6" t="s">
        <v>9</v>
      </c>
      <c r="C20" s="7">
        <f>F17</f>
        <v>0.98569319556563029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945B-2D9C-4305-98A8-AA4B7DE20A59}">
  <dimension ref="A1:B13"/>
  <sheetViews>
    <sheetView workbookViewId="0">
      <selection activeCell="B6" sqref="B6"/>
    </sheetView>
  </sheetViews>
  <sheetFormatPr baseColWidth="10" defaultRowHeight="14.4" x14ac:dyDescent="0.3"/>
  <cols>
    <col min="1" max="1" width="3.33203125" customWidth="1"/>
  </cols>
  <sheetData>
    <row r="1" spans="1:2" x14ac:dyDescent="0.3">
      <c r="A1" t="s">
        <v>19</v>
      </c>
    </row>
    <row r="2" spans="1:2" x14ac:dyDescent="0.3">
      <c r="A2" t="s">
        <v>20</v>
      </c>
    </row>
    <row r="3" spans="1:2" x14ac:dyDescent="0.3">
      <c r="A3" t="s">
        <v>21</v>
      </c>
    </row>
    <row r="5" spans="1:2" x14ac:dyDescent="0.3">
      <c r="B5">
        <v>0.3</v>
      </c>
    </row>
    <row r="6" spans="1:2" x14ac:dyDescent="0.3">
      <c r="A6" t="s">
        <v>22</v>
      </c>
      <c r="B6">
        <v>0.21</v>
      </c>
    </row>
    <row r="7" spans="1:2" x14ac:dyDescent="0.3">
      <c r="A7" t="s">
        <v>23</v>
      </c>
    </row>
    <row r="8" spans="1:2" x14ac:dyDescent="0.3">
      <c r="A8" t="s">
        <v>24</v>
      </c>
    </row>
    <row r="9" spans="1:2" x14ac:dyDescent="0.3">
      <c r="A9" t="s">
        <v>25</v>
      </c>
    </row>
    <row r="10" spans="1:2" x14ac:dyDescent="0.3">
      <c r="A10" t="s">
        <v>26</v>
      </c>
    </row>
    <row r="11" spans="1:2" x14ac:dyDescent="0.3">
      <c r="A11" t="s">
        <v>27</v>
      </c>
    </row>
    <row r="12" spans="1:2" x14ac:dyDescent="0.3">
      <c r="A12" t="s">
        <v>28</v>
      </c>
    </row>
    <row r="13" spans="1:2" x14ac:dyDescent="0.3">
      <c r="A13" t="s">
        <v>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B3EF-BA6A-405D-83A3-90737878CE28}">
  <dimension ref="A1:G9"/>
  <sheetViews>
    <sheetView workbookViewId="0">
      <selection activeCell="G24" sqref="G24"/>
    </sheetView>
  </sheetViews>
  <sheetFormatPr baseColWidth="10" defaultRowHeight="14.4" x14ac:dyDescent="0.3"/>
  <cols>
    <col min="1" max="1" width="21.77734375" bestFit="1" customWidth="1"/>
    <col min="2" max="2" width="4.5546875" bestFit="1" customWidth="1"/>
    <col min="3" max="3" width="4.33203125" bestFit="1" customWidth="1"/>
    <col min="4" max="4" width="4.21875" bestFit="1" customWidth="1"/>
    <col min="5" max="6" width="4.5546875" bestFit="1" customWidth="1"/>
    <col min="7" max="7" width="16.77734375" bestFit="1" customWidth="1"/>
  </cols>
  <sheetData>
    <row r="1" spans="1:7" x14ac:dyDescent="0.3">
      <c r="B1" t="s">
        <v>14</v>
      </c>
      <c r="C1" t="s">
        <v>10</v>
      </c>
      <c r="D1" t="s">
        <v>11</v>
      </c>
      <c r="E1" t="s">
        <v>12</v>
      </c>
      <c r="F1" t="s">
        <v>13</v>
      </c>
      <c r="G1" t="s">
        <v>16</v>
      </c>
    </row>
    <row r="2" spans="1:7" x14ac:dyDescent="0.3">
      <c r="A2" t="s">
        <v>15</v>
      </c>
      <c r="B2" t="s">
        <v>10</v>
      </c>
      <c r="C2">
        <v>0.5</v>
      </c>
      <c r="E2">
        <v>0.3</v>
      </c>
      <c r="F2">
        <v>0.2</v>
      </c>
      <c r="G2" s="5">
        <f>SUM(Tabla1[[#This Row],[N]:[O]])</f>
        <v>1</v>
      </c>
    </row>
    <row r="3" spans="1:7" x14ac:dyDescent="0.3">
      <c r="A3" t="s">
        <v>15</v>
      </c>
      <c r="B3" t="s">
        <v>11</v>
      </c>
      <c r="D3">
        <v>0.5</v>
      </c>
      <c r="E3">
        <v>0.2</v>
      </c>
      <c r="F3">
        <v>0.3</v>
      </c>
      <c r="G3" s="5">
        <f>SUM(Tabla1[[#This Row],[N]:[O]])</f>
        <v>1</v>
      </c>
    </row>
    <row r="4" spans="1:7" x14ac:dyDescent="0.3">
      <c r="A4" t="s">
        <v>15</v>
      </c>
      <c r="B4" t="s">
        <v>12</v>
      </c>
      <c r="C4">
        <v>0.2</v>
      </c>
      <c r="D4">
        <v>0.3</v>
      </c>
      <c r="E4">
        <v>0.5</v>
      </c>
      <c r="G4" s="5">
        <f>SUM(Tabla1[[#This Row],[N]:[O]])</f>
        <v>1</v>
      </c>
    </row>
    <row r="5" spans="1:7" x14ac:dyDescent="0.3">
      <c r="A5" t="s">
        <v>15</v>
      </c>
      <c r="B5" t="s">
        <v>13</v>
      </c>
      <c r="C5">
        <v>0.3</v>
      </c>
      <c r="D5">
        <v>0.2</v>
      </c>
      <c r="F5">
        <v>0.5</v>
      </c>
      <c r="G5" s="5">
        <f>SUM(Tabla1[[#This Row],[N]:[O]])</f>
        <v>1</v>
      </c>
    </row>
    <row r="6" spans="1:7" x14ac:dyDescent="0.3">
      <c r="G6" t="s">
        <v>18</v>
      </c>
    </row>
    <row r="7" spans="1:7" x14ac:dyDescent="0.3">
      <c r="A7" t="s">
        <v>17</v>
      </c>
    </row>
    <row r="8" spans="1:7" x14ac:dyDescent="0.3">
      <c r="A8" t="s">
        <v>30</v>
      </c>
    </row>
    <row r="9" spans="1:7" x14ac:dyDescent="0.3">
      <c r="A9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5F0B-E51A-4CAC-80EB-D40AA688E7B5}">
  <dimension ref="A1:O23"/>
  <sheetViews>
    <sheetView workbookViewId="0">
      <selection activeCell="G23" sqref="G23"/>
    </sheetView>
  </sheetViews>
  <sheetFormatPr baseColWidth="10" defaultRowHeight="14.4" x14ac:dyDescent="0.3"/>
  <sheetData>
    <row r="1" spans="1:15" x14ac:dyDescent="0.3">
      <c r="A1" t="s">
        <v>32</v>
      </c>
    </row>
    <row r="3" spans="1:15" x14ac:dyDescent="0.3">
      <c r="A3" t="s">
        <v>44</v>
      </c>
    </row>
    <row r="4" spans="1:15" x14ac:dyDescent="0.3">
      <c r="A4" s="8" t="s">
        <v>45</v>
      </c>
      <c r="B4">
        <v>1111</v>
      </c>
    </row>
    <row r="6" spans="1:15" x14ac:dyDescent="0.3">
      <c r="F6" t="s">
        <v>33</v>
      </c>
      <c r="G6" t="s">
        <v>34</v>
      </c>
      <c r="H6" t="s">
        <v>35</v>
      </c>
      <c r="I6" t="s">
        <v>36</v>
      </c>
      <c r="K6" s="7" t="s">
        <v>42</v>
      </c>
      <c r="L6" t="s">
        <v>43</v>
      </c>
      <c r="M6" t="s">
        <v>34</v>
      </c>
      <c r="N6" t="s">
        <v>46</v>
      </c>
      <c r="O6" t="s">
        <v>36</v>
      </c>
    </row>
    <row r="7" spans="1:15" x14ac:dyDescent="0.3">
      <c r="E7">
        <v>1</v>
      </c>
      <c r="F7" t="s">
        <v>37</v>
      </c>
      <c r="G7">
        <v>2</v>
      </c>
      <c r="H7" t="s">
        <v>38</v>
      </c>
      <c r="I7">
        <v>3</v>
      </c>
      <c r="K7" s="5">
        <v>1</v>
      </c>
      <c r="L7" t="s">
        <v>47</v>
      </c>
      <c r="N7" t="s">
        <v>47</v>
      </c>
    </row>
    <row r="8" spans="1:15" x14ac:dyDescent="0.3">
      <c r="E8">
        <v>0</v>
      </c>
      <c r="F8" t="s">
        <v>39</v>
      </c>
      <c r="G8">
        <v>4</v>
      </c>
      <c r="I8">
        <v>9</v>
      </c>
      <c r="K8" s="7">
        <v>2</v>
      </c>
      <c r="L8" t="s">
        <v>47</v>
      </c>
      <c r="N8" t="s">
        <v>47</v>
      </c>
    </row>
    <row r="9" spans="1:15" x14ac:dyDescent="0.3">
      <c r="I9">
        <v>27</v>
      </c>
      <c r="K9" s="7">
        <v>3</v>
      </c>
      <c r="L9" t="s">
        <v>47</v>
      </c>
      <c r="N9" t="s">
        <v>47</v>
      </c>
    </row>
    <row r="10" spans="1:15" x14ac:dyDescent="0.3">
      <c r="K10" s="7">
        <v>4</v>
      </c>
      <c r="L10" t="s">
        <v>48</v>
      </c>
      <c r="M10">
        <v>2</v>
      </c>
      <c r="N10" t="s">
        <v>50</v>
      </c>
      <c r="O10" t="s">
        <v>49</v>
      </c>
    </row>
    <row r="11" spans="1:15" x14ac:dyDescent="0.3">
      <c r="K11" s="7">
        <v>5</v>
      </c>
      <c r="L11" t="s">
        <v>48</v>
      </c>
      <c r="M11">
        <v>2</v>
      </c>
      <c r="N11" t="s">
        <v>50</v>
      </c>
      <c r="O11" t="s">
        <v>49</v>
      </c>
    </row>
    <row r="12" spans="1:15" x14ac:dyDescent="0.3">
      <c r="K12" s="7">
        <v>6</v>
      </c>
      <c r="L12" t="s">
        <v>48</v>
      </c>
      <c r="M12">
        <v>2</v>
      </c>
      <c r="N12" t="s">
        <v>50</v>
      </c>
      <c r="O12" t="s">
        <v>49</v>
      </c>
    </row>
    <row r="13" spans="1:15" x14ac:dyDescent="0.3">
      <c r="K13" s="7">
        <v>7</v>
      </c>
      <c r="L13" t="s">
        <v>48</v>
      </c>
      <c r="M13">
        <v>2</v>
      </c>
      <c r="N13" t="s">
        <v>50</v>
      </c>
      <c r="O13" t="s">
        <v>49</v>
      </c>
    </row>
    <row r="14" spans="1:15" x14ac:dyDescent="0.3">
      <c r="K14" s="7">
        <v>8</v>
      </c>
      <c r="L14" t="s">
        <v>51</v>
      </c>
      <c r="M14">
        <v>4</v>
      </c>
      <c r="N14" t="s">
        <v>53</v>
      </c>
      <c r="O14" t="s">
        <v>52</v>
      </c>
    </row>
    <row r="16" spans="1:15" x14ac:dyDescent="0.3">
      <c r="A16" t="s">
        <v>55</v>
      </c>
    </row>
    <row r="17" spans="1:1" x14ac:dyDescent="0.3">
      <c r="A17" t="s">
        <v>54</v>
      </c>
    </row>
    <row r="21" spans="1:1" x14ac:dyDescent="0.3">
      <c r="A21" t="s">
        <v>40</v>
      </c>
    </row>
    <row r="23" spans="1:1" x14ac:dyDescent="0.3">
      <c r="A2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8D1C-F593-4193-A1AF-3CBA5B686DD1}">
  <dimension ref="A1:K12"/>
  <sheetViews>
    <sheetView workbookViewId="0">
      <selection activeCell="K9" sqref="K9"/>
    </sheetView>
  </sheetViews>
  <sheetFormatPr baseColWidth="10" defaultRowHeight="14.4" x14ac:dyDescent="0.3"/>
  <cols>
    <col min="1" max="1" width="17.5546875" bestFit="1" customWidth="1"/>
  </cols>
  <sheetData>
    <row r="1" spans="1:11" x14ac:dyDescent="0.3">
      <c r="A1" t="s">
        <v>56</v>
      </c>
      <c r="B1" t="s">
        <v>57</v>
      </c>
      <c r="C1" t="s">
        <v>58</v>
      </c>
    </row>
    <row r="2" spans="1:11" x14ac:dyDescent="0.3">
      <c r="B2" t="s">
        <v>59</v>
      </c>
      <c r="C2" t="s">
        <v>60</v>
      </c>
    </row>
    <row r="4" spans="1:11" x14ac:dyDescent="0.3">
      <c r="E4" t="s">
        <v>42</v>
      </c>
      <c r="F4" t="s">
        <v>33</v>
      </c>
      <c r="G4" t="s">
        <v>34</v>
      </c>
      <c r="H4" t="s">
        <v>35</v>
      </c>
      <c r="I4" t="s">
        <v>36</v>
      </c>
    </row>
    <row r="5" spans="1:11" x14ac:dyDescent="0.3">
      <c r="E5">
        <v>1</v>
      </c>
      <c r="F5" t="s">
        <v>58</v>
      </c>
      <c r="G5">
        <v>5</v>
      </c>
      <c r="H5" t="s">
        <v>61</v>
      </c>
      <c r="I5">
        <v>1</v>
      </c>
    </row>
    <row r="6" spans="1:11" x14ac:dyDescent="0.3">
      <c r="E6">
        <v>2</v>
      </c>
      <c r="F6" t="s">
        <v>65</v>
      </c>
      <c r="G6">
        <f>G5 * 5</f>
        <v>25</v>
      </c>
      <c r="H6" t="s">
        <v>63</v>
      </c>
      <c r="I6">
        <v>3</v>
      </c>
    </row>
    <row r="7" spans="1:11" x14ac:dyDescent="0.3">
      <c r="E7">
        <v>3</v>
      </c>
      <c r="F7" t="s">
        <v>66</v>
      </c>
      <c r="G7">
        <f t="shared" ref="G7:G11" si="0">G6 * 5</f>
        <v>125</v>
      </c>
      <c r="H7" t="s">
        <v>64</v>
      </c>
      <c r="I7">
        <v>6</v>
      </c>
      <c r="K7" t="s">
        <v>67</v>
      </c>
    </row>
    <row r="8" spans="1:11" x14ac:dyDescent="0.3">
      <c r="E8">
        <v>4</v>
      </c>
      <c r="G8">
        <f t="shared" si="0"/>
        <v>625</v>
      </c>
      <c r="I8">
        <v>14</v>
      </c>
      <c r="K8" t="s">
        <v>68</v>
      </c>
    </row>
    <row r="9" spans="1:11" x14ac:dyDescent="0.3">
      <c r="E9">
        <v>5</v>
      </c>
      <c r="G9">
        <f t="shared" si="0"/>
        <v>3125</v>
      </c>
      <c r="I9">
        <v>40</v>
      </c>
    </row>
    <row r="10" spans="1:11" x14ac:dyDescent="0.3">
      <c r="E10">
        <v>6</v>
      </c>
      <c r="G10">
        <f t="shared" si="0"/>
        <v>15625</v>
      </c>
      <c r="I10">
        <v>67</v>
      </c>
    </row>
    <row r="11" spans="1:11" x14ac:dyDescent="0.3">
      <c r="E11">
        <v>7</v>
      </c>
      <c r="G11">
        <f t="shared" si="0"/>
        <v>78125</v>
      </c>
      <c r="I11">
        <v>147</v>
      </c>
    </row>
    <row r="12" spans="1:11" x14ac:dyDescent="0.3">
      <c r="E12">
        <v>8</v>
      </c>
      <c r="G12">
        <f>G11 * 5</f>
        <v>390625</v>
      </c>
      <c r="I12">
        <v>325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C646-01AC-4B63-B1FD-6C58088E357C}">
  <dimension ref="B1:H5"/>
  <sheetViews>
    <sheetView topLeftCell="C1" zoomScale="184" workbookViewId="0">
      <selection activeCell="F18" sqref="F18"/>
    </sheetView>
  </sheetViews>
  <sheetFormatPr baseColWidth="10" defaultRowHeight="14.4" x14ac:dyDescent="0.3"/>
  <sheetData>
    <row r="1" spans="2:8" x14ac:dyDescent="0.3">
      <c r="E1" t="s">
        <v>77</v>
      </c>
    </row>
    <row r="2" spans="2:8" x14ac:dyDescent="0.3">
      <c r="B2" t="s">
        <v>69</v>
      </c>
      <c r="C2" t="s">
        <v>70</v>
      </c>
    </row>
    <row r="3" spans="2:8" x14ac:dyDescent="0.3">
      <c r="B3" t="s">
        <v>71</v>
      </c>
      <c r="C3" t="s">
        <v>70</v>
      </c>
      <c r="G3">
        <v>0</v>
      </c>
      <c r="H3">
        <v>1</v>
      </c>
    </row>
    <row r="4" spans="2:8" x14ac:dyDescent="0.3">
      <c r="E4" t="s">
        <v>72</v>
      </c>
      <c r="G4" t="s">
        <v>73</v>
      </c>
      <c r="H4" t="s">
        <v>74</v>
      </c>
    </row>
    <row r="5" spans="2:8" x14ac:dyDescent="0.3">
      <c r="E5" t="s">
        <v>78</v>
      </c>
      <c r="G5" t="s">
        <v>75</v>
      </c>
      <c r="H5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E2A8-AA81-46F4-AC31-B9F4209FAF76}">
  <dimension ref="A1:J14"/>
  <sheetViews>
    <sheetView tabSelected="1" workbookViewId="0">
      <selection activeCell="D15" sqref="D15"/>
    </sheetView>
  </sheetViews>
  <sheetFormatPr baseColWidth="10" defaultRowHeight="14.4" x14ac:dyDescent="0.3"/>
  <sheetData>
    <row r="1" spans="1:10" x14ac:dyDescent="0.3">
      <c r="A1" t="s">
        <v>79</v>
      </c>
    </row>
    <row r="2" spans="1:10" x14ac:dyDescent="0.3">
      <c r="D2" t="s">
        <v>83</v>
      </c>
      <c r="H2" t="s">
        <v>84</v>
      </c>
    </row>
    <row r="3" spans="1:10" x14ac:dyDescent="0.3">
      <c r="D3" t="s">
        <v>72</v>
      </c>
      <c r="E3">
        <v>0</v>
      </c>
      <c r="F3">
        <v>1</v>
      </c>
      <c r="G3" t="s">
        <v>80</v>
      </c>
      <c r="H3" t="s">
        <v>72</v>
      </c>
      <c r="I3">
        <v>0</v>
      </c>
      <c r="J3">
        <v>1</v>
      </c>
    </row>
    <row r="4" spans="1:10" x14ac:dyDescent="0.3">
      <c r="D4">
        <v>0</v>
      </c>
      <c r="E4" t="s">
        <v>81</v>
      </c>
      <c r="F4" t="s">
        <v>62</v>
      </c>
      <c r="G4" t="s">
        <v>82</v>
      </c>
      <c r="H4">
        <v>0</v>
      </c>
      <c r="I4" t="s">
        <v>85</v>
      </c>
      <c r="J4" t="s">
        <v>86</v>
      </c>
    </row>
    <row r="5" spans="1:10" x14ac:dyDescent="0.3">
      <c r="D5">
        <v>1</v>
      </c>
      <c r="E5" t="s">
        <v>62</v>
      </c>
      <c r="F5" t="s">
        <v>81</v>
      </c>
      <c r="G5" t="s">
        <v>82</v>
      </c>
      <c r="H5">
        <v>1</v>
      </c>
      <c r="I5" t="s">
        <v>86</v>
      </c>
      <c r="J5" t="s">
        <v>85</v>
      </c>
    </row>
    <row r="6" spans="1:10" x14ac:dyDescent="0.3">
      <c r="H6" t="s">
        <v>87</v>
      </c>
    </row>
    <row r="11" spans="1:10" x14ac:dyDescent="0.3">
      <c r="D11" t="s">
        <v>88</v>
      </c>
    </row>
    <row r="12" spans="1:10" x14ac:dyDescent="0.3">
      <c r="D12" t="s">
        <v>72</v>
      </c>
      <c r="E12">
        <v>0</v>
      </c>
      <c r="F12">
        <v>1</v>
      </c>
    </row>
    <row r="13" spans="1:10" x14ac:dyDescent="0.3">
      <c r="D13">
        <v>0</v>
      </c>
      <c r="E13" t="s">
        <v>81</v>
      </c>
      <c r="F13" t="s">
        <v>89</v>
      </c>
    </row>
    <row r="14" spans="1:10" x14ac:dyDescent="0.3">
      <c r="D14">
        <v>1</v>
      </c>
      <c r="E14" t="s">
        <v>62</v>
      </c>
      <c r="F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Problema 1</vt:lpstr>
      <vt:lpstr>Problema 2</vt:lpstr>
      <vt:lpstr>Problema 3</vt:lpstr>
      <vt:lpstr>Hoja4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JOSUA PEREGRINA MORALES</cp:lastModifiedBy>
  <dcterms:created xsi:type="dcterms:W3CDTF">2026-02-06T00:18:35Z</dcterms:created>
  <dcterms:modified xsi:type="dcterms:W3CDTF">2026-02-13T01:08:46Z</dcterms:modified>
</cp:coreProperties>
</file>
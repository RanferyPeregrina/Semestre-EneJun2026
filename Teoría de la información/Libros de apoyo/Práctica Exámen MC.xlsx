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Libros de apoyo\"/>
    </mc:Choice>
  </mc:AlternateContent>
  <xr:revisionPtr revIDLastSave="0" documentId="13_ncr:1_{BA9E4339-C807-4D47-BDCF-B7BB3748E48A}" xr6:coauthVersionLast="47" xr6:coauthVersionMax="47" xr10:uidLastSave="{00000000-0000-0000-0000-000000000000}"/>
  <bookViews>
    <workbookView xWindow="-108" yWindow="-108" windowWidth="20376" windowHeight="12216" activeTab="1" xr2:uid="{1B2D5A58-B732-405D-921E-4B9C3DD4EFC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3" i="2" l="1"/>
  <c r="AA23" i="2" l="1"/>
  <c r="X27" i="2"/>
  <c r="X26" i="2"/>
  <c r="X25" i="2"/>
  <c r="W26" i="2"/>
  <c r="W25" i="2"/>
  <c r="X18" i="2"/>
  <c r="X22" i="2"/>
  <c r="X19" i="2"/>
  <c r="X20" i="2"/>
  <c r="X21" i="2"/>
  <c r="W19" i="2"/>
  <c r="W20" i="2"/>
  <c r="W21" i="2"/>
  <c r="W18" i="2"/>
  <c r="AH15" i="2" l="1"/>
  <c r="AH16" i="2"/>
  <c r="AH17" i="2"/>
  <c r="AH14" i="2"/>
  <c r="AE18" i="2"/>
  <c r="AF18" i="2"/>
  <c r="AG18" i="2"/>
  <c r="AD18" i="2"/>
  <c r="AE17" i="2"/>
  <c r="AF17" i="2"/>
  <c r="AG17" i="2"/>
  <c r="AE16" i="2"/>
  <c r="AF16" i="2"/>
  <c r="AG16" i="2"/>
  <c r="AE15" i="2"/>
  <c r="AF15" i="2"/>
  <c r="AG15" i="2"/>
  <c r="AE14" i="2"/>
  <c r="AF14" i="2"/>
  <c r="AG14" i="2"/>
  <c r="T19" i="2"/>
  <c r="S19" i="2"/>
  <c r="R22" i="2"/>
  <c r="R21" i="2"/>
  <c r="R20" i="2"/>
  <c r="R19" i="2"/>
  <c r="AD16" i="2"/>
  <c r="AD15" i="2"/>
  <c r="AD14" i="2"/>
  <c r="AD17" i="2"/>
  <c r="AB17" i="2"/>
  <c r="AB16" i="2"/>
  <c r="AG8" i="2"/>
  <c r="AG7" i="2"/>
  <c r="AF7" i="2"/>
  <c r="AE9" i="2"/>
  <c r="AF9" i="2"/>
  <c r="AE8" i="2"/>
  <c r="AD8" i="2"/>
  <c r="AD9" i="2"/>
  <c r="AD7" i="2"/>
  <c r="AF6" i="2"/>
  <c r="AG6" i="2"/>
  <c r="AE6" i="2"/>
  <c r="S4" i="2"/>
  <c r="R4" i="2"/>
  <c r="R3" i="2"/>
  <c r="AB9" i="2"/>
  <c r="AB8" i="2"/>
  <c r="Z6" i="2"/>
  <c r="Y6" i="2"/>
  <c r="T21" i="2"/>
  <c r="S21" i="2"/>
  <c r="U21" i="2"/>
  <c r="U20" i="2"/>
  <c r="T20" i="2"/>
  <c r="S20" i="2"/>
  <c r="T22" i="2"/>
  <c r="S22" i="2"/>
  <c r="U19" i="2"/>
  <c r="S7" i="2"/>
  <c r="S5" i="2"/>
  <c r="R5" i="2"/>
  <c r="R7" i="2" s="1"/>
  <c r="S3" i="2"/>
  <c r="G9" i="1"/>
  <c r="G8" i="1"/>
  <c r="F17" i="1"/>
  <c r="E17" i="1"/>
  <c r="D17" i="1"/>
  <c r="C17" i="1"/>
  <c r="G16" i="1"/>
  <c r="F16" i="1"/>
  <c r="E16" i="1"/>
  <c r="D16" i="1"/>
  <c r="C16" i="1"/>
  <c r="G4" i="1" l="1"/>
  <c r="C9" i="1"/>
  <c r="C10" i="1"/>
  <c r="C11" i="1"/>
  <c r="C12" i="1"/>
  <c r="D12" i="1"/>
  <c r="D11" i="1"/>
  <c r="D10" i="1"/>
  <c r="E9" i="1"/>
  <c r="E11" i="1"/>
  <c r="E12" i="1"/>
  <c r="F10" i="1"/>
  <c r="F12" i="1"/>
  <c r="G11" i="1"/>
  <c r="G10" i="1"/>
  <c r="F9" i="1"/>
  <c r="E8" i="1"/>
  <c r="F8" i="1"/>
  <c r="M16" i="1" s="1"/>
  <c r="D8" i="1"/>
  <c r="G20" i="1"/>
  <c r="E18" i="1" l="1"/>
  <c r="G18" i="1"/>
  <c r="E19" i="1"/>
  <c r="F19" i="1"/>
  <c r="C19" i="1"/>
  <c r="F20" i="1"/>
  <c r="G19" i="1"/>
  <c r="G17" i="1"/>
  <c r="G21" i="1"/>
  <c r="I20" i="1" s="1"/>
  <c r="J20" i="1" s="1"/>
  <c r="K20" i="1" s="1"/>
  <c r="E20" i="1"/>
  <c r="D20" i="1"/>
  <c r="C20" i="1"/>
  <c r="F18" i="1"/>
  <c r="C18" i="1"/>
  <c r="D18" i="1"/>
  <c r="D19" i="1"/>
  <c r="I4" i="1"/>
  <c r="D21" i="1" l="1"/>
  <c r="I17" i="1" s="1"/>
  <c r="J17" i="1" s="1"/>
  <c r="K17" i="1" s="1"/>
  <c r="F21" i="1"/>
  <c r="I19" i="1" s="1"/>
  <c r="J19" i="1" s="1"/>
  <c r="K19" i="1" s="1"/>
  <c r="E21" i="1"/>
  <c r="I18" i="1" s="1"/>
  <c r="J18" i="1" s="1"/>
  <c r="K18" i="1" s="1"/>
  <c r="C21" i="1"/>
  <c r="I16" i="1" s="1"/>
  <c r="J16" i="1" s="1"/>
  <c r="K16" i="1" s="1"/>
</calcChain>
</file>

<file path=xl/sharedStrings.xml><?xml version="1.0" encoding="utf-8"?>
<sst xmlns="http://schemas.openxmlformats.org/spreadsheetml/2006/main" count="115" uniqueCount="57">
  <si>
    <t>a</t>
  </si>
  <si>
    <t>b</t>
  </si>
  <si>
    <t>c</t>
  </si>
  <si>
    <t>d</t>
  </si>
  <si>
    <t>Suma</t>
  </si>
  <si>
    <t>Probabilidad de aparición</t>
  </si>
  <si>
    <t>Columna1</t>
  </si>
  <si>
    <t>Probabilidad de fallo</t>
  </si>
  <si>
    <t>e</t>
  </si>
  <si>
    <t>Matríz de Trancisción</t>
  </si>
  <si>
    <t>Matríz de Transmisión</t>
  </si>
  <si>
    <t>Frecuencia de salida</t>
  </si>
  <si>
    <t>Autoinformación:</t>
  </si>
  <si>
    <t>Voy a poner otra letra (e) para rellenar</t>
  </si>
  <si>
    <t>Revisen la autoinformación porfa no sé si la estoy sacando de los datos correctos</t>
  </si>
  <si>
    <t>Entropía</t>
  </si>
  <si>
    <t>Por Si las dudas, haré 2 tablas de entropía no sé cúal sea correcta</t>
  </si>
  <si>
    <t>Qué</t>
  </si>
  <si>
    <t>1)</t>
  </si>
  <si>
    <t>M1</t>
  </si>
  <si>
    <t>M2</t>
  </si>
  <si>
    <t>M3</t>
  </si>
  <si>
    <t>P0</t>
  </si>
  <si>
    <t>P1</t>
  </si>
  <si>
    <t>4)</t>
  </si>
  <si>
    <t>A)</t>
  </si>
  <si>
    <t>B)</t>
  </si>
  <si>
    <t>(a1, a2, a3)</t>
  </si>
  <si>
    <t>(b1, b2, b3)</t>
  </si>
  <si>
    <t>Matriz de trancision</t>
  </si>
  <si>
    <t>Q</t>
  </si>
  <si>
    <t>b1</t>
  </si>
  <si>
    <t>b2</t>
  </si>
  <si>
    <t>b3</t>
  </si>
  <si>
    <t>P2</t>
  </si>
  <si>
    <t>P3</t>
  </si>
  <si>
    <t>a1</t>
  </si>
  <si>
    <t>a2</t>
  </si>
  <si>
    <t>a3</t>
  </si>
  <si>
    <t>Matriz de transmision</t>
  </si>
  <si>
    <t>Frec. Entrada</t>
  </si>
  <si>
    <t>Frec. Salida</t>
  </si>
  <si>
    <t>A</t>
  </si>
  <si>
    <t>B</t>
  </si>
  <si>
    <t>c1</t>
  </si>
  <si>
    <t>d1</t>
  </si>
  <si>
    <t>P(éxito)</t>
  </si>
  <si>
    <t>P(frac)</t>
  </si>
  <si>
    <t>Mstriz de trancision</t>
  </si>
  <si>
    <t>F. salida</t>
  </si>
  <si>
    <t>F. entrada</t>
  </si>
  <si>
    <t>I(EA)</t>
  </si>
  <si>
    <t>H(EA)</t>
  </si>
  <si>
    <t>I(EC)</t>
  </si>
  <si>
    <t>Inf. Transmitida</t>
  </si>
  <si>
    <t>Bits/simb</t>
  </si>
  <si>
    <t>Capacidad de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</si>
</sst>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\ ???/???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0" fontId="0" fillId="4" borderId="0" xfId="0" applyFill="1"/>
    <xf numFmtId="164" fontId="0" fillId="0" borderId="0" xfId="0" applyNumberFormat="1"/>
    <xf numFmtId="0" fontId="0" fillId="2" borderId="0" xfId="0" applyFill="1" applyAlignment="1">
      <alignment wrapText="1"/>
    </xf>
    <xf numFmtId="0" fontId="0" fillId="4" borderId="0" xfId="0" applyFill="1" applyAlignment="1">
      <alignment horizontal="center" wrapText="1"/>
    </xf>
    <xf numFmtId="164" fontId="0" fillId="4" borderId="0" xfId="0" applyNumberFormat="1" applyFill="1"/>
    <xf numFmtId="164" fontId="2" fillId="4" borderId="0" xfId="0" applyNumberFormat="1" applyFont="1" applyFill="1"/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7F4F2A-DE83-4A93-A720-F635F352A5C7}" name="Tabla2" displayName="Tabla2" ref="B3:G5" totalsRowShown="0">
  <autoFilter ref="B3:G5" xr:uid="{797F4F2A-DE83-4A93-A720-F635F352A5C7}"/>
  <tableColumns count="6">
    <tableColumn id="1" xr3:uid="{558271E2-8147-4FF6-A576-81B8AE3DC0C6}" name="Columna1" dataDxfId="0"/>
    <tableColumn id="2" xr3:uid="{9606F360-3E10-49C1-927F-5CE7FBF5E527}" name="a"/>
    <tableColumn id="3" xr3:uid="{6073D23E-82CB-4AB8-A44D-081765527F15}" name="b"/>
    <tableColumn id="4" xr3:uid="{995500E9-C3ED-443B-9E33-D34E0EA48033}" name="c"/>
    <tableColumn id="5" xr3:uid="{AC632472-55EC-4F2C-A210-966C886E61BA}" name="d"/>
    <tableColumn id="6" xr3:uid="{8E4CED38-6B50-4742-BA8B-8089089769D1}" name="Suma">
      <calculatedColumnFormula>SUM(C4:F5)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CD5B-2086-42F8-A12B-876693EB4F9D}">
  <dimension ref="A3:N21"/>
  <sheetViews>
    <sheetView topLeftCell="A15" zoomScaleNormal="100" workbookViewId="0">
      <selection activeCell="I9" sqref="I9"/>
    </sheetView>
  </sheetViews>
  <sheetFormatPr baseColWidth="10" defaultRowHeight="14.4" x14ac:dyDescent="0.3"/>
  <cols>
    <col min="10" max="10" width="12" bestFit="1" customWidth="1"/>
  </cols>
  <sheetData>
    <row r="3" spans="1:14" x14ac:dyDescent="0.3"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I3" t="s">
        <v>7</v>
      </c>
    </row>
    <row r="4" spans="1:14" ht="28.8" x14ac:dyDescent="0.3">
      <c r="B4" s="1" t="s">
        <v>5</v>
      </c>
      <c r="C4">
        <v>0.17</v>
      </c>
      <c r="D4">
        <v>0.38</v>
      </c>
      <c r="E4">
        <v>0.2</v>
      </c>
      <c r="F4">
        <v>0.05</v>
      </c>
      <c r="G4" s="1" t="str">
        <f>CONCATENATE(SUM(C4:F5), " , debería ser 1")</f>
        <v>0.8 , debería ser 1</v>
      </c>
      <c r="I4">
        <f xml:space="preserve"> 1 - 0.95</f>
        <v>5.0000000000000044E-2</v>
      </c>
    </row>
    <row r="5" spans="1:14" ht="43.2" x14ac:dyDescent="0.3">
      <c r="B5" s="1"/>
      <c r="G5" s="1" t="s">
        <v>13</v>
      </c>
    </row>
    <row r="6" spans="1:14" x14ac:dyDescent="0.3">
      <c r="A6" s="14" t="s">
        <v>9</v>
      </c>
      <c r="B6" s="14"/>
      <c r="C6" s="14"/>
      <c r="D6" s="14"/>
      <c r="E6" s="14"/>
      <c r="F6" s="14"/>
      <c r="G6" s="14"/>
    </row>
    <row r="7" spans="1:14" ht="28.8" x14ac:dyDescent="0.3">
      <c r="A7" s="7" t="s">
        <v>5</v>
      </c>
      <c r="B7" s="2"/>
      <c r="C7" s="2" t="s">
        <v>0</v>
      </c>
      <c r="D7" s="2" t="s">
        <v>1</v>
      </c>
      <c r="E7" s="2" t="s">
        <v>2</v>
      </c>
      <c r="F7" s="2" t="s">
        <v>3</v>
      </c>
      <c r="G7" s="2" t="s">
        <v>8</v>
      </c>
    </row>
    <row r="8" spans="1:14" x14ac:dyDescent="0.3">
      <c r="A8" s="3">
        <v>0.17</v>
      </c>
      <c r="B8" s="2" t="s">
        <v>0</v>
      </c>
      <c r="C8" s="4">
        <v>0.95</v>
      </c>
      <c r="D8" s="4">
        <f>(1 - $C$8) / 4</f>
        <v>1.2500000000000011E-2</v>
      </c>
      <c r="E8" s="4">
        <f t="shared" ref="C8:G12" si="0">(1 - $C$8) / 4</f>
        <v>1.2500000000000011E-2</v>
      </c>
      <c r="F8" s="4">
        <f t="shared" si="0"/>
        <v>1.2500000000000011E-2</v>
      </c>
      <c r="G8" s="4">
        <f>(1 - $C$8) / 4</f>
        <v>1.2500000000000011E-2</v>
      </c>
      <c r="H8" s="6"/>
    </row>
    <row r="9" spans="1:14" x14ac:dyDescent="0.3">
      <c r="A9" s="3">
        <v>0.38</v>
      </c>
      <c r="B9" s="2" t="s">
        <v>1</v>
      </c>
      <c r="C9" s="4">
        <f t="shared" si="0"/>
        <v>1.2500000000000011E-2</v>
      </c>
      <c r="D9" s="4">
        <v>0.95</v>
      </c>
      <c r="E9" s="4">
        <f t="shared" si="0"/>
        <v>1.2500000000000011E-2</v>
      </c>
      <c r="F9" s="4">
        <f t="shared" si="0"/>
        <v>1.2500000000000011E-2</v>
      </c>
      <c r="G9" s="4">
        <f>(1 - $C$8) / 4</f>
        <v>1.2500000000000011E-2</v>
      </c>
    </row>
    <row r="10" spans="1:14" x14ac:dyDescent="0.3">
      <c r="A10" s="3">
        <v>0.2</v>
      </c>
      <c r="B10" s="2" t="s">
        <v>2</v>
      </c>
      <c r="C10" s="4">
        <f t="shared" si="0"/>
        <v>1.2500000000000011E-2</v>
      </c>
      <c r="D10" s="4">
        <f t="shared" si="0"/>
        <v>1.2500000000000011E-2</v>
      </c>
      <c r="E10" s="4">
        <v>0.95</v>
      </c>
      <c r="F10" s="4">
        <f t="shared" si="0"/>
        <v>1.2500000000000011E-2</v>
      </c>
      <c r="G10" s="4">
        <f t="shared" si="0"/>
        <v>1.2500000000000011E-2</v>
      </c>
    </row>
    <row r="11" spans="1:14" x14ac:dyDescent="0.3">
      <c r="A11" s="3">
        <v>0.05</v>
      </c>
      <c r="B11" s="2" t="s">
        <v>3</v>
      </c>
      <c r="C11" s="4">
        <f t="shared" si="0"/>
        <v>1.2500000000000011E-2</v>
      </c>
      <c r="D11" s="4">
        <f t="shared" si="0"/>
        <v>1.2500000000000011E-2</v>
      </c>
      <c r="E11" s="4">
        <f t="shared" si="0"/>
        <v>1.2500000000000011E-2</v>
      </c>
      <c r="F11" s="4">
        <v>0.95</v>
      </c>
      <c r="G11" s="4">
        <f t="shared" si="0"/>
        <v>1.2500000000000011E-2</v>
      </c>
    </row>
    <row r="12" spans="1:14" x14ac:dyDescent="0.3">
      <c r="A12" s="3">
        <v>0.2</v>
      </c>
      <c r="B12" s="2" t="s">
        <v>8</v>
      </c>
      <c r="C12" s="4">
        <f t="shared" si="0"/>
        <v>1.2500000000000011E-2</v>
      </c>
      <c r="D12" s="4">
        <f t="shared" si="0"/>
        <v>1.2500000000000011E-2</v>
      </c>
      <c r="E12" s="4">
        <f t="shared" si="0"/>
        <v>1.2500000000000011E-2</v>
      </c>
      <c r="F12" s="4">
        <f t="shared" si="0"/>
        <v>1.2500000000000011E-2</v>
      </c>
      <c r="G12" s="4">
        <v>0.95</v>
      </c>
      <c r="H12" s="6"/>
    </row>
    <row r="13" spans="1:14" ht="32.4" customHeight="1" x14ac:dyDescent="0.3">
      <c r="I13" s="13" t="s">
        <v>14</v>
      </c>
      <c r="J13" s="13"/>
      <c r="M13" s="13" t="s">
        <v>16</v>
      </c>
      <c r="N13" s="13"/>
    </row>
    <row r="14" spans="1:14" ht="27.6" customHeight="1" x14ac:dyDescent="0.3">
      <c r="B14" s="14" t="s">
        <v>10</v>
      </c>
      <c r="C14" s="14"/>
      <c r="D14" s="14"/>
      <c r="E14" s="14"/>
      <c r="F14" s="14"/>
      <c r="G14" s="14"/>
      <c r="I14" s="13"/>
      <c r="J14" s="13"/>
      <c r="M14" s="13"/>
      <c r="N14" s="13"/>
    </row>
    <row r="15" spans="1:14" x14ac:dyDescent="0.3">
      <c r="B15" s="2"/>
      <c r="C15" s="2" t="s">
        <v>0</v>
      </c>
      <c r="D15" s="2" t="s">
        <v>1</v>
      </c>
      <c r="E15" s="2" t="s">
        <v>2</v>
      </c>
      <c r="F15" s="2" t="s">
        <v>3</v>
      </c>
      <c r="G15" s="2" t="s">
        <v>8</v>
      </c>
      <c r="I15" s="14" t="s">
        <v>12</v>
      </c>
      <c r="J15" s="14"/>
      <c r="K15" s="5" t="s">
        <v>15</v>
      </c>
      <c r="M15" s="5" t="s">
        <v>15</v>
      </c>
    </row>
    <row r="16" spans="1:14" x14ac:dyDescent="0.3">
      <c r="B16" s="2" t="s">
        <v>0</v>
      </c>
      <c r="C16" s="4">
        <f>C8 * $A8</f>
        <v>0.1615</v>
      </c>
      <c r="D16" s="4">
        <f>D8 * $A8</f>
        <v>2.1250000000000019E-3</v>
      </c>
      <c r="E16" s="4">
        <f>E8 * $A8</f>
        <v>2.1250000000000019E-3</v>
      </c>
      <c r="F16" s="4">
        <f>F8 * $A8</f>
        <v>2.1250000000000019E-3</v>
      </c>
      <c r="G16" s="4">
        <f>G8 * $A8</f>
        <v>2.1250000000000019E-3</v>
      </c>
      <c r="H16" s="6"/>
      <c r="I16" s="9">
        <f>C21</f>
        <v>0.171875</v>
      </c>
      <c r="J16" s="2">
        <f>-LOG(I16,2)</f>
        <v>2.5405683813627027</v>
      </c>
      <c r="K16" s="2">
        <f>J16 * I16</f>
        <v>0.43666019054671451</v>
      </c>
      <c r="M16" s="2">
        <f>(-LOG(C8, 2) * C8) - 3*(F8 * LOG(F8,2))</f>
        <v>0.3073728559298643</v>
      </c>
    </row>
    <row r="17" spans="2:13" x14ac:dyDescent="0.3">
      <c r="B17" s="2" t="s">
        <v>1</v>
      </c>
      <c r="C17" s="4">
        <f>C9 * $A9</f>
        <v>4.7500000000000042E-3</v>
      </c>
      <c r="D17" s="4">
        <f>D9 * $A9</f>
        <v>0.36099999999999999</v>
      </c>
      <c r="E17" s="4">
        <f>E9 * $A9</f>
        <v>4.7500000000000042E-3</v>
      </c>
      <c r="F17" s="4">
        <f>F9 * $A9</f>
        <v>4.7500000000000042E-3</v>
      </c>
      <c r="G17" s="4">
        <f t="shared" ref="C17:G20" si="1">G9 * $A9</f>
        <v>4.7500000000000042E-3</v>
      </c>
      <c r="I17" s="9">
        <f>D21</f>
        <v>0.36874999999999997</v>
      </c>
      <c r="J17" s="2">
        <f t="shared" ref="J17:J20" si="2">-LOG(I17,2)</f>
        <v>1.4392850455255213</v>
      </c>
      <c r="K17" s="2">
        <f t="shared" ref="K17:K20" si="3">J17 * I17</f>
        <v>0.53073636053753592</v>
      </c>
      <c r="M17" t="s">
        <v>17</v>
      </c>
    </row>
    <row r="18" spans="2:13" x14ac:dyDescent="0.3">
      <c r="B18" s="2" t="s">
        <v>2</v>
      </c>
      <c r="C18" s="4">
        <f t="shared" si="1"/>
        <v>2.5000000000000022E-3</v>
      </c>
      <c r="D18" s="4">
        <f t="shared" si="1"/>
        <v>2.5000000000000022E-3</v>
      </c>
      <c r="E18" s="4">
        <f t="shared" si="1"/>
        <v>0.19</v>
      </c>
      <c r="F18" s="4">
        <f t="shared" si="1"/>
        <v>2.5000000000000022E-3</v>
      </c>
      <c r="G18" s="4">
        <f t="shared" si="1"/>
        <v>2.5000000000000022E-3</v>
      </c>
      <c r="I18" s="9">
        <f>E21</f>
        <v>0.2</v>
      </c>
      <c r="J18" s="2">
        <f t="shared" si="2"/>
        <v>2.3219280948873622</v>
      </c>
      <c r="K18" s="2">
        <f t="shared" si="3"/>
        <v>0.46438561897747244</v>
      </c>
    </row>
    <row r="19" spans="2:13" x14ac:dyDescent="0.3">
      <c r="B19" s="2" t="s">
        <v>3</v>
      </c>
      <c r="C19" s="4">
        <f t="shared" si="1"/>
        <v>6.2500000000000056E-4</v>
      </c>
      <c r="D19" s="4">
        <f t="shared" si="1"/>
        <v>6.2500000000000056E-4</v>
      </c>
      <c r="E19" s="4">
        <f t="shared" si="1"/>
        <v>6.2500000000000056E-4</v>
      </c>
      <c r="F19" s="4">
        <f t="shared" si="1"/>
        <v>4.7500000000000001E-2</v>
      </c>
      <c r="G19" s="4">
        <f t="shared" si="1"/>
        <v>6.2500000000000056E-4</v>
      </c>
      <c r="I19" s="9">
        <f>F21</f>
        <v>5.9375000000000011E-2</v>
      </c>
      <c r="J19" s="2">
        <f t="shared" si="2"/>
        <v>4.0740005814437765</v>
      </c>
      <c r="K19" s="2">
        <f t="shared" si="3"/>
        <v>0.24189378452322427</v>
      </c>
    </row>
    <row r="20" spans="2:13" x14ac:dyDescent="0.3">
      <c r="B20" s="2" t="s">
        <v>8</v>
      </c>
      <c r="C20" s="4">
        <f t="shared" si="1"/>
        <v>2.5000000000000022E-3</v>
      </c>
      <c r="D20" s="4">
        <f t="shared" si="1"/>
        <v>2.5000000000000022E-3</v>
      </c>
      <c r="E20" s="4">
        <f t="shared" si="1"/>
        <v>2.5000000000000022E-3</v>
      </c>
      <c r="F20" s="4">
        <f t="shared" si="1"/>
        <v>2.5000000000000022E-3</v>
      </c>
      <c r="G20" s="4">
        <f t="shared" si="1"/>
        <v>0.19</v>
      </c>
      <c r="I20" s="9">
        <f>G21</f>
        <v>0.2</v>
      </c>
      <c r="J20" s="2">
        <f t="shared" si="2"/>
        <v>2.3219280948873622</v>
      </c>
      <c r="K20" s="2">
        <f t="shared" si="3"/>
        <v>0.46438561897747244</v>
      </c>
    </row>
    <row r="21" spans="2:13" ht="28.8" x14ac:dyDescent="0.3">
      <c r="B21" s="8" t="s">
        <v>11</v>
      </c>
      <c r="C21" s="10">
        <f>SUM(C16:C20)</f>
        <v>0.171875</v>
      </c>
      <c r="D21" s="10">
        <f>SUM(D16:D20)</f>
        <v>0.36874999999999997</v>
      </c>
      <c r="E21" s="10">
        <f>SUM(E16:E20)</f>
        <v>0.2</v>
      </c>
      <c r="F21" s="10">
        <f>SUM(F16:F20)</f>
        <v>5.9375000000000011E-2</v>
      </c>
      <c r="G21" s="10">
        <f>SUM(G16:G20)</f>
        <v>0.2</v>
      </c>
    </row>
  </sheetData>
  <mergeCells count="5">
    <mergeCell ref="M13:N14"/>
    <mergeCell ref="A6:G6"/>
    <mergeCell ref="B14:G14"/>
    <mergeCell ref="I15:J15"/>
    <mergeCell ref="I13:J1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2EB8-54A6-4D08-A0D8-D6C50D588FA1}">
  <dimension ref="K2:AH27"/>
  <sheetViews>
    <sheetView tabSelected="1" topLeftCell="J1" zoomScale="70" zoomScaleNormal="70" workbookViewId="0">
      <selection activeCell="AB6" sqref="AB6:AB9"/>
    </sheetView>
  </sheetViews>
  <sheetFormatPr baseColWidth="10" defaultRowHeight="14.4" x14ac:dyDescent="0.3"/>
  <cols>
    <col min="11" max="11" width="2.5546875" bestFit="1" customWidth="1"/>
    <col min="12" max="13" width="9.88671875" bestFit="1" customWidth="1"/>
    <col min="14" max="14" width="5" bestFit="1" customWidth="1"/>
    <col min="16" max="16" width="4" bestFit="1" customWidth="1"/>
    <col min="17" max="17" width="18.6640625" bestFit="1" customWidth="1"/>
    <col min="18" max="19" width="12" bestFit="1" customWidth="1"/>
    <col min="20" max="20" width="6" bestFit="1" customWidth="1"/>
    <col min="21" max="21" width="11.77734375" bestFit="1" customWidth="1"/>
    <col min="23" max="23" width="13.33203125" bestFit="1" customWidth="1"/>
    <col min="24" max="26" width="5" bestFit="1" customWidth="1"/>
    <col min="28" max="28" width="5" bestFit="1" customWidth="1"/>
    <col min="29" max="29" width="2.33203125" bestFit="1" customWidth="1"/>
    <col min="30" max="33" width="12" bestFit="1" customWidth="1"/>
  </cols>
  <sheetData>
    <row r="2" spans="11:34" x14ac:dyDescent="0.3">
      <c r="K2" t="s">
        <v>18</v>
      </c>
      <c r="L2" t="s">
        <v>19</v>
      </c>
      <c r="M2" t="s">
        <v>20</v>
      </c>
      <c r="N2" t="s">
        <v>21</v>
      </c>
      <c r="R2">
        <v>0</v>
      </c>
      <c r="S2">
        <v>1</v>
      </c>
    </row>
    <row r="3" spans="11:34" x14ac:dyDescent="0.3">
      <c r="L3" s="11">
        <v>0.3</v>
      </c>
      <c r="M3" s="11">
        <v>0.5</v>
      </c>
      <c r="N3" s="11">
        <v>0.2</v>
      </c>
      <c r="P3" t="s">
        <v>19</v>
      </c>
      <c r="Q3" s="11">
        <v>0.3</v>
      </c>
      <c r="R3" s="12">
        <f>0/1</f>
        <v>0</v>
      </c>
      <c r="S3" s="12">
        <f>1/1</f>
        <v>1</v>
      </c>
    </row>
    <row r="4" spans="11:34" x14ac:dyDescent="0.3">
      <c r="L4">
        <v>11111</v>
      </c>
      <c r="M4">
        <v>100001</v>
      </c>
      <c r="N4">
        <v>1100</v>
      </c>
      <c r="P4" t="s">
        <v>20</v>
      </c>
      <c r="Q4" s="11">
        <v>0.5</v>
      </c>
      <c r="R4" s="12">
        <f>2/3</f>
        <v>0.66666666666666663</v>
      </c>
      <c r="S4" s="12">
        <f>1/3</f>
        <v>0.33333333333333331</v>
      </c>
      <c r="W4" t="s">
        <v>42</v>
      </c>
      <c r="AD4" t="s">
        <v>48</v>
      </c>
    </row>
    <row r="5" spans="11:34" x14ac:dyDescent="0.3">
      <c r="P5" t="s">
        <v>21</v>
      </c>
      <c r="Q5" s="11">
        <v>0.2</v>
      </c>
      <c r="R5" s="12">
        <f>1/2</f>
        <v>0.5</v>
      </c>
      <c r="S5" s="12">
        <f>1/2</f>
        <v>0.5</v>
      </c>
      <c r="W5" t="s">
        <v>0</v>
      </c>
      <c r="X5" t="s">
        <v>1</v>
      </c>
      <c r="Y5" t="s">
        <v>2</v>
      </c>
      <c r="Z5" t="s">
        <v>3</v>
      </c>
      <c r="AC5" t="s">
        <v>30</v>
      </c>
      <c r="AD5" t="s">
        <v>36</v>
      </c>
      <c r="AE5" t="s">
        <v>31</v>
      </c>
      <c r="AF5" t="s">
        <v>44</v>
      </c>
      <c r="AG5" t="s">
        <v>45</v>
      </c>
    </row>
    <row r="6" spans="11:34" x14ac:dyDescent="0.3">
      <c r="W6">
        <v>0.17</v>
      </c>
      <c r="X6">
        <v>0.38</v>
      </c>
      <c r="Y6">
        <f>0.2-0.07</f>
        <v>0.13</v>
      </c>
      <c r="Z6">
        <f>1-SUM(W6:Y6)</f>
        <v>0.31999999999999995</v>
      </c>
      <c r="AB6">
        <v>0.17</v>
      </c>
      <c r="AC6" t="s">
        <v>0</v>
      </c>
      <c r="AD6">
        <v>0.95</v>
      </c>
      <c r="AE6">
        <f>(1-$X$11)/3</f>
        <v>1.666666666666668E-2</v>
      </c>
      <c r="AF6">
        <f t="shared" ref="AF6:AG8" si="0">(1-$X$11)/3</f>
        <v>1.666666666666668E-2</v>
      </c>
      <c r="AG6">
        <f t="shared" si="0"/>
        <v>1.666666666666668E-2</v>
      </c>
    </row>
    <row r="7" spans="11:34" x14ac:dyDescent="0.3">
      <c r="R7">
        <f>SUMPRODUCT(R3:R5,Q3:Q5)</f>
        <v>0.43333333333333335</v>
      </c>
      <c r="S7">
        <f>SUMPRODUCT(S3:S5,Q3:Q5)</f>
        <v>0.56666666666666665</v>
      </c>
      <c r="AB7">
        <v>0.38</v>
      </c>
      <c r="AC7" t="s">
        <v>1</v>
      </c>
      <c r="AD7">
        <f>(1-$X$11)/3</f>
        <v>1.666666666666668E-2</v>
      </c>
      <c r="AE7">
        <v>0.95</v>
      </c>
      <c r="AF7">
        <f t="shared" si="0"/>
        <v>1.666666666666668E-2</v>
      </c>
      <c r="AG7">
        <f t="shared" si="0"/>
        <v>1.666666666666668E-2</v>
      </c>
    </row>
    <row r="8" spans="11:34" x14ac:dyDescent="0.3">
      <c r="R8" t="s">
        <v>22</v>
      </c>
      <c r="S8" t="s">
        <v>23</v>
      </c>
      <c r="W8" t="s">
        <v>43</v>
      </c>
      <c r="AB8">
        <f>0.2-0.07</f>
        <v>0.13</v>
      </c>
      <c r="AC8" t="s">
        <v>2</v>
      </c>
      <c r="AD8">
        <f t="shared" ref="AD8:AF9" si="1">(1-$X$11)/3</f>
        <v>1.666666666666668E-2</v>
      </c>
      <c r="AE8">
        <f t="shared" si="1"/>
        <v>1.666666666666668E-2</v>
      </c>
      <c r="AF8">
        <v>0.95</v>
      </c>
      <c r="AG8">
        <f t="shared" si="0"/>
        <v>1.666666666666668E-2</v>
      </c>
    </row>
    <row r="9" spans="11:34" x14ac:dyDescent="0.3">
      <c r="W9" t="s">
        <v>36</v>
      </c>
      <c r="X9" t="s">
        <v>31</v>
      </c>
      <c r="Y9" t="s">
        <v>44</v>
      </c>
      <c r="Z9" t="s">
        <v>45</v>
      </c>
      <c r="AB9">
        <f>1-SUM(AB6:AB8)</f>
        <v>0.31999999999999995</v>
      </c>
      <c r="AC9" t="s">
        <v>3</v>
      </c>
      <c r="AD9">
        <f t="shared" si="1"/>
        <v>1.666666666666668E-2</v>
      </c>
      <c r="AE9">
        <f t="shared" si="1"/>
        <v>1.666666666666668E-2</v>
      </c>
      <c r="AF9">
        <f t="shared" si="1"/>
        <v>1.666666666666668E-2</v>
      </c>
      <c r="AG9">
        <v>0.95</v>
      </c>
    </row>
    <row r="10" spans="11:34" x14ac:dyDescent="0.3">
      <c r="K10" t="s">
        <v>24</v>
      </c>
      <c r="L10" t="s">
        <v>25</v>
      </c>
      <c r="M10" t="s">
        <v>26</v>
      </c>
    </row>
    <row r="11" spans="11:34" x14ac:dyDescent="0.3">
      <c r="L11" t="s">
        <v>27</v>
      </c>
      <c r="M11" t="s">
        <v>28</v>
      </c>
      <c r="Q11" t="s">
        <v>29</v>
      </c>
      <c r="W11" t="s">
        <v>46</v>
      </c>
      <c r="X11">
        <v>0.95</v>
      </c>
    </row>
    <row r="12" spans="11:34" x14ac:dyDescent="0.3">
      <c r="Q12" t="s">
        <v>30</v>
      </c>
      <c r="R12" t="s">
        <v>31</v>
      </c>
      <c r="S12" t="s">
        <v>32</v>
      </c>
      <c r="T12" t="s">
        <v>33</v>
      </c>
      <c r="W12" t="s">
        <v>47</v>
      </c>
      <c r="X12">
        <v>0.05</v>
      </c>
      <c r="AD12" t="s">
        <v>39</v>
      </c>
    </row>
    <row r="13" spans="11:34" x14ac:dyDescent="0.3">
      <c r="L13" t="s">
        <v>23</v>
      </c>
      <c r="M13" t="s">
        <v>34</v>
      </c>
      <c r="N13" t="s">
        <v>35</v>
      </c>
      <c r="P13">
        <v>0.4</v>
      </c>
      <c r="Q13" t="s">
        <v>36</v>
      </c>
      <c r="R13">
        <v>0.94</v>
      </c>
      <c r="S13">
        <v>0.04</v>
      </c>
      <c r="T13">
        <v>0.02</v>
      </c>
      <c r="AC13" t="s">
        <v>30</v>
      </c>
      <c r="AD13" t="s">
        <v>36</v>
      </c>
      <c r="AE13" t="s">
        <v>31</v>
      </c>
      <c r="AF13" t="s">
        <v>44</v>
      </c>
      <c r="AG13" t="s">
        <v>45</v>
      </c>
      <c r="AH13" t="s">
        <v>50</v>
      </c>
    </row>
    <row r="14" spans="11:34" x14ac:dyDescent="0.3">
      <c r="L14">
        <v>0.4</v>
      </c>
      <c r="M14">
        <v>0.5</v>
      </c>
      <c r="N14">
        <v>0.1</v>
      </c>
      <c r="P14">
        <v>0.5</v>
      </c>
      <c r="Q14" t="s">
        <v>37</v>
      </c>
      <c r="R14">
        <v>0.01</v>
      </c>
      <c r="S14">
        <v>0.93</v>
      </c>
      <c r="T14">
        <v>0.06</v>
      </c>
      <c r="AB14">
        <v>0.17</v>
      </c>
      <c r="AC14" t="s">
        <v>0</v>
      </c>
      <c r="AD14">
        <f>AD6*$AB6</f>
        <v>0.1615</v>
      </c>
      <c r="AE14">
        <f t="shared" ref="AE14:AG14" si="2">AE6*$AB6</f>
        <v>2.8333333333333357E-3</v>
      </c>
      <c r="AF14">
        <f t="shared" si="2"/>
        <v>2.8333333333333357E-3</v>
      </c>
      <c r="AG14">
        <f t="shared" si="2"/>
        <v>2.8333333333333357E-3</v>
      </c>
      <c r="AH14">
        <f>SUM(AD14:AG14)</f>
        <v>0.16999999999999998</v>
      </c>
    </row>
    <row r="15" spans="11:34" x14ac:dyDescent="0.3">
      <c r="P15">
        <v>0.1</v>
      </c>
      <c r="Q15" t="s">
        <v>38</v>
      </c>
      <c r="R15">
        <v>0.03</v>
      </c>
      <c r="S15">
        <v>0.04</v>
      </c>
      <c r="T15">
        <v>0.93</v>
      </c>
      <c r="AB15">
        <v>0.38</v>
      </c>
      <c r="AC15" t="s">
        <v>1</v>
      </c>
      <c r="AD15">
        <f>AD7*$AB7</f>
        <v>6.3333333333333384E-3</v>
      </c>
      <c r="AE15">
        <f t="shared" ref="AE15:AG15" si="3">AE7*$AB7</f>
        <v>0.36099999999999999</v>
      </c>
      <c r="AF15">
        <f t="shared" si="3"/>
        <v>6.3333333333333384E-3</v>
      </c>
      <c r="AG15">
        <f t="shared" si="3"/>
        <v>6.3333333333333384E-3</v>
      </c>
      <c r="AH15">
        <f t="shared" ref="AH15:AH17" si="4">SUM(AD15:AG15)</f>
        <v>0.38000000000000006</v>
      </c>
    </row>
    <row r="16" spans="11:34" x14ac:dyDescent="0.3">
      <c r="AB16">
        <f>0.2-0.07</f>
        <v>0.13</v>
      </c>
      <c r="AC16" t="s">
        <v>2</v>
      </c>
      <c r="AD16">
        <f>AD8*$AB8</f>
        <v>2.1666666666666683E-3</v>
      </c>
      <c r="AE16">
        <f t="shared" ref="AE16:AG16" si="5">AE8*$AB8</f>
        <v>2.1666666666666683E-3</v>
      </c>
      <c r="AF16">
        <f t="shared" si="5"/>
        <v>0.1235</v>
      </c>
      <c r="AG16">
        <f t="shared" si="5"/>
        <v>2.1666666666666683E-3</v>
      </c>
      <c r="AH16">
        <f t="shared" si="4"/>
        <v>0.13</v>
      </c>
    </row>
    <row r="17" spans="17:34" x14ac:dyDescent="0.3">
      <c r="Q17" t="s">
        <v>39</v>
      </c>
      <c r="W17" t="s">
        <v>51</v>
      </c>
      <c r="X17" t="s">
        <v>52</v>
      </c>
      <c r="AB17">
        <f>1-SUM(AB14:AB16)</f>
        <v>0.31999999999999995</v>
      </c>
      <c r="AC17" t="s">
        <v>3</v>
      </c>
      <c r="AD17">
        <f t="shared" ref="AD17:AG17" si="6">AD9*$AB9</f>
        <v>5.3333333333333366E-3</v>
      </c>
      <c r="AE17">
        <f t="shared" si="6"/>
        <v>5.3333333333333366E-3</v>
      </c>
      <c r="AF17">
        <f t="shared" si="6"/>
        <v>5.3333333333333366E-3</v>
      </c>
      <c r="AG17">
        <f t="shared" si="6"/>
        <v>0.30399999999999994</v>
      </c>
      <c r="AH17">
        <f t="shared" si="4"/>
        <v>0.31999999999999995</v>
      </c>
    </row>
    <row r="18" spans="17:34" x14ac:dyDescent="0.3">
      <c r="Q18" t="s">
        <v>30</v>
      </c>
      <c r="R18" t="s">
        <v>31</v>
      </c>
      <c r="S18" t="s">
        <v>32</v>
      </c>
      <c r="T18" t="s">
        <v>33</v>
      </c>
      <c r="U18" t="s">
        <v>40</v>
      </c>
      <c r="W18">
        <f>-LOG(AB6,2)</f>
        <v>2.5563933485243853</v>
      </c>
      <c r="X18">
        <f>AB6*W18</f>
        <v>0.43458686924914552</v>
      </c>
      <c r="AB18" t="s">
        <v>49</v>
      </c>
      <c r="AD18">
        <f>SUM(AD14:AD17)</f>
        <v>0.17533333333333334</v>
      </c>
      <c r="AE18">
        <f t="shared" ref="AE18:AG18" si="7">SUM(AE14:AE17)</f>
        <v>0.37133333333333335</v>
      </c>
      <c r="AF18">
        <f t="shared" si="7"/>
        <v>0.13800000000000001</v>
      </c>
      <c r="AG18">
        <f t="shared" si="7"/>
        <v>0.3153333333333333</v>
      </c>
    </row>
    <row r="19" spans="17:34" x14ac:dyDescent="0.3">
      <c r="Q19" t="s">
        <v>36</v>
      </c>
      <c r="R19">
        <f>R13*$P13</f>
        <v>0.376</v>
      </c>
      <c r="S19">
        <f>S13*$P13</f>
        <v>1.6E-2</v>
      </c>
      <c r="T19">
        <f>T13*$P13</f>
        <v>8.0000000000000002E-3</v>
      </c>
      <c r="U19">
        <f>SUM(R19:T19)</f>
        <v>0.4</v>
      </c>
      <c r="W19">
        <f>-LOG(AB7,2)</f>
        <v>1.3959286763311392</v>
      </c>
      <c r="X19">
        <f t="shared" ref="X19:X21" si="8">AB7*W19</f>
        <v>0.53045289700583287</v>
      </c>
    </row>
    <row r="20" spans="17:34" x14ac:dyDescent="0.3">
      <c r="Q20" t="s">
        <v>37</v>
      </c>
      <c r="R20">
        <f>R14*$P14</f>
        <v>5.0000000000000001E-3</v>
      </c>
      <c r="S20">
        <f t="shared" ref="S20:T21" si="9">S14*$P14</f>
        <v>0.46500000000000002</v>
      </c>
      <c r="T20">
        <f t="shared" si="9"/>
        <v>0.03</v>
      </c>
      <c r="U20">
        <f>SUM(R20:T20)</f>
        <v>0.5</v>
      </c>
      <c r="W20">
        <f t="shared" ref="W20:W21" si="10">-LOG(AB8,2)</f>
        <v>2.9434164716336326</v>
      </c>
      <c r="X20">
        <f t="shared" si="8"/>
        <v>0.38264414131237223</v>
      </c>
    </row>
    <row r="21" spans="17:34" x14ac:dyDescent="0.3">
      <c r="Q21" t="s">
        <v>38</v>
      </c>
      <c r="R21">
        <f>R15*$P15</f>
        <v>3.0000000000000001E-3</v>
      </c>
      <c r="S21">
        <f t="shared" si="9"/>
        <v>4.0000000000000001E-3</v>
      </c>
      <c r="T21">
        <f t="shared" si="9"/>
        <v>9.3000000000000013E-2</v>
      </c>
      <c r="U21">
        <f>SUM(R21:T21)</f>
        <v>0.10000000000000002</v>
      </c>
      <c r="W21">
        <f t="shared" si="10"/>
        <v>1.643856189774725</v>
      </c>
      <c r="X21">
        <f t="shared" si="8"/>
        <v>0.52603398072791197</v>
      </c>
    </row>
    <row r="22" spans="17:34" x14ac:dyDescent="0.3">
      <c r="Q22" t="s">
        <v>41</v>
      </c>
      <c r="R22">
        <f>SUM(R19:R21)</f>
        <v>0.38400000000000001</v>
      </c>
      <c r="S22">
        <f t="shared" ref="S22:T22" si="11">SUM(S19:S21)</f>
        <v>0.48500000000000004</v>
      </c>
      <c r="T22">
        <f t="shared" si="11"/>
        <v>0.13100000000000001</v>
      </c>
      <c r="X22">
        <f>SUM(X18:X21)</f>
        <v>1.8737178882952625</v>
      </c>
      <c r="AA22" t="s">
        <v>54</v>
      </c>
      <c r="AD22" t="s">
        <v>56</v>
      </c>
    </row>
    <row r="23" spans="17:34" x14ac:dyDescent="0.3">
      <c r="AA23">
        <f>X22-X27</f>
        <v>1.5873209311793062</v>
      </c>
      <c r="AD23">
        <f>LOG(4,2)</f>
        <v>2</v>
      </c>
    </row>
    <row r="24" spans="17:34" x14ac:dyDescent="0.3">
      <c r="W24" t="s">
        <v>53</v>
      </c>
      <c r="AA24" t="s">
        <v>55</v>
      </c>
      <c r="AD24" t="s">
        <v>55</v>
      </c>
    </row>
    <row r="25" spans="17:34" x14ac:dyDescent="0.3">
      <c r="W25">
        <f>-LOG(X11,2)</f>
        <v>7.4000581443776928E-2</v>
      </c>
      <c r="X25">
        <f>W25*X11</f>
        <v>7.0300552371588082E-2</v>
      </c>
    </row>
    <row r="26" spans="17:34" x14ac:dyDescent="0.3">
      <c r="W26">
        <f>-LOG(X12,2)</f>
        <v>4.3219280948873626</v>
      </c>
      <c r="X26">
        <f>W26*X12</f>
        <v>0.21609640474436814</v>
      </c>
    </row>
    <row r="27" spans="17:34" x14ac:dyDescent="0.3">
      <c r="X27">
        <f>SUM(X25:X26)</f>
        <v>0.28639695711595625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2026-03-09T06:19:16Z</dcterms:created>
  <dcterms:modified xsi:type="dcterms:W3CDTF">2026-03-10T23:13:34Z</dcterms:modified>
</cp:coreProperties>
</file>